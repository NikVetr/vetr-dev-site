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14d02e48d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08fb014a454779"/>
    <x:sheet xmlns:r="http://schemas.openxmlformats.org/officeDocument/2006/relationships" name="Reference Set" sheetId="2" r:id="R1171446222914f0a"/>
    <x:sheet xmlns:r="http://schemas.openxmlformats.org/officeDocument/2006/relationships" name="Primary 990" sheetId="3" r:id="R56a030eeca394651"/>
    <x:sheet xmlns:r="http://schemas.openxmlformats.org/officeDocument/2006/relationships" name="All 990" sheetId="4" r:id="R8b5be1d2525a464e"/>
    <x:sheet xmlns:r="http://schemas.openxmlformats.org/officeDocument/2006/relationships" name="Quant Job Ads" sheetId="5" r:id="Rff5f01bc64d84baf"/>
    <x:sheet xmlns:r="http://schemas.openxmlformats.org/officeDocument/2006/relationships" name="All Job Ads" sheetId="6" r:id="R8efab32e739f49cd"/>
    <x:sheet xmlns:r="http://schemas.openxmlformats.org/officeDocument/2006/relationships" name="Sensitivities" sheetId="7" r:id="R3f5c744d66804e7c"/>
    <x:sheet xmlns:r="http://schemas.openxmlformats.org/officeDocument/2006/relationships" name="Peer Log" sheetId="8" r:id="Ra27a347dc41a420c"/>
    <x:sheet xmlns:r="http://schemas.openxmlformats.org/officeDocument/2006/relationships" name="Source Manifest" sheetId="9" r:id="Rec461e4b599444c8"/>
    <x:sheet xmlns:r="http://schemas.openxmlformats.org/officeDocument/2006/relationships" name="Protocol &amp; Notes" sheetId="10" r:id="R5fa661c90c8d404c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5" authorId="0">
      <x:text>
        <x:r>
          <x:t>Derived from the archived evidence sheets and recalculated when opened in Excel. See Source Manifest and report for measure definitions.</x:t>
        </x:r>
      </x:text>
    </x:comment>
    <x:comment ref="B6" authorId="0">
      <x:text>
        <x:r>
          <x:t>Derived from the archived evidence sheets and recalculated when opened in Excel. See Source Manifest and report for measure definitions.</x:t>
        </x:r>
      </x:text>
    </x:comment>
    <x:comment ref="B7" authorId="0">
      <x:text>
        <x:r>
          <x:t>Derived from the archived evidence sheets and recalculated when opened in Excel. See Source Manifest and report for measure definitions.</x:t>
        </x:r>
      </x:text>
    </x:comment>
    <x:comment ref="B17" authorId="0">
      <x:text>
        <x:r>
          <x:t>Derived from the archived evidence sheets and recalculated when opened in Excel. See Source Manifest and report for measure definitions.</x:t>
        </x:r>
      </x:text>
    </x:comment>
    <x:comment ref="B18" authorId="0">
      <x:text>
        <x:r>
          <x:t>Derived from the archived evidence sheets and recalculated when opened in Excel. See Source Manifest and report for measure definitions.</x:t>
        </x:r>
      </x:text>
    </x:comment>
    <x:comment ref="B19" authorId="0">
      <x:text>
        <x:r>
          <x:t>Derived from the archived evidence sheets and recalculated when opened in Excel. See Source Manifest and report for measure definitions.</x:t>
        </x:r>
      </x:text>
    </x:comment>
    <x:comment ref="B20" authorId="0">
      <x:text>
        <x:r>
          <x:t>Derived from the archived evidence sheets and recalculated when opened in Excel. See Source Manifest and report for measure definitions.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;[Red]($#,##0);-"/>
    <x:numFmt numFmtId="165" formatCode="0.0000"/>
  </x:numFmts>
  <x:fonts count="10">
    <x:font>
      <x:sz val="11"/>
      <x:color theme="1"/>
      <x:name val="Calibri"/>
    </x:font>
    <x:font>
      <x:b/>
      <x:sz val="18"/>
      <x:color rgb="FF17324D"/>
    </x:font>
    <x:font>
      <x:sz val="9"/>
      <x:color rgb="FF666666"/>
    </x:font>
    <x:font>
      <x:b/>
      <x:color rgb="FFFFFFFF"/>
    </x:font>
    <x:font>
      <x:b/>
      <x:color rgb="FF000000"/>
    </x:font>
    <x:font>
      <x:b/>
      <x:color rgb="FF17324D"/>
    </x:font>
    <x:font>
      <x:b/>
      <x:color rgb="FFC27038"/>
    </x:font>
    <x:font>
      <x:color rgb="FF666666"/>
    </x:font>
    <x:font>
      <x:color rgb="FF008000"/>
    </x:font>
    <x:font>
      <x:color rgb="FF000000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EADF"/>
      </x:patternFill>
    </x:fill>
    <x:fill>
      <x:patternFill patternType="solid">
        <x:fgColor rgb="FF2F7180"/>
      </x:patternFill>
    </x:fill>
    <x:fill>
      <x:patternFill patternType="solid">
        <x:fgColor rgb="FFE7F0F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wrapText="1"/>
    </x:xf>
    <x:xf numFmtId="0" fontId="3" fillId="2" borderId="0" xfId="0" applyAlignment="1">
      <x:alignment vertical="center" wrapText="1"/>
    </x:xf>
    <x:xf numFmtId="0" fontId="5" fillId="0" borderId="0" xfId="0"/>
    <x:xf numFmtId="164" fontId="4" fillId="3" borderId="0" xfId="0"/>
    <x:xf numFmtId="0" fontId="0" fillId="0" borderId="0" xfId="0" applyAlignment="1">
      <x:alignment wrapText="1"/>
    </x:xf>
    <x:xf numFmtId="0" fontId="3" fillId="4" borderId="0" xfId="0"/>
    <x:xf numFmtId="0" fontId="4" fillId="5" borderId="0" xfId="0"/>
    <x:xf numFmtId="164" fontId="0" fillId="5" borderId="0" xfId="0"/>
    <x:xf numFmtId="0" fontId="6" fillId="3" borderId="0" xfId="0"/>
    <x:xf numFmtId="0" fontId="0" fillId="0" borderId="0" xfId="0" applyAlignment="1">
      <x:alignment vertical="top" wrapText="1"/>
    </x:xf>
    <x:xf numFmtId="0" fontId="7" fillId="0" borderId="0" xfId="0" applyAlignment="1">
      <x:alignment vertical="center"/>
    </x:xf>
    <x:xf numFmtId="0" fontId="7" fillId="0" borderId="0" xfId="0" applyAlignment="1">
      <x:alignment vertical="center" wrapText="1"/>
    </x:xf>
    <x:xf numFmtId="164" fontId="7" fillId="0" borderId="0" xfId="0" applyAlignment="1">
      <x:alignment vertical="center"/>
    </x:xf>
    <x:xf numFmtId="2" fontId="7" fillId="0" borderId="0" xfId="0" applyAlignment="1">
      <x:alignment vertical="center"/>
    </x:xf>
    <x:xf numFmtId="0" fontId="8" fillId="0" borderId="0" xfId="0" applyAlignment="1">
      <x:alignment vertical="center" wrapText="1"/>
    </x:xf>
    <x:xf numFmtId="0" fontId="8" fillId="0" borderId="0" xfId="0" applyAlignment="1">
      <x:alignment vertical="center"/>
    </x:xf>
    <x:xf numFmtId="165" fontId="8" fillId="0" borderId="0" xfId="0" applyAlignment="1">
      <x:alignment vertical="center"/>
    </x:xf>
    <x:xf numFmtId="164" fontId="8" fillId="0" borderId="0" xfId="0" applyAlignment="1">
      <x:alignment vertical="center"/>
    </x:xf>
    <x:xf numFmtId="164" fontId="9" fillId="0" borderId="0" xfId="0" applyAlignment="1">
      <x:alignment vertical="center"/>
    </x:xf>
    <x:xf numFmtId="1" fontId="8" fillId="0" borderId="0" xfId="0" applyAlignment="1">
      <x:alignment vertical="center"/>
    </x:xf>
    <x:xf numFmtId="1" fontId="8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8c4cdcd3d4e7e" /><Relationship Type="http://schemas.openxmlformats.org/officeDocument/2006/relationships/theme" Target="/xl/theme/theme1.xml" Id="R53c5b6199ab94618" /><Relationship Type="http://schemas.openxmlformats.org/officeDocument/2006/relationships/sharedStrings" Target="/xl/sharedStrings.xml" Id="R28a68bf30b6f4cbd" /><Relationship Type="http://schemas.openxmlformats.org/officeDocument/2006/relationships/worksheet" Target="/xl/worksheets/sheet1.xml" Id="R4508fb014a454779" /><Relationship Type="http://schemas.openxmlformats.org/officeDocument/2006/relationships/worksheet" Target="/xl/worksheets/sheet2.xml" Id="R1171446222914f0a" /><Relationship Type="http://schemas.openxmlformats.org/officeDocument/2006/relationships/worksheet" Target="/xl/worksheets/sheet3.xml" Id="R56a030eeca394651" /><Relationship Type="http://schemas.openxmlformats.org/officeDocument/2006/relationships/worksheet" Target="/xl/worksheets/sheet4.xml" Id="R8b5be1d2525a464e" /><Relationship Type="http://schemas.openxmlformats.org/officeDocument/2006/relationships/worksheet" Target="/xl/worksheets/sheet5.xml" Id="Rff5f01bc64d84baf" /><Relationship Type="http://schemas.openxmlformats.org/officeDocument/2006/relationships/worksheet" Target="/xl/worksheets/sheet6.xml" Id="R8efab32e739f49cd" /><Relationship Type="http://schemas.openxmlformats.org/officeDocument/2006/relationships/worksheet" Target="/xl/worksheets/sheet7.xml" Id="R3f5c744d66804e7c" /><Relationship Type="http://schemas.openxmlformats.org/officeDocument/2006/relationships/worksheet" Target="/xl/worksheets/sheet8.xml" Id="Ra27a347dc41a420c" /><Relationship Type="http://schemas.openxmlformats.org/officeDocument/2006/relationships/worksheet" Target="/xl/worksheets/sheet9.xml" Id="Rec461e4b599444c8" /><Relationship Type="http://schemas.openxmlformats.org/officeDocument/2006/relationships/worksheet" Target="/xl/worksheets/sheet10.xml" Id="R5fa661c90c8d404c" /><Relationship Type="http://schemas.microsoft.com/office/2017/10/relationships/person" Target="/xl/persons/person.xml" Id="Re1a2790250a444fd" /></Relationships>
</file>

<file path=xl/persons/person.xml><?xml version="1.0" encoding="utf-8"?>
<xltc:personList xmlns:xltc="http://schemas.microsoft.com/office/spreadsheetml/2018/threadedcomments">
  <xltc:person displayName="OpenAI" id="{B6B6FD04-EA60-93A5-7899-E41D9606AA8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ec2f9b64a1c486b" /><Relationship Type="http://schemas.openxmlformats.org/officeDocument/2006/relationships/vmlDrawing" Target="/xl/drawings/vmldrawing.vml" Id="R2e3e10a9253b45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8" customWidth="1"/>
    <x:col min="3" max="3" width="32" customWidth="1"/>
    <x:col min="4" max="4" width="20" customWidth="1"/>
    <x:col min="5" max="5" width="48" customWidth="1"/>
    <x:col min="6" max="6" width="14" customWidth="1"/>
    <x:col min="7" max="7" width="14" customWidth="1"/>
    <x:col min="8" max="8" width="14" customWidth="1"/>
  </x:cols>
  <x:sheetData>
    <x:row r="1" ht="28" customHeight="1">
      <x:c r="A1" s="1" t="inlineStr">
        <x:is>
          <x:t xml:space="preserve">RP CEO Expanded Compensation Benchmark</x:t>
        </x:is>
      </x:c>
    </x:row>
    <x:row r="2" ht="28" customHeight="1">
      <x:c r="A2" s="2" t="inlineStr">
        <x:is>
          <x:t xml:space="preserve">As of August 17, 2026 | 452 documented organizations | 144 selected reference organizations | 116 primary-use filings (79 structurally clean)</x:t>
        </x:is>
      </x:c>
    </x:row>
    <x:row r="3"/>
    <x:row r="4" ht="30" customHeight="1">
      <x:c r="A4" s="3" t="inlineStr">
        <x:is>
          <x:t xml:space="preserve">Decision use</x:t>
        </x:is>
      </x:c>
      <x:c r="B4" s="3" t="inlineStr">
        <x:is>
          <x:t xml:space="preserve">Low</x:t>
        </x:is>
      </x:c>
      <x:c r="C4" s="3" t="inlineStr">
        <x:is>
          <x:t xml:space="preserve">High</x:t>
        </x:is>
      </x:c>
      <x:c r="D4" s="3" t="inlineStr">
        <x:is>
          <x:t xml:space="preserve">Descriptive center</x:t>
        </x:is>
      </x:c>
      <x:c r="E4" s="3" t="inlineStr">
        <x:is>
          <x:t xml:space="preserve">Interpretation</x:t>
        </x:is>
      </x:c>
    </x:row>
    <x:row r="5">
      <x:c r="A5" s="4" t="inlineStr">
        <x:is>
          <x:t xml:space="preserve">External recruitment posting</x:t>
        </x:is>
      </x:c>
      <x:c r="B5" s="5" t="n">
        <x:v>250000</x:v>
      </x:c>
      <x:c r="C5" s="5" t="n">
        <x:v>340000</x:v>
      </x:c>
      <x:c r="D5" s="5" t="n">
        <x:v>295000</x:v>
      </x:c>
      <x:c r="E5" s="6" t="inlineStr">
        <x:is>
          <x:t xml:space="preserve">Expected hire zone $280K-$320K</x:t>
        </x:is>
      </x:c>
    </x:row>
    <x:row r="6">
      <x:c r="A6" s="4" t="inlineStr">
        <x:is>
          <x:t xml:space="preserve">Successful incumbent base</x:t>
        </x:is>
      </x:c>
      <x:c r="B6" s="5" t="n">
        <x:v>290000</x:v>
      </x:c>
      <x:c r="C6" s="5" t="n">
        <x:v>350000</x:v>
      </x:c>
      <x:c r="D6" s="5" t="n">
        <x:v>320000</x:v>
      </x:c>
      <x:c r="E6" s="6" t="inlineStr">
        <x:is>
          <x:t xml:space="preserve">Successful full-time organization-wide CEO</x:t>
        </x:is>
      </x:c>
    </x:row>
    <x:row r="7">
      <x:c r="A7" s="4" t="inlineStr">
        <x:is>
          <x:t xml:space="preserve">Recurring total compensation</x:t>
        </x:is>
      </x:c>
      <x:c r="B7" s="5" t="n">
        <x:v>340000</x:v>
      </x:c>
      <x:c r="C7" s="5" t="n">
        <x:v>435000</x:v>
      </x:c>
      <x:c r="D7" s="5" t="n">
        <x:v>385000</x:v>
      </x:c>
      <x:c r="E7" s="6" t="inlineStr">
        <x:is>
          <x:t xml:space="preserve">Low-to-moderate confidence; excludes one-time items</x:t>
        </x:is>
      </x:c>
    </x:row>
    <x:row r="8"/>
    <x:row r="9">
      <x:c r="A9" s="7" t="inlineStr">
        <x:is>
          <x:t xml:space="preserve">Coverage</x:t>
        </x:is>
      </x:c>
    </x:row>
    <x:row r="10">
      <x:c r="A10" t="inlineStr">
        <x:is>
          <x:t xml:space="preserve">Frozen candidate universe</x:t>
        </x:is>
      </x:c>
      <x:c r="B10" s="8" t="n">
        <x:f>COUNTA('Peer Log'!A:A)-3</x:f>
        <x:v>452</x:v>
      </x:c>
    </x:row>
    <x:row r="11">
      <x:c r="A11" t="inlineStr">
        <x:is>
          <x:t xml:space="preserve">Selected reference organizations</x:t>
        </x:is>
      </x:c>
      <x:c r="B11" s="8" t="n">
        <x:f>COUNTA('Reference Set'!A:A)-3</x:f>
        <x:v>144</x:v>
      </x:c>
    </x:row>
    <x:row r="12">
      <x:c r="A12" t="inlineStr">
        <x:is>
          <x:t xml:space="preserve">Primary-use incumbent observations</x:t>
        </x:is>
      </x:c>
      <x:c r="B12" s="8" t="n">
        <x:f>COUNTA('Primary 990'!A:A)-3</x:f>
        <x:v>116</x:v>
      </x:c>
    </x:row>
    <x:row r="13">
      <x:c r="A13" t="inlineStr">
        <x:is>
          <x:t xml:space="preserve">Current quantitative job ads</x:t>
        </x:is>
      </x:c>
      <x:c r="B13" s="8" t="n">
        <x:f>COUNTA('Quant Job Ads'!A:A)-3</x:f>
        <x:v>15</x:v>
      </x:c>
    </x:row>
    <x:row r="14">
      <x:c r="A14" t="inlineStr">
        <x:is>
          <x:t xml:space="preserve">Exact Schedule J base observations</x:t>
        </x:is>
      </x:c>
      <x:c r="B14" s="8" t="n">
        <x:f>COUNT('Primary 990'!N:N)</x:f>
        <x:v>0</x:v>
      </x:c>
    </x:row>
    <x:row r="15"/>
    <x:row r="16">
      <x:c r="A16" s="7" t="inlineStr">
        <x:is>
          <x:t xml:space="preserve">Evidence centers</x:t>
        </x:is>
      </x:c>
    </x:row>
    <x:row r="17">
      <x:c r="A17" t="inlineStr">
        <x:is>
          <x:t xml:space="preserve">Strict ad midpoint median</x:t>
        </x:is>
      </x:c>
      <x:c r="B17" s="9" t="n">
        <x:f>MEDIAN('Quant Job Ads'!I5:I7)</x:f>
        <x:v>250674.1336856645</x:v>
      </x:c>
      <x:c r="C17" t="inlineStr">
        <x:is>
          <x:t xml:space="preserve">Posted base salary</x:t>
        </x:is>
      </x:c>
    </x:row>
    <x:row r="18">
      <x:c r="A18" t="inlineStr">
        <x:is>
          <x:t xml:space="preserve">Expanded ad midpoint median</x:t>
        </x:is>
      </x:c>
      <x:c r="B18" s="9" t="n">
        <x:f>MEDIAN('Quant Job Ads'!I5:I19)</x:f>
        <x:v>215579.75496967146</x:v>
      </x:c>
      <x:c r="C18" t="inlineStr">
        <x:is>
          <x:t xml:space="preserve">Posted base salary</x:t>
        </x:is>
      </x:c>
    </x:row>
    <x:row r="19">
      <x:c r="A19" t="inlineStr">
        <x:is>
          <x:t xml:space="preserve">Broad filing cash-proxy median</x:t>
        </x:is>
      </x:c>
      <x:c r="B19" s="9" t="n">
        <x:f>MEDIAN('Primary 990'!L5:L120)</x:f>
        <x:v>300521.3997415779</x:v>
      </x:c>
      <x:c r="C19" t="inlineStr">
        <x:is>
          <x:t xml:space="preserve">Not exact base</x:t>
        </x:is>
      </x:c>
    </x:row>
    <x:row r="20">
      <x:c r="A20" t="inlineStr">
        <x:is>
          <x:t xml:space="preserve">Broad filing total-proxy median</x:t>
        </x:is>
      </x:c>
      <x:c r="B20" s="9" t="n">
        <x:f>MEDIAN('Primary 990'!M5:M120)</x:f>
        <x:v>335529.8122523752</x:v>
      </x:c>
      <x:c r="C20" t="inlineStr">
        <x:is>
          <x:t xml:space="preserve">Cash proxy plus Part VII other</x:t>
        </x:is>
      </x:c>
    </x:row>
    <x:row r="21">
      <x:c r="A21" t="inlineStr">
        <x:is>
          <x:t xml:space="preserve">Cash-proxy Q1</x:t>
        </x:is>
      </x:c>
      <x:c r="B21" s="9" t="n">
        <x:f>QUARTILE.INC('Primary 990'!L5:L120,1)</x:f>
        <x:v>236883.97506499264</x:v>
      </x:c>
      <x:c r="C21" t="inlineStr">
        <x:is>
          <x:t xml:space="preserve">Broad filing sample</x:t>
        </x:is>
      </x:c>
    </x:row>
    <x:row r="22">
      <x:c r="A22" t="inlineStr">
        <x:is>
          <x:t xml:space="preserve">Cash-proxy Q3</x:t>
        </x:is>
      </x:c>
      <x:c r="B22" s="9" t="n">
        <x:f>QUARTILE.INC('Primary 990'!L5:L120,3)</x:f>
        <x:v>413825.2982105229</x:v>
      </x:c>
      <x:c r="C22" t="inlineStr">
        <x:is>
          <x:t xml:space="preserve">Broad filing sample</x:t>
        </x:is>
      </x:c>
    </x:row>
    <x:row r="23"/>
    <x:row r="24"/>
    <x:row r="25">
      <x:c r="A25" s="10" t="inlineStr">
        <x:is>
          <x:t xml:space="preserve">Important limitation</x:t>
        </x:is>
      </x:c>
      <x:c r="B25" s="11" t="inlineStr">
        <x:is>
          <x:t xml:space="preserve">Form 990 Part VII reportable compensation is a cash/W-2 proxy, not base salary. No filing base was imputed.</x:t>
        </x:is>
      </x:c>
    </x:row>
    <x:row r="26"/>
  </x:sheetData>
  <x:mergeCells>
    <x:mergeCell ref="A16:E16"/>
    <x:mergeCell ref="A2:H2"/>
    <x:mergeCell ref="A1:H1"/>
    <x:mergeCell ref="B25:H26"/>
    <x:mergeCell ref="A9:E9"/>
  </x:mergeCells>
  <x:pageMargins left="0.7" right="0.7" top="0.75" bottom="0.75" header="0.3" footer="0.3"/>
  <x:legacyDrawing xmlns:r="http://schemas.openxmlformats.org/officeDocument/2006/relationships" r:id="R2e3e10a9253b45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16" customWidth="1"/>
    <x:col min="3" max="3" width="27" customWidth="1"/>
    <x:col min="4" max="4" width="40" customWidth="1"/>
    <x:col min="5" max="5" width="40" customWidth="1"/>
    <x:col min="6" max="6" width="17" customWidth="1"/>
    <x:col min="7" max="7" width="19" customWidth="1"/>
    <x:col min="8" max="8" width="39" customWidth="1"/>
    <x:col min="9" max="9" width="12" customWidth="1"/>
    <x:col min="10" max="10" width="12" customWidth="1"/>
    <x:col min="11" max="11" width="12" customWidth="1"/>
    <x:col min="12" max="12" width="16" customWidth="1"/>
    <x:col min="13" max="13" width="21" customWidth="1"/>
    <x:col min="14" max="14" width="40" customWidth="1"/>
    <x:col min="15" max="15" width="40" customWidth="1"/>
    <x:col min="16" max="16" width="20" customWidth="1"/>
    <x:col min="17" max="17" width="21" customWidth="1"/>
    <x:col min="18" max="18" width="39" customWidth="1"/>
    <x:col min="19" max="19" width="19" customWidth="1"/>
    <x:col min="20" max="20" width="40" customWidth="1"/>
    <x:col min="21" max="21" width="40" customWidth="1"/>
    <x:col min="22" max="22" width="40" customWidth="1"/>
  </x:cols>
  <x:sheetData>
    <x:row r="1" ht="28" customHeight="1">
      <x:c r="A1" s="1" t="inlineStr">
        <x:is>
          <x:t xml:space="preserve">Selected Reference Set</x:t>
        </x:is>
      </x:c>
    </x:row>
    <x:row r="2" ht="28" customHeight="1">
      <x:c r="A2" s="2" t="inlineStr">
        <x:is>
          <x:t xml:space="preserve">144 organizations selected before or independently of pay; 116 have primary-use incumbent observations (79 structurally clean)</x:t>
        </x:is>
      </x:c>
    </x:row>
    <x:row r="3"/>
    <x:row r="4" ht="30" customHeight="1">
      <x:c r="A4" s="3" t="inlineStr">
        <x:is>
          <x:t xml:space="preserve">organization</x:t>
        </x:is>
      </x:c>
      <x:c r="B4" s="3" t="inlineStr">
        <x:is>
          <x:t xml:space="preserve">reference_tier</x:t>
        </x:is>
      </x:c>
      <x:c r="C4" s="3" t="inlineStr">
        <x:is>
          <x:t xml:space="preserve">tier_label</x:t>
        </x:is>
      </x:c>
      <x:c r="D4" s="3" t="inlineStr">
        <x:is>
          <x:t xml:space="preserve">selection_wave</x:t>
        </x:is>
      </x:c>
      <x:c r="E4" s="3" t="inlineStr">
        <x:is>
          <x:t xml:space="preserve">topic_cluster</x:t>
        </x:is>
      </x:c>
      <x:c r="F4" s="3" t="inlineStr">
        <x:is>
          <x:t xml:space="preserve">ea_affinity</x:t>
        </x:is>
      </x:c>
      <x:c r="G4" s="3" t="inlineStr">
        <x:is>
          <x:t xml:space="preserve">country_or_region</x:t>
        </x:is>
      </x:c>
      <x:c r="H4" s="3" t="inlineStr">
        <x:is>
          <x:t xml:space="preserve">expected_structure</x:t>
        </x:is>
      </x:c>
      <x:c r="I4" s="3" t="inlineStr">
        <x:is>
          <x:t xml:space="preserve">ein</x:t>
        </x:is>
      </x:c>
      <x:c r="J4" s="3" t="inlineStr">
        <x:is>
          <x:t xml:space="preserve">revenue</x:t>
        </x:is>
      </x:c>
      <x:c r="K4" s="3" t="inlineStr">
        <x:is>
          <x:t xml:space="preserve">expenses</x:t>
        </x:is>
      </x:c>
      <x:c r="L4" s="3" t="inlineStr">
        <x:is>
          <x:t xml:space="preserve">employee_count</x:t>
        </x:is>
      </x:c>
      <x:c r="M4" s="3" t="inlineStr">
        <x:is>
          <x:t xml:space="preserve">comparability_score</x:t>
        </x:is>
      </x:c>
      <x:c r="N4" s="3" t="inlineStr">
        <x:is>
          <x:t xml:space="preserve">selection_status</x:t>
        </x:is>
      </x:c>
      <x:c r="O4" s="3" t="inlineStr">
        <x:is>
          <x:t xml:space="preserve">compensation_observation</x:t>
        </x:is>
      </x:c>
      <x:c r="P4" s="3" t="inlineStr">
        <x:is>
          <x:t xml:space="preserve">cash_proxy_jul2026</x:t>
        </x:is>
      </x:c>
      <x:c r="Q4" s="3" t="inlineStr">
        <x:is>
          <x:t xml:space="preserve">total_proxy_jul2026</x:t>
        </x:is>
      </x:c>
      <x:c r="R4" s="3" t="inlineStr">
        <x:is>
          <x:t xml:space="preserve">ceo_title</x:t>
        </x:is>
      </x:c>
      <x:c r="S4" s="3" t="inlineStr">
        <x:is>
          <x:t xml:space="preserve">compensation_year</x:t>
        </x:is>
      </x:c>
      <x:c r="T4" s="3" t="inlineStr">
        <x:is>
          <x:t xml:space="preserve">propublica_url</x:t>
        </x:is>
      </x:c>
      <x:c r="U4" s="3" t="inlineStr">
        <x:is>
          <x:t xml:space="preserve">official_irs_url</x:t>
        </x:is>
      </x:c>
      <x:c r="V4" s="3" t="inlineStr">
        <x:is>
          <x:t xml:space="preserve">selection_note</x:t>
        </x:is>
      </x:c>
    </x:row>
    <x:row r="5">
      <x:c r="A5" s="12" t="inlineStr">
        <x:is>
          <x:t xml:space="preserve">Center for AI Safety</x:t>
        </x:is>
      </x:c>
      <x:c r="B5" s="12" t="inlineStr">
        <x:is>
          <x:t xml:space="preserve">A</x:t>
        </x:is>
      </x:c>
      <x:c r="C5" s="12" t="inlineStr">
        <x:is>
          <x:t xml:space="preserve">Tier A expanded primary</x:t>
        </x:is>
      </x:c>
      <x:c r="D5" s="12" t="inlineStr">
        <x:is>
          <x:t xml:space="preserve">first expansion</x:t>
        </x:is>
      </x:c>
      <x:c r="E5" s="13" t="inlineStr">
        <x:is>
          <x:t xml:space="preserve">AI, catastrophic risk, biosecurity, and technology policy</x:t>
        </x:is>
      </x:c>
      <x:c r="F5" s="12" t="inlineStr">
        <x:is>
          <x:t xml:space="preserve">EA-adjacent</x:t>
        </x:is>
      </x:c>
      <x:c r="G5" s="12" t="inlineStr">
        <x:is>
          <x:t xml:space="preserve">US</x:t>
        </x:is>
      </x:c>
      <x:c r="H5" s="12" t="inlineStr">
        <x:is>
          <x:t xml:space="preserve">independent nonprofit</x:t>
        </x:is>
      </x:c>
      <x:c r="I5" s="12" t="inlineStr">
        <x:is>
          <x:t xml:space="preserve">88-1751310</x:t>
        </x:is>
      </x:c>
      <x:c r="J5" s="14" t="n">
        <x:v>10235085</x:v>
      </x:c>
      <x:c r="K5" s="14" t="n">
        <x:v>7163607</x:v>
      </x:c>
      <x:c r="L5" s="12" t="n">
        <x:v>25</x:v>
      </x:c>
      <x:c r="M5" s="15" t="n">
        <x:v>94</x:v>
      </x:c>
      <x:c r="N5" s="12" t="inlineStr">
        <x:is>
          <x:t xml:space="preserve">selected quantitative reference organization</x:t>
        </x:is>
      </x:c>
      <x:c r="O5" s="14" t="inlineStr">
        <x:is>
          <x:t xml:space="preserve">yes</x:t>
        </x:is>
      </x:c>
      <x:c r="P5" s="14" t="n">
        <x:v>258620.5539799792</x:v>
      </x:c>
      <x:c r="Q5" s="14" t="n">
        <x:v>282852.5588978037</x:v>
      </x:c>
      <x:c r="R5" s="12" t="inlineStr">
        <x:is>
          <x:t xml:space="preserve">President &amp; Treasurer</x:t>
        </x:is>
      </x:c>
      <x:c r="S5" s="14" t="n">
        <x:v>2024</x:v>
      </x:c>
      <x:c r="T5" s="16" t="inlineStr">
        <x:is>
          <x:t xml:space="preserve">https://projects.propublica.org/nonprofits/organizations/881751310</x:t>
        </x:is>
      </x:c>
      <x:c r="U5" s="16" t="inlineStr">
        <x:is>
          <x:t xml:space="preserve">https://apps.irs.gov/pub/epostcard/990/xml/2025/202503219349323615_public.xml</x:t>
        </x:is>
      </x:c>
      <x:c r="V5" s="13" t="inlineStr">
        <x:is>
          <x:t xml:space="preserve">Selected under the first expansion protocol before systematic pay review.</x:t>
        </x:is>
      </x:c>
    </x:row>
    <x:row r="6">
      <x:c r="A6" s="12" t="inlineStr">
        <x:is>
          <x:t xml:space="preserve">METR</x:t>
        </x:is>
      </x:c>
      <x:c r="B6" s="12" t="inlineStr">
        <x:is>
          <x:t xml:space="preserve">A</x:t>
        </x:is>
      </x:c>
      <x:c r="C6" s="12" t="inlineStr">
        <x:is>
          <x:t xml:space="preserve">Tier A expanded primary</x:t>
        </x:is>
      </x:c>
      <x:c r="D6" s="12" t="inlineStr">
        <x:is>
          <x:t xml:space="preserve">first expansion</x:t>
        </x:is>
      </x:c>
      <x:c r="E6" s="13" t="inlineStr">
        <x:is>
          <x:t xml:space="preserve">AI, catastrophic risk, biosecurity, and technology policy</x:t>
        </x:is>
      </x:c>
      <x:c r="F6" s="12" t="inlineStr">
        <x:is>
          <x:t xml:space="preserve">EA-adjacent</x:t>
        </x:is>
      </x:c>
      <x:c r="G6" s="12" t="inlineStr">
        <x:is>
          <x:t xml:space="preserve">US</x:t>
        </x:is>
      </x:c>
      <x:c r="H6" s="12" t="inlineStr">
        <x:is>
          <x:t xml:space="preserve">independent nonprofit</x:t>
        </x:is>
      </x:c>
      <x:c r="I6" s="12" t="inlineStr">
        <x:is>
          <x:t xml:space="preserve">99-1219864</x:t>
        </x:is>
      </x:c>
      <x:c r="J6" s="14" t="n">
        <x:v>13639155</x:v>
      </x:c>
      <x:c r="K6" s="14" t="n">
        <x:v>8234524</x:v>
      </x:c>
      <x:c r="L6" s="12" t="n">
        <x:v>38</x:v>
      </x:c>
      <x:c r="M6" s="15" t="n">
        <x:v>94</x:v>
      </x:c>
      <x:c r="N6" s="12" t="inlineStr">
        <x:is>
          <x:t xml:space="preserve">selected quantitative reference organization</x:t>
        </x:is>
      </x:c>
      <x:c r="O6" s="14" t="inlineStr">
        <x:is>
          <x:t xml:space="preserve">not collected/clean observation unavailable</x:t>
        </x:is>
      </x:c>
      <x:c r="P6" s="14" t="n"/>
      <x:c r="Q6" s="14" t="n"/>
      <x:c r="R6" s="12" t="n"/>
      <x:c r="S6" s="14" t="n"/>
      <x:c r="T6" s="17" t="n"/>
      <x:c r="U6" s="17" t="n"/>
      <x:c r="V6" s="13" t="inlineStr">
        <x:is>
          <x:t xml:space="preserve">Selected under the first expansion protocol before systematic pay review.</x:t>
        </x:is>
      </x:c>
    </x:row>
    <x:row r="7">
      <x:c r="A7" s="12" t="inlineStr">
        <x:is>
          <x:t xml:space="preserve">Partnership on AI</x:t>
        </x:is>
      </x:c>
      <x:c r="B7" s="12" t="inlineStr">
        <x:is>
          <x:t xml:space="preserve">A</x:t>
        </x:is>
      </x:c>
      <x:c r="C7" s="12" t="inlineStr">
        <x:is>
          <x:t xml:space="preserve">Tier A expanded primary</x:t>
        </x:is>
      </x:c>
      <x:c r="D7" s="12" t="inlineStr">
        <x:is>
          <x:t xml:space="preserve">first expansion</x:t>
        </x:is>
      </x:c>
      <x:c r="E7" s="13" t="inlineStr">
        <x:is>
          <x:t xml:space="preserve">AI, catastrophic risk, biosecurity, and technology policy</x:t>
        </x:is>
      </x:c>
      <x:c r="F7" s="12" t="inlineStr">
        <x:is>
          <x:t xml:space="preserve">EA-adjacent</x:t>
        </x:is>
      </x:c>
      <x:c r="G7" s="12" t="inlineStr">
        <x:is>
          <x:t xml:space="preserve">US/international</x:t>
        </x:is>
      </x:c>
      <x:c r="H7" s="12" t="inlineStr">
        <x:is>
          <x:t xml:space="preserve">independent nonprofit</x:t>
        </x:is>
      </x:c>
      <x:c r="I7" s="12" t="inlineStr">
        <x:is>
          <x:t xml:space="preserve">32-0518917</x:t>
        </x:is>
      </x:c>
      <x:c r="J7" s="14" t="n">
        <x:v>9023889</x:v>
      </x:c>
      <x:c r="K7" s="14" t="n">
        <x:v>8372133</x:v>
      </x:c>
      <x:c r="L7" s="12" t="n">
        <x:v>28</x:v>
      </x:c>
      <x:c r="M7" s="15" t="n">
        <x:v>94</x:v>
      </x:c>
      <x:c r="N7" s="12" t="inlineStr">
        <x:is>
          <x:t xml:space="preserve">selected quantitative reference organization</x:t>
        </x:is>
      </x:c>
      <x:c r="O7" s="14" t="inlineStr">
        <x:is>
          <x:t xml:space="preserve">yes</x:t>
        </x:is>
      </x:c>
      <x:c r="P7" s="14" t="n">
        <x:v>359044.3522556589</x:v>
      </x:c>
      <x:c r="Q7" s="14" t="n">
        <x:v>391756.0686115169</x:v>
      </x:c>
      <x:c r="R7" s="12" t="inlineStr">
        <x:is>
          <x:t xml:space="preserve">Chief Executive Officer</x:t>
        </x:is>
      </x:c>
      <x:c r="S7" s="14" t="n">
        <x:v>2024</x:v>
      </x:c>
      <x:c r="T7" s="16" t="inlineStr">
        <x:is>
          <x:t xml:space="preserve">https://projects.propublica.org/nonprofits/organizations/320518917</x:t>
        </x:is>
      </x:c>
      <x:c r="U7" s="16" t="inlineStr">
        <x:is>
          <x:t xml:space="preserve">https://apps.irs.gov/pub/epostcard/990/xml/2025/202543219349322709_public.xml</x:t>
        </x:is>
      </x:c>
      <x:c r="V7" s="13" t="inlineStr">
        <x:is>
          <x:t xml:space="preserve">Selected under the first expansion protocol before systematic pay review.</x:t>
        </x:is>
      </x:c>
    </x:row>
    <x:row r="8">
      <x:c r="A8" s="12" t="inlineStr">
        <x:is>
          <x:t xml:space="preserve">Population Reference Bureau</x:t>
        </x:is>
      </x:c>
      <x:c r="B8" s="12" t="inlineStr">
        <x:is>
          <x:t xml:space="preserve">A</x:t>
        </x:is>
      </x:c>
      <x:c r="C8" s="12" t="inlineStr">
        <x:is>
          <x:t xml:space="preserve">Tier A expanded primary</x:t>
        </x:is>
      </x:c>
      <x:c r="D8" s="12" t="inlineStr">
        <x:is>
          <x:t xml:space="preserve">first expansion</x:t>
        </x:is>
      </x:c>
      <x:c r="E8" s="12" t="inlineStr">
        <x:is>
          <x:t xml:space="preserve">Global health, development, and evidence</x:t>
        </x:is>
      </x:c>
      <x:c r="F8" s="12" t="inlineStr">
        <x:is>
          <x:t xml:space="preserve">EA-adjacent</x:t>
        </x:is>
      </x:c>
      <x:c r="G8" s="12" t="inlineStr">
        <x:is>
          <x:t xml:space="preserve">US/international</x:t>
        </x:is>
      </x:c>
      <x:c r="H8" s="12" t="inlineStr">
        <x:is>
          <x:t xml:space="preserve">independent nonprofit</x:t>
        </x:is>
      </x:c>
      <x:c r="I8" s="12" t="inlineStr">
        <x:is>
          <x:t xml:space="preserve">53-0214030</x:t>
        </x:is>
      </x:c>
      <x:c r="J8" s="14" t="n">
        <x:v>11745158</x:v>
      </x:c>
      <x:c r="K8" s="14" t="n">
        <x:v>12190648</x:v>
      </x:c>
      <x:c r="L8" s="12" t="n">
        <x:v>59</x:v>
      </x:c>
      <x:c r="M8" s="15" t="n">
        <x:v>94</x:v>
      </x:c>
      <x:c r="N8" s="12" t="inlineStr">
        <x:is>
          <x:t xml:space="preserve">selected quantitative reference organization</x:t>
        </x:is>
      </x:c>
      <x:c r="O8" s="14" t="inlineStr">
        <x:is>
          <x:t xml:space="preserve">yes</x:t>
        </x:is>
      </x:c>
      <x:c r="P8" s="14" t="n">
        <x:v>391827.2300586996</x:v>
      </x:c>
      <x:c r="Q8" s="14" t="n">
        <x:v>454470.2281921192</x:v>
      </x:c>
      <x:c r="R8" s="12" t="inlineStr">
        <x:is>
          <x:t xml:space="preserve">President &amp; CEO</x:t>
        </x:is>
      </x:c>
      <x:c r="S8" s="14" t="n">
        <x:v>2023</x:v>
      </x:c>
      <x:c r="T8" s="16" t="inlineStr">
        <x:is>
          <x:t xml:space="preserve">https://projects.propublica.org/nonprofits/organizations/530214030</x:t>
        </x:is>
      </x:c>
      <x:c r="U8" s="16" t="inlineStr">
        <x:is>
          <x:t xml:space="preserve">https://apps.irs.gov/pub/epostcard/990/xml/2025/202501789349301305_public.xml</x:t>
        </x:is>
      </x:c>
      <x:c r="V8" s="13" t="inlineStr">
        <x:is>
          <x:t xml:space="preserve">Selected under the first expansion protocol before systematic pay review.</x:t>
        </x:is>
      </x:c>
    </x:row>
    <x:row r="9">
      <x:c r="A9" s="12" t="inlineStr">
        <x:is>
          <x:t xml:space="preserve">Future of Privacy Forum</x:t>
        </x:is>
      </x:c>
      <x:c r="B9" s="12" t="inlineStr">
        <x:is>
          <x:t xml:space="preserve">A</x:t>
        </x:is>
      </x:c>
      <x:c r="C9" s="12" t="inlineStr">
        <x:is>
          <x:t xml:space="preserve">Tier A expanded primary</x:t>
        </x:is>
      </x:c>
      <x:c r="D9" s="12" t="inlineStr">
        <x:is>
          <x:t xml:space="preserve">first expansion</x:t>
        </x:is>
      </x:c>
      <x:c r="E9" s="13" t="inlineStr">
        <x:is>
          <x:t xml:space="preserve">AI, catastrophic risk, biosecurity, and technology policy</x:t>
        </x:is>
      </x:c>
      <x:c r="F9" s="12" t="inlineStr">
        <x:is>
          <x:t xml:space="preserve">EA-adjacent</x:t>
        </x:is>
      </x:c>
      <x:c r="G9" s="12" t="inlineStr">
        <x:is>
          <x:t xml:space="preserve">US/international</x:t>
        </x:is>
      </x:c>
      <x:c r="H9" s="12" t="inlineStr">
        <x:is>
          <x:t xml:space="preserve">independent nonprofit</x:t>
        </x:is>
      </x:c>
      <x:c r="I9" s="12" t="inlineStr">
        <x:is>
          <x:t xml:space="preserve">45-3763097</x:t>
        </x:is>
      </x:c>
      <x:c r="J9" s="14" t="n">
        <x:v>9862821</x:v>
      </x:c>
      <x:c r="K9" s="14" t="n">
        <x:v>14356624</x:v>
      </x:c>
      <x:c r="L9" s="12" t="n">
        <x:v>54</x:v>
      </x:c>
      <x:c r="M9" s="15" t="n">
        <x:v>93</x:v>
      </x:c>
      <x:c r="N9" s="12" t="inlineStr">
        <x:is>
          <x:t xml:space="preserve">selected quantitative reference organization</x:t>
        </x:is>
      </x:c>
      <x:c r="O9" s="14" t="inlineStr">
        <x:is>
          <x:t xml:space="preserve">yes</x:t>
        </x:is>
      </x:c>
      <x:c r="P9" s="14" t="n">
        <x:v>789788.3584932628</x:v>
      </x:c>
      <x:c r="Q9" s="14" t="n">
        <x:v>860843.9972329268</x:v>
      </x:c>
      <x:c r="R9" s="12" t="inlineStr">
        <x:is>
          <x:t xml:space="preserve">Chief Executive Officer</x:t>
        </x:is>
      </x:c>
      <x:c r="S9" s="14" t="n">
        <x:v>2024</x:v>
      </x:c>
      <x:c r="T9" s="16" t="inlineStr">
        <x:is>
          <x:t xml:space="preserve">https://projects.propublica.org/nonprofits/organizations/453763097</x:t>
        </x:is>
      </x:c>
      <x:c r="U9" s="16" t="inlineStr">
        <x:is>
          <x:t xml:space="preserve">https://apps.irs.gov/pub/epostcard/990/xml/2025/202543219349319589_public.xml</x:t>
        </x:is>
      </x:c>
      <x:c r="V9" s="13" t="inlineStr">
        <x:is>
          <x:t xml:space="preserve">Selected under the first expansion protocol before systematic pay review.</x:t>
        </x:is>
      </x:c>
    </x:row>
    <x:row r="10">
      <x:c r="A10" s="12" t="inlineStr">
        <x:is>
          <x:t xml:space="preserve">Center for Democracy &amp; Technology</x:t>
        </x:is>
      </x:c>
      <x:c r="B10" s="12" t="inlineStr">
        <x:is>
          <x:t xml:space="preserve">A</x:t>
        </x:is>
      </x:c>
      <x:c r="C10" s="12" t="inlineStr">
        <x:is>
          <x:t xml:space="preserve">Tier A expanded primary</x:t>
        </x:is>
      </x:c>
      <x:c r="D10" s="12" t="inlineStr">
        <x:is>
          <x:t xml:space="preserve">first expansion</x:t>
        </x:is>
      </x:c>
      <x:c r="E10" s="13" t="inlineStr">
        <x:is>
          <x:t xml:space="preserve">AI, catastrophic risk, biosecurity, and technology policy</x:t>
        </x:is>
      </x:c>
      <x:c r="F10" s="12" t="inlineStr">
        <x:is>
          <x:t xml:space="preserve">EA-adjacent</x:t>
        </x:is>
      </x:c>
      <x:c r="G10" s="12" t="inlineStr">
        <x:is>
          <x:t xml:space="preserve">US</x:t>
        </x:is>
      </x:c>
      <x:c r="H10" s="12" t="inlineStr">
        <x:is>
          <x:t xml:space="preserve">independent nonprofit</x:t>
        </x:is>
      </x:c>
      <x:c r="I10" s="12" t="inlineStr">
        <x:is>
          <x:t xml:space="preserve">52-1905358</x:t>
        </x:is>
      </x:c>
      <x:c r="J10" s="14" t="n">
        <x:v>11272645</x:v>
      </x:c>
      <x:c r="K10" s="14" t="n">
        <x:v>8766703</x:v>
      </x:c>
      <x:c r="L10" s="12" t="n">
        <x:v>45</x:v>
      </x:c>
      <x:c r="M10" s="15" t="n">
        <x:v>92</x:v>
      </x:c>
      <x:c r="N10" s="12" t="inlineStr">
        <x:is>
          <x:t xml:space="preserve">selected quantitative reference organization</x:t>
        </x:is>
      </x:c>
      <x:c r="O10" s="14" t="inlineStr">
        <x:is>
          <x:t xml:space="preserve">yes</x:t>
        </x:is>
      </x:c>
      <x:c r="P10" s="14" t="n">
        <x:v>444423.7415740546</x:v>
      </x:c>
      <x:c r="Q10" s="14" t="n">
        <x:v>493097.4555464466</x:v>
      </x:c>
      <x:c r="R10" s="12" t="inlineStr">
        <x:is>
          <x:t xml:space="preserve">President &amp; CEO</x:t>
        </x:is>
      </x:c>
      <x:c r="S10" s="14" t="n">
        <x:v>2024</x:v>
      </x:c>
      <x:c r="T10" s="16" t="inlineStr">
        <x:is>
          <x:t xml:space="preserve">https://projects.propublica.org/nonprofits/organizations/521905358</x:t>
        </x:is>
      </x:c>
      <x:c r="U10" s="16" t="inlineStr">
        <x:is>
          <x:t xml:space="preserve">https://apps.irs.gov/pub/epostcard/990/xml/2025/202533219349301933_public.xml</x:t>
        </x:is>
      </x:c>
      <x:c r="V10" s="13" t="inlineStr">
        <x:is>
          <x:t xml:space="preserve">Selected under the first expansion protocol before systematic pay review.</x:t>
        </x:is>
      </x:c>
    </x:row>
    <x:row r="11">
      <x:c r="A11" s="12" t="inlineStr">
        <x:is>
          <x:t xml:space="preserve">DataKind</x:t>
        </x:is>
      </x:c>
      <x:c r="B11" s="12" t="inlineStr">
        <x:is>
          <x:t xml:space="preserve">A</x:t>
        </x:is>
      </x:c>
      <x:c r="C11" s="12" t="inlineStr">
        <x:is>
          <x:t xml:space="preserve">Tier A expanded primary</x:t>
        </x:is>
      </x:c>
      <x:c r="D11" s="12" t="inlineStr">
        <x:is>
          <x:t xml:space="preserve">third expansion / filing verification</x:t>
        </x:is>
      </x:c>
      <x:c r="E11" s="12" t="inlineStr">
        <x:is>
          <x:t xml:space="preserve">data science and social impact</x:t>
        </x:is>
      </x:c>
      <x:c r="F11" s="12" t="inlineStr">
        <x:is>
          <x:t xml:space="preserve">EA-adjacent</x:t>
        </x:is>
      </x:c>
      <x:c r="G11" s="12" t="inlineStr">
        <x:is>
          <x:t xml:space="preserve">US/international</x:t>
        </x:is>
      </x:c>
      <x:c r="H11" s="12" t="inlineStr">
        <x:is>
          <x:t xml:space="preserve">independent nonprofit</x:t>
        </x:is>
      </x:c>
      <x:c r="I11" s="12" t="inlineStr">
        <x:is>
          <x:t xml:space="preserve">46-4082076</x:t>
        </x:is>
      </x:c>
      <x:c r="J11" s="14" t="n">
        <x:v>21931317</x:v>
      </x:c>
      <x:c r="K11" s="14" t="n">
        <x:v>7005078</x:v>
      </x:c>
      <x:c r="L11" s="12" t="n"/>
      <x:c r="M11" s="15" t="n">
        <x:v>92</x:v>
      </x:c>
      <x:c r="N11" s="12" t="inlineStr">
        <x:is>
          <x:t xml:space="preserve">selected quantitative reference organization</x:t>
        </x:is>
      </x:c>
      <x:c r="O11" s="14" t="inlineStr">
        <x:is>
          <x:t xml:space="preserve">yes</x:t>
        </x:is>
      </x:c>
      <x:c r="P11" s="14" t="n">
        <x:v>244832.2408671438</x:v>
      </x:c>
      <x:c r="Q11" s="14" t="n">
        <x:v>257073.852910501</x:v>
      </x:c>
      <x:c r="R11" s="12" t="inlineStr">
        <x:is>
          <x:t xml:space="preserve">Chief Executive Officer</x:t>
        </x:is>
      </x:c>
      <x:c r="S11" s="14" t="n">
        <x:v>2024</x:v>
      </x:c>
      <x:c r="T11" s="16" t="inlineStr">
        <x:is>
          <x:t xml:space="preserve">https://projects.propublica.org/nonprofits/organizations/464082076</x:t>
        </x:is>
      </x:c>
      <x:c r="U11" s="16" t="inlineStr">
        <x:is>
          <x:t xml:space="preserve">https://apps.irs.gov/pub/epostcard/990/xml/2026/202640939349300014_public.xml</x:t>
        </x:is>
      </x:c>
      <x:c r="V11" s="13" t="inlineStr">
        <x:is>
          <x:t xml:space="preserve">Added by the third-expansion freeze and retained after role/scale/title verification; pay did not determine selection.</x:t>
        </x:is>
      </x:c>
    </x:row>
    <x:row r="12">
      <x:c r="A12" s="12" t="inlineStr">
        <x:is>
          <x:t xml:space="preserve">FrameWorks Institute</x:t>
        </x:is>
      </x:c>
      <x:c r="B12" s="12" t="inlineStr">
        <x:is>
          <x:t xml:space="preserve">A</x:t>
        </x:is>
      </x:c>
      <x:c r="C12" s="12" t="inlineStr">
        <x:is>
          <x:t xml:space="preserve">Tier A expanded primary</x:t>
        </x:is>
      </x:c>
      <x:c r="D12" s="12" t="inlineStr">
        <x:is>
          <x:t xml:space="preserve">second expansion / filing verification</x:t>
        </x:is>
      </x:c>
      <x:c r="E12" s="13" t="inlineStr">
        <x:is>
          <x:t xml:space="preserve">Research, evaluation, philanthropy infrastructure, and policy</x:t>
        </x:is>
      </x:c>
      <x:c r="F12" s="12" t="inlineStr">
        <x:is>
          <x:t xml:space="preserve">functional-only</x:t>
        </x:is>
      </x:c>
      <x:c r="G12" s="12" t="inlineStr">
        <x:is>
          <x:t xml:space="preserve">US</x:t>
        </x:is>
      </x:c>
      <x:c r="H12" s="12" t="inlineStr">
        <x:is>
          <x:t xml:space="preserve">independent nonprofit</x:t>
        </x:is>
      </x:c>
      <x:c r="I12" s="12" t="inlineStr">
        <x:is>
          <x:t xml:space="preserve">71-0891642</x:t>
        </x:is>
      </x:c>
      <x:c r="J12" s="14" t="n">
        <x:v>5952829</x:v>
      </x:c>
      <x:c r="K12" s="14" t="n">
        <x:v>10039139</x:v>
      </x:c>
      <x:c r="L12" s="12" t="n"/>
      <x:c r="M12" s="15" t="n">
        <x:v>92</x:v>
      </x:c>
      <x:c r="N12" s="12" t="inlineStr">
        <x:is>
          <x:t xml:space="preserve">selected quantitative reference organization</x:t>
        </x:is>
      </x:c>
      <x:c r="O12" s="14" t="inlineStr">
        <x:is>
          <x:t xml:space="preserve">yes</x:t>
        </x:is>
      </x:c>
      <x:c r="P12" s="14" t="n">
        <x:v>454357.5436252379</x:v>
      </x:c>
      <x:c r="Q12" s="14" t="n">
        <x:v>519641.52840846</x:v>
      </x:c>
      <x:c r="R12" s="12" t="inlineStr">
        <x:is>
          <x:t xml:space="preserve">Chief Executive Officer</x:t>
        </x:is>
      </x:c>
      <x:c r="S12" s="14" t="n">
        <x:v>2024</x:v>
      </x:c>
      <x:c r="T12" s="16" t="inlineStr">
        <x:is>
          <x:t xml:space="preserve">https://projects.propublica.org/nonprofits/organizations/710891642</x:t>
        </x:is>
      </x:c>
      <x:c r="U12" s="16" t="inlineStr">
        <x:is>
          <x:t xml:space="preserve">https://apps.irs.gov/pub/epostcard/990/xml/2026/202641389349300439_public.xml</x:t>
        </x:is>
      </x:c>
      <x:c r="V12" s="13" t="inlineStr">
        <x:is>
          <x:t xml:space="preserve">Added by the second-expansion freeze and retained after role/scale verification; pay did not determine selection.</x:t>
        </x:is>
      </x:c>
    </x:row>
    <x:row r="13">
      <x:c r="A13" s="12" t="inlineStr">
        <x:is>
          <x:t xml:space="preserve">GivingTuesday</x:t>
        </x:is>
      </x:c>
      <x:c r="B13" s="12" t="inlineStr">
        <x:is>
          <x:t xml:space="preserve">A</x:t>
        </x:is>
      </x:c>
      <x:c r="C13" s="12" t="inlineStr">
        <x:is>
          <x:t xml:space="preserve">Tier A expanded primary</x:t>
        </x:is>
      </x:c>
      <x:c r="D13" s="12" t="inlineStr">
        <x:is>
          <x:t xml:space="preserve">second expansion / filing verification</x:t>
        </x:is>
      </x:c>
      <x:c r="E13" s="12" t="inlineStr">
        <x:is>
          <x:t xml:space="preserve">EA infrastructure and effective giving</x:t>
        </x:is>
      </x:c>
      <x:c r="F13" s="12" t="inlineStr">
        <x:is>
          <x:t xml:space="preserve">EA-adjacent</x:t>
        </x:is>
      </x:c>
      <x:c r="G13" s="12" t="inlineStr">
        <x:is>
          <x:t xml:space="preserve">US/international</x:t>
        </x:is>
      </x:c>
      <x:c r="H13" s="12" t="inlineStr">
        <x:is>
          <x:t xml:space="preserve">independent nonprofit</x:t>
        </x:is>
      </x:c>
      <x:c r="I13" s="12" t="inlineStr">
        <x:is>
          <x:t xml:space="preserve">84-2929872</x:t>
        </x:is>
      </x:c>
      <x:c r="J13" s="14" t="n">
        <x:v>3656742</x:v>
      </x:c>
      <x:c r="K13" s="14" t="n">
        <x:v>8638316</x:v>
      </x:c>
      <x:c r="L13" s="12" t="n"/>
      <x:c r="M13" s="15" t="n">
        <x:v>92</x:v>
      </x:c>
      <x:c r="N13" s="12" t="inlineStr">
        <x:is>
          <x:t xml:space="preserve">selected quantitative reference organization</x:t>
        </x:is>
      </x:c>
      <x:c r="O13" s="14" t="inlineStr">
        <x:is>
          <x:t xml:space="preserve">yes</x:t>
        </x:is>
      </x:c>
      <x:c r="P13" s="14" t="n">
        <x:v>447459.6613608072</x:v>
      </x:c>
      <x:c r="Q13" s="14" t="n">
        <x:v>492722.7557691194</x:v>
      </x:c>
      <x:c r="R13" s="12" t="inlineStr">
        <x:is>
          <x:t xml:space="preserve">Chief Executive Officer and President</x:t>
        </x:is>
      </x:c>
      <x:c r="S13" s="14" t="n">
        <x:v>2024</x:v>
      </x:c>
      <x:c r="T13" s="16" t="inlineStr">
        <x:is>
          <x:t xml:space="preserve">https://projects.propublica.org/nonprofits/organizations/842929872</x:t>
        </x:is>
      </x:c>
      <x:c r="U13" s="16" t="inlineStr">
        <x:is>
          <x:t xml:space="preserve">https://apps.irs.gov/pub/epostcard/990/xml/2026/202601219349300720_public.xml</x:t>
        </x:is>
      </x:c>
      <x:c r="V13" s="13" t="inlineStr">
        <x:is>
          <x:t xml:space="preserve">Added by the second-expansion freeze and retained after role/scale verification; pay did not determine selection.</x:t>
        </x:is>
      </x:c>
    </x:row>
    <x:row r="14">
      <x:c r="A14" s="12" t="inlineStr">
        <x:is>
          <x:t xml:space="preserve">Jain Family Institute</x:t>
        </x:is>
      </x:c>
      <x:c r="B14" s="12" t="inlineStr">
        <x:is>
          <x:t xml:space="preserve">A</x:t>
        </x:is>
      </x:c>
      <x:c r="C14" s="12" t="inlineStr">
        <x:is>
          <x:t xml:space="preserve">Tier A expanded primary</x:t>
        </x:is>
      </x:c>
      <x:c r="D14" s="12" t="inlineStr">
        <x:is>
          <x:t xml:space="preserve">third expansion / filing verification</x:t>
        </x:is>
      </x:c>
      <x:c r="E14" s="12" t="inlineStr">
        <x:is>
          <x:t xml:space="preserve">policy and evidence</x:t>
        </x:is>
      </x:c>
      <x:c r="F14" s="12" t="inlineStr">
        <x:is>
          <x:t xml:space="preserve">EA-adjacent</x:t>
        </x:is>
      </x:c>
      <x:c r="G14" s="12" t="inlineStr">
        <x:is>
          <x:t xml:space="preserve">US</x:t>
        </x:is>
      </x:c>
      <x:c r="H14" s="12" t="inlineStr">
        <x:is>
          <x:t xml:space="preserve">independent nonprofit</x:t>
        </x:is>
      </x:c>
      <x:c r="I14" s="12" t="inlineStr">
        <x:is>
          <x:t xml:space="preserve">47-4407203</x:t>
        </x:is>
      </x:c>
      <x:c r="J14" s="14" t="n">
        <x:v>5330418</x:v>
      </x:c>
      <x:c r="K14" s="14" t="n">
        <x:v>5374057</x:v>
      </x:c>
      <x:c r="L14" s="12" t="n"/>
      <x:c r="M14" s="15" t="n">
        <x:v>92</x:v>
      </x:c>
      <x:c r="N14" s="12" t="inlineStr">
        <x:is>
          <x:t xml:space="preserve">selected quantitative reference organization</x:t>
        </x:is>
      </x:c>
      <x:c r="O14" s="14" t="inlineStr">
        <x:is>
          <x:t xml:space="preserve">yes</x:t>
        </x:is>
      </x:c>
      <x:c r="P14" s="14" t="n">
        <x:v>227268.1888049357</x:v>
      </x:c>
      <x:c r="Q14" s="14" t="n">
        <x:v>270798.2967431101</x:v>
      </x:c>
      <x:c r="R14" s="12" t="inlineStr">
        <x:is>
          <x:t xml:space="preserve">CEO and Director</x:t>
        </x:is>
      </x:c>
      <x:c r="S14" s="14" t="n">
        <x:v>2024</x:v>
      </x:c>
      <x:c r="T14" s="16" t="inlineStr">
        <x:is>
          <x:t xml:space="preserve">https://projects.propublica.org/nonprofits/organizations/474407203</x:t>
        </x:is>
      </x:c>
      <x:c r="U14" s="16" t="inlineStr">
        <x:is>
          <x:t xml:space="preserve">https://apps.irs.gov/pub/epostcard/990/xml/2025/202523219349327407_public.xml</x:t>
        </x:is>
      </x:c>
      <x:c r="V14" s="13" t="inlineStr">
        <x:is>
          <x:t xml:space="preserve">Added by the third-expansion freeze and retained after role/scale/title verification; pay did not determine selection.</x:t>
        </x:is>
      </x:c>
    </x:row>
    <x:row r="15">
      <x:c r="A15" s="12" t="inlineStr">
        <x:is>
          <x:t xml:space="preserve">Center for Health Care Strategies</x:t>
        </x:is>
      </x:c>
      <x:c r="B15" s="12" t="inlineStr">
        <x:is>
          <x:t xml:space="preserve">A</x:t>
        </x:is>
      </x:c>
      <x:c r="C15" s="12" t="inlineStr">
        <x:is>
          <x:t xml:space="preserve">Tier A expanded primary</x:t>
        </x:is>
      </x:c>
      <x:c r="D15" s="12" t="inlineStr">
        <x:is>
          <x:t xml:space="preserve">third expansion / filing verification</x:t>
        </x:is>
      </x:c>
      <x:c r="E15" s="12" t="inlineStr">
        <x:is>
          <x:t xml:space="preserve">health policy and evidence</x:t>
        </x:is>
      </x:c>
      <x:c r="F15" s="12" t="inlineStr">
        <x:is>
          <x:t xml:space="preserve">functional-only</x:t>
        </x:is>
      </x:c>
      <x:c r="G15" s="12" t="inlineStr">
        <x:is>
          <x:t xml:space="preserve">US</x:t>
        </x:is>
      </x:c>
      <x:c r="H15" s="12" t="inlineStr">
        <x:is>
          <x:t xml:space="preserve">independent nonprofit</x:t>
        </x:is>
      </x:c>
      <x:c r="I15" s="12" t="inlineStr">
        <x:is>
          <x:t xml:space="preserve">22-3375015</x:t>
        </x:is>
      </x:c>
      <x:c r="J15" s="14" t="n">
        <x:v>11574666</x:v>
      </x:c>
      <x:c r="K15" s="14" t="n">
        <x:v>12363722</x:v>
      </x:c>
      <x:c r="L15" s="12" t="n"/>
      <x:c r="M15" s="15" t="n">
        <x:v>91</x:v>
      </x:c>
      <x:c r="N15" s="12" t="inlineStr">
        <x:is>
          <x:t xml:space="preserve">selected quantitative reference organization</x:t>
        </x:is>
      </x:c>
      <x:c r="O15" s="14" t="inlineStr">
        <x:is>
          <x:t xml:space="preserve">yes</x:t>
        </x:is>
      </x:c>
      <x:c r="P15" s="14" t="n">
        <x:v>349740.7271027074</x:v>
      </x:c>
      <x:c r="Q15" s="14" t="n">
        <x:v>421428.6717166109</x:v>
      </x:c>
      <x:c r="R15" s="12" t="inlineStr">
        <x:is>
          <x:t xml:space="preserve">President &amp; CEO</x:t>
        </x:is>
      </x:c>
      <x:c r="S15" s="14" t="n">
        <x:v>2024</x:v>
      </x:c>
      <x:c r="T15" s="16" t="inlineStr">
        <x:is>
          <x:t xml:space="preserve">https://projects.propublica.org/nonprofits/organizations/223375015</x:t>
        </x:is>
      </x:c>
      <x:c r="U15" s="16" t="inlineStr">
        <x:is>
          <x:t xml:space="preserve">https://apps.irs.gov/pub/epostcard/990/xml/2026/202631279349304653_public.xml</x:t>
        </x:is>
      </x:c>
      <x:c r="V15" s="13" t="inlineStr">
        <x:is>
          <x:t xml:space="preserve">Added by the third-expansion freeze and retained after role/scale/title verification; pay did not determine selection.</x:t>
        </x:is>
      </x:c>
    </x:row>
    <x:row r="16">
      <x:c r="A16" s="12" t="inlineStr">
        <x:is>
          <x:t xml:space="preserve">Climate Central</x:t>
        </x:is>
      </x:c>
      <x:c r="B16" s="12" t="inlineStr">
        <x:is>
          <x:t xml:space="preserve">A</x:t>
        </x:is>
      </x:c>
      <x:c r="C16" s="12" t="inlineStr">
        <x:is>
          <x:t xml:space="preserve">Tier A expanded primary</x:t>
        </x:is>
      </x:c>
      <x:c r="D16" s="12" t="inlineStr">
        <x:is>
          <x:t xml:space="preserve">second expansion / filing verification</x:t>
        </x:is>
      </x:c>
      <x:c r="E16" s="12" t="inlineStr">
        <x:is>
          <x:t xml:space="preserve">Climate, environment, and evidence</x:t>
        </x:is>
      </x:c>
      <x:c r="F16" s="12" t="inlineStr">
        <x:is>
          <x:t xml:space="preserve">EA-adjacent</x:t>
        </x:is>
      </x:c>
      <x:c r="G16" s="12" t="inlineStr">
        <x:is>
          <x:t xml:space="preserve">US</x:t>
        </x:is>
      </x:c>
      <x:c r="H16" s="12" t="inlineStr">
        <x:is>
          <x:t xml:space="preserve">independent nonprofit</x:t>
        </x:is>
      </x:c>
      <x:c r="I16" s="12" t="inlineStr">
        <x:is>
          <x:t xml:space="preserve">26-1797336</x:t>
        </x:is>
      </x:c>
      <x:c r="J16" s="14" t="n">
        <x:v>22272608</x:v>
      </x:c>
      <x:c r="K16" s="14" t="n">
        <x:v>11535677</x:v>
      </x:c>
      <x:c r="L16" s="12" t="n"/>
      <x:c r="M16" s="15" t="n">
        <x:v>91</x:v>
      </x:c>
      <x:c r="N16" s="12" t="inlineStr">
        <x:is>
          <x:t xml:space="preserve">selected quantitative reference organization</x:t>
        </x:is>
      </x:c>
      <x:c r="O16" s="14" t="inlineStr">
        <x:is>
          <x:t xml:space="preserve">yes</x:t>
        </x:is>
      </x:c>
      <x:c r="P16" s="14" t="n">
        <x:v>321318.1426836428</x:v>
      </x:c>
      <x:c r="Q16" s="14" t="n">
        <x:v>406571.5071860547</x:v>
      </x:c>
      <x:c r="R16" s="12" t="inlineStr">
        <x:is>
          <x:t xml:space="preserve">CEO &amp; Chief Scientist</x:t>
        </x:is>
      </x:c>
      <x:c r="S16" s="14" t="n">
        <x:v>2025</x:v>
      </x:c>
      <x:c r="T16" s="16" t="inlineStr">
        <x:is>
          <x:t xml:space="preserve">https://projects.propublica.org/nonprofits/organizations/261797336</x:t>
        </x:is>
      </x:c>
      <x:c r="U16" s="16" t="inlineStr">
        <x:is>
          <x:t xml:space="preserve">https://apps.irs.gov/pub/epostcard/990/xml/2026/202631769349300823_public.xml</x:t>
        </x:is>
      </x:c>
      <x:c r="V16" s="13" t="inlineStr">
        <x:is>
          <x:t xml:space="preserve">Added by the second-expansion freeze and retained after role/scale verification; pay did not determine selection.</x:t>
        </x:is>
      </x:c>
    </x:row>
    <x:row r="17">
      <x:c r="A17" s="12" t="inlineStr">
        <x:is>
          <x:t xml:space="preserve">Demos</x:t>
        </x:is>
      </x:c>
      <x:c r="B17" s="12" t="inlineStr">
        <x:is>
          <x:t xml:space="preserve">A</x:t>
        </x:is>
      </x:c>
      <x:c r="C17" s="12" t="inlineStr">
        <x:is>
          <x:t xml:space="preserve">Tier A expanded primary</x:t>
        </x:is>
      </x:c>
      <x:c r="D17" s="12" t="inlineStr">
        <x:is>
          <x:t xml:space="preserve">second expansion / filing verification</x:t>
        </x:is>
      </x:c>
      <x:c r="E17" s="13" t="inlineStr">
        <x:is>
          <x:t xml:space="preserve">Research, evaluation, philanthropy infrastructure, and policy</x:t>
        </x:is>
      </x:c>
      <x:c r="F17" s="12" t="inlineStr">
        <x:is>
          <x:t xml:space="preserve">EA-adjacent</x:t>
        </x:is>
      </x:c>
      <x:c r="G17" s="12" t="inlineStr">
        <x:is>
          <x:t xml:space="preserve">US</x:t>
        </x:is>
      </x:c>
      <x:c r="H17" s="12" t="inlineStr">
        <x:is>
          <x:t xml:space="preserve">independent nonprofit</x:t>
        </x:is>
      </x:c>
      <x:c r="I17" s="12" t="inlineStr">
        <x:is>
          <x:t xml:space="preserve">13-4105066</x:t>
        </x:is>
      </x:c>
      <x:c r="J17" s="14" t="n">
        <x:v>7617808</x:v>
      </x:c>
      <x:c r="K17" s="14" t="n">
        <x:v>8584066</x:v>
      </x:c>
      <x:c r="L17" s="12" t="n"/>
      <x:c r="M17" s="15" t="n">
        <x:v>91</x:v>
      </x:c>
      <x:c r="N17" s="12" t="inlineStr">
        <x:is>
          <x:t xml:space="preserve">selected quantitative reference organization</x:t>
        </x:is>
      </x:c>
      <x:c r="O17" s="14" t="inlineStr">
        <x:is>
          <x:t xml:space="preserve">yes</x:t>
        </x:is>
      </x:c>
      <x:c r="P17" s="14" t="n">
        <x:v>309553.1114963714</x:v>
      </x:c>
      <x:c r="Q17" s="14" t="n">
        <x:v>370965.5534098813</x:v>
      </x:c>
      <x:c r="R17" s="12" t="inlineStr">
        <x:is>
          <x:t xml:space="preserve">President</x:t>
        </x:is>
      </x:c>
      <x:c r="S17" s="14" t="n">
        <x:v>2024</x:v>
      </x:c>
      <x:c r="T17" s="16" t="inlineStr">
        <x:is>
          <x:t xml:space="preserve">https://projects.propublica.org/nonprofits/organizations/134105066</x:t>
        </x:is>
      </x:c>
      <x:c r="U17" s="16" t="inlineStr">
        <x:is>
          <x:t xml:space="preserve">https://apps.irs.gov/pub/epostcard/990/xml/2025/202503159349306085_public.xml</x:t>
        </x:is>
      </x:c>
      <x:c r="V17" s="13" t="inlineStr">
        <x:is>
          <x:t xml:space="preserve">Added by the second-expansion freeze and retained after role/scale verification; pay did not determine selection.</x:t>
        </x:is>
      </x:c>
    </x:row>
    <x:row r="18">
      <x:c r="A18" s="12" t="inlineStr">
        <x:is>
          <x:t xml:space="preserve">FAR AI</x:t>
        </x:is>
      </x:c>
      <x:c r="B18" s="12" t="inlineStr">
        <x:is>
          <x:t xml:space="preserve">A</x:t>
        </x:is>
      </x:c>
      <x:c r="C18" s="12" t="inlineStr">
        <x:is>
          <x:t xml:space="preserve">Tier A expanded primary</x:t>
        </x:is>
      </x:c>
      <x:c r="D18" s="12" t="inlineStr">
        <x:is>
          <x:t xml:space="preserve">first expansion</x:t>
        </x:is>
      </x:c>
      <x:c r="E18" s="13" t="inlineStr">
        <x:is>
          <x:t xml:space="preserve">AI, catastrophic risk, biosecurity, and technology policy</x:t>
        </x:is>
      </x:c>
      <x:c r="F18" s="12" t="inlineStr">
        <x:is>
          <x:t xml:space="preserve">EA-adjacent</x:t>
        </x:is>
      </x:c>
      <x:c r="G18" s="12" t="inlineStr">
        <x:is>
          <x:t xml:space="preserve">US</x:t>
        </x:is>
      </x:c>
      <x:c r="H18" s="12" t="inlineStr">
        <x:is>
          <x:t xml:space="preserve">independent nonprofit</x:t>
        </x:is>
      </x:c>
      <x:c r="I18" s="12" t="inlineStr">
        <x:is>
          <x:t xml:space="preserve">92-0692207</x:t>
        </x:is>
      </x:c>
      <x:c r="J18" s="14" t="n">
        <x:v>24293765</x:v>
      </x:c>
      <x:c r="K18" s="14" t="n">
        <x:v>8602996</x:v>
      </x:c>
      <x:c r="L18" s="12" t="n">
        <x:v>22</x:v>
      </x:c>
      <x:c r="M18" s="15" t="n">
        <x:v>91</x:v>
      </x:c>
      <x:c r="N18" s="12" t="inlineStr">
        <x:is>
          <x:t xml:space="preserve">selected quantitative reference organization</x:t>
        </x:is>
      </x:c>
      <x:c r="O18" s="14" t="inlineStr">
        <x:is>
          <x:t xml:space="preserve">yes</x:t>
        </x:is>
      </x:c>
      <x:c r="P18" s="14" t="n">
        <x:v>244120.0983926216</x:v>
      </x:c>
      <x:c r="Q18" s="14" t="n">
        <x:v>252926.6076478124</x:v>
      </x:c>
      <x:c r="R18" s="12" t="inlineStr">
        <x:is>
          <x:t xml:space="preserve">President/CEO</x:t>
        </x:is>
      </x:c>
      <x:c r="S18" s="14" t="n">
        <x:v>2024</x:v>
      </x:c>
      <x:c r="T18" s="16" t="inlineStr">
        <x:is>
          <x:t xml:space="preserve">https://projects.propublica.org/nonprofits/organizations/920692207</x:t>
        </x:is>
      </x:c>
      <x:c r="U18" s="16" t="inlineStr">
        <x:is>
          <x:t xml:space="preserve">https://apps.irs.gov/pub/epostcard/990/xml/2025/202543189349316054_public.xml</x:t>
        </x:is>
      </x:c>
      <x:c r="V18" s="13" t="inlineStr">
        <x:is>
          <x:t xml:space="preserve">Selected under the first expansion protocol before systematic pay review.</x:t>
        </x:is>
      </x:c>
    </x:row>
    <x:row r="19">
      <x:c r="A19" s="12" t="inlineStr">
        <x:is>
          <x:t xml:space="preserve">Internet Security Research Group</x:t>
        </x:is>
      </x:c>
      <x:c r="B19" s="12" t="inlineStr">
        <x:is>
          <x:t xml:space="preserve">A</x:t>
        </x:is>
      </x:c>
      <x:c r="C19" s="12" t="inlineStr">
        <x:is>
          <x:t xml:space="preserve">Tier A expanded primary</x:t>
        </x:is>
      </x:c>
      <x:c r="D19" s="12" t="inlineStr">
        <x:is>
          <x:t xml:space="preserve">second expansion / filing verification</x:t>
        </x:is>
      </x:c>
      <x:c r="E19" s="13" t="inlineStr">
        <x:is>
          <x:t xml:space="preserve">AI, catastrophic risk, biosecurity, and technology policy</x:t>
        </x:is>
      </x:c>
      <x:c r="F19" s="12" t="inlineStr">
        <x:is>
          <x:t xml:space="preserve">EA-adjacent</x:t>
        </x:is>
      </x:c>
      <x:c r="G19" s="12" t="inlineStr">
        <x:is>
          <x:t xml:space="preserve">US/international</x:t>
        </x:is>
      </x:c>
      <x:c r="H19" s="12" t="inlineStr">
        <x:is>
          <x:t xml:space="preserve">independent nonprofit</x:t>
        </x:is>
      </x:c>
      <x:c r="I19" s="12" t="inlineStr">
        <x:is>
          <x:t xml:space="preserve">46-3344200</x:t>
        </x:is>
      </x:c>
      <x:c r="J19" s="14" t="n">
        <x:v>9563960</x:v>
      </x:c>
      <x:c r="K19" s="14" t="n">
        <x:v>7925896</x:v>
      </x:c>
      <x:c r="L19" s="12" t="n"/>
      <x:c r="M19" s="15" t="n">
        <x:v>91</x:v>
      </x:c>
      <x:c r="N19" s="12" t="inlineStr">
        <x:is>
          <x:t xml:space="preserve">selected quantitative reference organization</x:t>
        </x:is>
      </x:c>
      <x:c r="O19" s="14" t="inlineStr">
        <x:is>
          <x:t xml:space="preserve">yes</x:t>
        </x:is>
      </x:c>
      <x:c r="P19" s="14" t="n">
        <x:v>375604.5921303117</x:v>
      </x:c>
      <x:c r="Q19" s="14" t="n">
        <x:v>423353.2660274274</x:v>
      </x:c>
      <x:c r="R19" s="12" t="inlineStr">
        <x:is>
          <x:t xml:space="preserve">Executive Director</x:t>
        </x:is>
      </x:c>
      <x:c r="S19" s="14" t="n">
        <x:v>2024</x:v>
      </x:c>
      <x:c r="T19" s="16" t="inlineStr">
        <x:is>
          <x:t xml:space="preserve">https://projects.propublica.org/nonprofits/organizations/463344200</x:t>
        </x:is>
      </x:c>
      <x:c r="U19" s="16" t="inlineStr">
        <x:is>
          <x:t xml:space="preserve">https://apps.irs.gov/pub/epostcard/990/xml/2025/202501889349300640_public.xml</x:t>
        </x:is>
      </x:c>
      <x:c r="V19" s="13" t="inlineStr">
        <x:is>
          <x:t xml:space="preserve">Added by the second-expansion freeze and retained after role/scale verification; pay did not determine selection.</x:t>
        </x:is>
      </x:c>
    </x:row>
    <x:row r="20">
      <x:c r="A20" s="12" t="inlineStr">
        <x:is>
          <x:t xml:space="preserve">National Academy for State Health Policy</x:t>
        </x:is>
      </x:c>
      <x:c r="B20" s="12" t="inlineStr">
        <x:is>
          <x:t xml:space="preserve">A</x:t>
        </x:is>
      </x:c>
      <x:c r="C20" s="12" t="inlineStr">
        <x:is>
          <x:t xml:space="preserve">Tier A expanded primary</x:t>
        </x:is>
      </x:c>
      <x:c r="D20" s="12" t="inlineStr">
        <x:is>
          <x:t xml:space="preserve">third expansion / filing verification</x:t>
        </x:is>
      </x:c>
      <x:c r="E20" s="12" t="inlineStr">
        <x:is>
          <x:t xml:space="preserve">health policy and evidence</x:t>
        </x:is>
      </x:c>
      <x:c r="F20" s="12" t="inlineStr">
        <x:is>
          <x:t xml:space="preserve">functional-only</x:t>
        </x:is>
      </x:c>
      <x:c r="G20" s="12" t="inlineStr">
        <x:is>
          <x:t xml:space="preserve">US</x:t>
        </x:is>
      </x:c>
      <x:c r="H20" s="12" t="inlineStr">
        <x:is>
          <x:t xml:space="preserve">independent nonprofit</x:t>
        </x:is>
      </x:c>
      <x:c r="I20" s="12" t="inlineStr">
        <x:is>
          <x:t xml:space="preserve">52-1576801</x:t>
        </x:is>
      </x:c>
      <x:c r="J20" s="14" t="n">
        <x:v>10917630</x:v>
      </x:c>
      <x:c r="K20" s="14" t="n">
        <x:v>11008991</x:v>
      </x:c>
      <x:c r="L20" s="12" t="n"/>
      <x:c r="M20" s="15" t="n">
        <x:v>91</x:v>
      </x:c>
      <x:c r="N20" s="12" t="inlineStr">
        <x:is>
          <x:t xml:space="preserve">selected quantitative reference organization</x:t>
        </x:is>
      </x:c>
      <x:c r="O20" s="14" t="inlineStr">
        <x:is>
          <x:t xml:space="preserve">yes</x:t>
        </x:is>
      </x:c>
      <x:c r="P20" s="14" t="n">
        <x:v>430493.8515567179</x:v>
      </x:c>
      <x:c r="Q20" s="14" t="n">
        <x:v>487131.0002853146</x:v>
      </x:c>
      <x:c r="R20" s="12" t="inlineStr">
        <x:is>
          <x:t xml:space="preserve">President / Executive Director</x:t>
        </x:is>
      </x:c>
      <x:c r="S20" s="14" t="n">
        <x:v>2024</x:v>
      </x:c>
      <x:c r="T20" s="16" t="inlineStr">
        <x:is>
          <x:t xml:space="preserve">https://projects.propublica.org/nonprofits/organizations/521576801</x:t>
        </x:is>
      </x:c>
      <x:c r="U20" s="16" t="inlineStr">
        <x:is>
          <x:t xml:space="preserve">https://apps.irs.gov/pub/epostcard/990/xml/2025/202503179349302775_public.xml</x:t>
        </x:is>
      </x:c>
      <x:c r="V20" s="13" t="inlineStr">
        <x:is>
          <x:t xml:space="preserve">Added by the third-expansion freeze and retained after role/scale/title verification; pay did not determine selection.</x:t>
        </x:is>
      </x:c>
    </x:row>
    <x:row r="21">
      <x:c r="A21" s="12" t="inlineStr">
        <x:is>
          <x:t xml:space="preserve">ORCID</x:t>
        </x:is>
      </x:c>
      <x:c r="B21" s="12" t="inlineStr">
        <x:is>
          <x:t xml:space="preserve">A</x:t>
        </x:is>
      </x:c>
      <x:c r="C21" s="12" t="inlineStr">
        <x:is>
          <x:t xml:space="preserve">Tier A expanded primary</x:t>
        </x:is>
      </x:c>
      <x:c r="D21" s="12" t="inlineStr">
        <x:is>
          <x:t xml:space="preserve">third expansion / filing verification</x:t>
        </x:is>
      </x:c>
      <x:c r="E21" s="12" t="inlineStr">
        <x:is>
          <x:t xml:space="preserve">open science infrastructure</x:t>
        </x:is>
      </x:c>
      <x:c r="F21" s="12" t="inlineStr">
        <x:is>
          <x:t xml:space="preserve">EA-adjacent</x:t>
        </x:is>
      </x:c>
      <x:c r="G21" s="12" t="inlineStr">
        <x:is>
          <x:t xml:space="preserve">US/international</x:t>
        </x:is>
      </x:c>
      <x:c r="H21" s="12" t="inlineStr">
        <x:is>
          <x:t xml:space="preserve">membership nonprofit</x:t>
        </x:is>
      </x:c>
      <x:c r="I21" s="12" t="inlineStr">
        <x:is>
          <x:t xml:space="preserve">27-5142743</x:t>
        </x:is>
      </x:c>
      <x:c r="J21" s="14" t="n">
        <x:v>6811163</x:v>
      </x:c>
      <x:c r="K21" s="14" t="n">
        <x:v>5803116</x:v>
      </x:c>
      <x:c r="L21" s="12" t="n"/>
      <x:c r="M21" s="15" t="n">
        <x:v>91</x:v>
      </x:c>
      <x:c r="N21" s="12" t="inlineStr">
        <x:is>
          <x:t xml:space="preserve">selected quantitative reference organization</x:t>
        </x:is>
      </x:c>
      <x:c r="O21" s="14" t="inlineStr">
        <x:is>
          <x:t xml:space="preserve">yes</x:t>
        </x:is>
      </x:c>
      <x:c r="P21" s="14" t="n">
        <x:v>311006.1376215177</x:v>
      </x:c>
      <x:c r="Q21" s="14" t="n">
        <x:v>339476.9337703552</x:v>
      </x:c>
      <x:c r="R21" s="12" t="inlineStr">
        <x:is>
          <x:t xml:space="preserve">Executive Director</x:t>
        </x:is>
      </x:c>
      <x:c r="S21" s="14" t="n">
        <x:v>2024</x:v>
      </x:c>
      <x:c r="T21" s="16" t="inlineStr">
        <x:is>
          <x:t xml:space="preserve">https://projects.propublica.org/nonprofits/organizations/275142743</x:t>
        </x:is>
      </x:c>
      <x:c r="U21" s="16" t="inlineStr">
        <x:is>
          <x:t xml:space="preserve">https://apps.irs.gov/pub/epostcard/990/xml/2025/202501769349301020_public.xml</x:t>
        </x:is>
      </x:c>
      <x:c r="V21" s="13" t="inlineStr">
        <x:is>
          <x:t xml:space="preserve">Added by the third-expansion freeze and retained after role/scale/title verification; pay did not determine selection.</x:t>
        </x:is>
      </x:c>
    </x:row>
    <x:row r="22">
      <x:c r="A22" s="12" t="inlineStr">
        <x:is>
          <x:t xml:space="preserve">Project Drawdown</x:t>
        </x:is>
      </x:c>
      <x:c r="B22" s="12" t="inlineStr">
        <x:is>
          <x:t xml:space="preserve">A</x:t>
        </x:is>
      </x:c>
      <x:c r="C22" s="12" t="inlineStr">
        <x:is>
          <x:t xml:space="preserve">Tier A expanded primary</x:t>
        </x:is>
      </x:c>
      <x:c r="D22" s="12" t="inlineStr">
        <x:is>
          <x:t xml:space="preserve">third expansion / filing verification</x:t>
        </x:is>
      </x:c>
      <x:c r="E22" s="12" t="inlineStr">
        <x:is>
          <x:t xml:space="preserve">climate and evidence</x:t>
        </x:is>
      </x:c>
      <x:c r="F22" s="12" t="inlineStr">
        <x:is>
          <x:t xml:space="preserve">EA-adjacent</x:t>
        </x:is>
      </x:c>
      <x:c r="G22" s="12" t="inlineStr">
        <x:is>
          <x:t xml:space="preserve">US/international</x:t>
        </x:is>
      </x:c>
      <x:c r="H22" s="12" t="inlineStr">
        <x:is>
          <x:t xml:space="preserve">independent nonprofit</x:t>
        </x:is>
      </x:c>
      <x:c r="I22" s="12" t="inlineStr">
        <x:is>
          <x:t xml:space="preserve">38-3705448</x:t>
        </x:is>
      </x:c>
      <x:c r="J22" s="14" t="n">
        <x:v>8269185</x:v>
      </x:c>
      <x:c r="K22" s="14" t="n">
        <x:v>4479322</x:v>
      </x:c>
      <x:c r="L22" s="12" t="n"/>
      <x:c r="M22" s="15" t="n">
        <x:v>91</x:v>
      </x:c>
      <x:c r="N22" s="12" t="inlineStr">
        <x:is>
          <x:t xml:space="preserve">selected quantitative reference organization</x:t>
        </x:is>
      </x:c>
      <x:c r="O22" s="14" t="inlineStr">
        <x:is>
          <x:t xml:space="preserve">yes</x:t>
        </x:is>
      </x:c>
      <x:c r="P22" s="14" t="n">
        <x:v>444921.921959819</x:v>
      </x:c>
      <x:c r="Q22" s="14" t="n">
        <x:v>509208.4814835083</x:v>
      </x:c>
      <x:c r="R22" s="12" t="inlineStr">
        <x:is>
          <x:t xml:space="preserve">Executive Director</x:t>
        </x:is>
      </x:c>
      <x:c r="S22" s="14" t="n">
        <x:v>2024</x:v>
      </x:c>
      <x:c r="T22" s="16" t="inlineStr">
        <x:is>
          <x:t xml:space="preserve">https://projects.propublica.org/nonprofits/organizations/383705448</x:t>
        </x:is>
      </x:c>
      <x:c r="U22" s="16" t="inlineStr">
        <x:is>
          <x:t xml:space="preserve">https://apps.irs.gov/pub/epostcard/990/xml/2025/202512529349301621_public.xml</x:t>
        </x:is>
      </x:c>
      <x:c r="V22" s="13" t="inlineStr">
        <x:is>
          <x:t xml:space="preserve">Added by the third-expansion freeze and retained after role/scale/title verification; pay did not determine selection.</x:t>
        </x:is>
      </x:c>
    </x:row>
    <x:row r="23">
      <x:c r="A23" s="12" t="inlineStr">
        <x:is>
          <x:t xml:space="preserve">Quincy Institute for Responsible Statecraft</x:t>
        </x:is>
      </x:c>
      <x:c r="B23" s="12" t="inlineStr">
        <x:is>
          <x:t xml:space="preserve">A</x:t>
        </x:is>
      </x:c>
      <x:c r="C23" s="12" t="inlineStr">
        <x:is>
          <x:t xml:space="preserve">Tier A expanded primary</x:t>
        </x:is>
      </x:c>
      <x:c r="D23" s="12" t="inlineStr">
        <x:is>
          <x:t xml:space="preserve">second expansion / filing verification</x:t>
        </x:is>
      </x:c>
      <x:c r="E23" s="13" t="inlineStr">
        <x:is>
          <x:t xml:space="preserve">AI, catastrophic risk, biosecurity, and technology policy</x:t>
        </x:is>
      </x:c>
      <x:c r="F23" s="12" t="inlineStr">
        <x:is>
          <x:t xml:space="preserve">EA-adjacent</x:t>
        </x:is>
      </x:c>
      <x:c r="G23" s="12" t="inlineStr">
        <x:is>
          <x:t xml:space="preserve">US</x:t>
        </x:is>
      </x:c>
      <x:c r="H23" s="12" t="inlineStr">
        <x:is>
          <x:t xml:space="preserve">independent nonprofit</x:t>
        </x:is>
      </x:c>
      <x:c r="I23" s="12" t="inlineStr">
        <x:is>
          <x:t xml:space="preserve">84-2285143</x:t>
        </x:is>
      </x:c>
      <x:c r="J23" s="14" t="n">
        <x:v>5498898</x:v>
      </x:c>
      <x:c r="K23" s="14" t="n">
        <x:v>7389743</x:v>
      </x:c>
      <x:c r="L23" s="12" t="n"/>
      <x:c r="M23" s="15" t="n">
        <x:v>91</x:v>
      </x:c>
      <x:c r="N23" s="12" t="inlineStr">
        <x:is>
          <x:t xml:space="preserve">selected quantitative reference organization</x:t>
        </x:is>
      </x:c>
      <x:c r="O23" s="14" t="inlineStr">
        <x:is>
          <x:t xml:space="preserve">yes</x:t>
        </x:is>
      </x:c>
      <x:c r="P23" s="14" t="n">
        <x:v>305905.111107451</x:v>
      </x:c>
      <x:c r="Q23" s="14" t="n">
        <x:v>361955.7269459703</x:v>
      </x:c>
      <x:c r="R23" s="12" t="inlineStr">
        <x:is>
          <x:t xml:space="preserve">Chief Executive Officer</x:t>
        </x:is>
      </x:c>
      <x:c r="S23" s="14" t="n">
        <x:v>2024</x:v>
      </x:c>
      <x:c r="T23" s="16" t="inlineStr">
        <x:is>
          <x:t xml:space="preserve">https://projects.propublica.org/nonprofits/organizations/842285143</x:t>
        </x:is>
      </x:c>
      <x:c r="U23" s="16" t="inlineStr">
        <x:is>
          <x:t xml:space="preserve">https://apps.irs.gov/pub/epostcard/990/xml/2025/202523169349300137_public.xml</x:t>
        </x:is>
      </x:c>
      <x:c r="V23" s="13" t="inlineStr">
        <x:is>
          <x:t xml:space="preserve">Added by the second-expansion freeze and retained after role/scale verification; pay did not determine selection.</x:t>
        </x:is>
      </x:c>
    </x:row>
    <x:row r="24">
      <x:c r="A24" s="12" t="inlineStr">
        <x:is>
          <x:t xml:space="preserve">ideas42</x:t>
        </x:is>
      </x:c>
      <x:c r="B24" s="12" t="inlineStr">
        <x:is>
          <x:t xml:space="preserve">A</x:t>
        </x:is>
      </x:c>
      <x:c r="C24" s="12" t="inlineStr">
        <x:is>
          <x:t xml:space="preserve">Tier A expanded primary</x:t>
        </x:is>
      </x:c>
      <x:c r="D24" s="12" t="inlineStr">
        <x:is>
          <x:t xml:space="preserve">first expansion</x:t>
        </x:is>
      </x:c>
      <x:c r="E24" s="12" t="inlineStr">
        <x:is>
          <x:t xml:space="preserve">Global health, development, and evidence</x:t>
        </x:is>
      </x:c>
      <x:c r="F24" s="12" t="inlineStr">
        <x:is>
          <x:t xml:space="preserve">EA-adjacent</x:t>
        </x:is>
      </x:c>
      <x:c r="G24" s="12" t="inlineStr">
        <x:is>
          <x:t xml:space="preserve">US/international</x:t>
        </x:is>
      </x:c>
      <x:c r="H24" s="12" t="inlineStr">
        <x:is>
          <x:t xml:space="preserve">independent nonprofit</x:t>
        </x:is>
      </x:c>
      <x:c r="I24" s="12" t="inlineStr">
        <x:is>
          <x:t xml:space="preserve">27-1678009</x:t>
        </x:is>
      </x:c>
      <x:c r="J24" s="14" t="n">
        <x:v>10958819</x:v>
      </x:c>
      <x:c r="K24" s="14" t="n">
        <x:v>17493077</x:v>
      </x:c>
      <x:c r="L24" s="12" t="n">
        <x:v>103</x:v>
      </x:c>
      <x:c r="M24" s="15" t="n">
        <x:v>91</x:v>
      </x:c>
      <x:c r="N24" s="12" t="inlineStr">
        <x:is>
          <x:t xml:space="preserve">selected quantitative reference organization</x:t>
        </x:is>
      </x:c>
      <x:c r="O24" s="14" t="inlineStr">
        <x:is>
          <x:t xml:space="preserve">yes</x:t>
        </x:is>
      </x:c>
      <x:c r="P24" s="14" t="n">
        <x:v>266772.4655998123</x:v>
      </x:c>
      <x:c r="Q24" s="14" t="n">
        <x:v>297784.9249990223</x:v>
      </x:c>
      <x:c r="R24" s="12" t="inlineStr">
        <x:is>
          <x:t xml:space="preserve">Chief Executive Director</x:t>
        </x:is>
      </x:c>
      <x:c r="S24" s="14" t="n">
        <x:v>2023</x:v>
      </x:c>
      <x:c r="T24" s="16" t="inlineStr">
        <x:is>
          <x:t xml:space="preserve">https://projects.propublica.org/nonprofits/organizations/271678009</x:t>
        </x:is>
      </x:c>
      <x:c r="U24" s="16" t="inlineStr">
        <x:is>
          <x:t xml:space="preserve">https://apps.irs.gov/pub/epostcard/990/xml/2024/202423199349314832_public.xml</x:t>
        </x:is>
      </x:c>
      <x:c r="V24" s="13" t="inlineStr">
        <x:is>
          <x:t xml:space="preserve">Selected under the first expansion protocol before systematic pay review.</x:t>
        </x:is>
      </x:c>
    </x:row>
    <x:row r="25">
      <x:c r="A25" s="12" t="inlineStr">
        <x:is>
          <x:t xml:space="preserve">Council on Strategic Risks</x:t>
        </x:is>
      </x:c>
      <x:c r="B25" s="12" t="inlineStr">
        <x:is>
          <x:t xml:space="preserve">A</x:t>
        </x:is>
      </x:c>
      <x:c r="C25" s="12" t="inlineStr">
        <x:is>
          <x:t xml:space="preserve">Tier A expanded primary</x:t>
        </x:is>
      </x:c>
      <x:c r="D25" s="12" t="inlineStr">
        <x:is>
          <x:t xml:space="preserve">first expansion</x:t>
        </x:is>
      </x:c>
      <x:c r="E25" s="13" t="inlineStr">
        <x:is>
          <x:t xml:space="preserve">AI, catastrophic risk, biosecurity, and technology policy</x:t>
        </x:is>
      </x:c>
      <x:c r="F25" s="12" t="inlineStr">
        <x:is>
          <x:t xml:space="preserve">EA-adjacent</x:t>
        </x:is>
      </x:c>
      <x:c r="G25" s="12" t="inlineStr">
        <x:is>
          <x:t xml:space="preserve">US</x:t>
        </x:is>
      </x:c>
      <x:c r="H25" s="12" t="inlineStr">
        <x:is>
          <x:t xml:space="preserve">independent nonprofit</x:t>
        </x:is>
      </x:c>
      <x:c r="I25" s="12" t="inlineStr">
        <x:is>
          <x:t xml:space="preserve">82-3106472</x:t>
        </x:is>
      </x:c>
      <x:c r="J25" s="14" t="n">
        <x:v>6445581</x:v>
      </x:c>
      <x:c r="K25" s="14" t="n">
        <x:v>5184309</x:v>
      </x:c>
      <x:c r="L25" s="12" t="n">
        <x:v>23</x:v>
      </x:c>
      <x:c r="M25" s="15" t="n">
        <x:v>90</x:v>
      </x:c>
      <x:c r="N25" s="12" t="inlineStr">
        <x:is>
          <x:t xml:space="preserve">selected quantitative reference organization</x:t>
        </x:is>
      </x:c>
      <x:c r="O25" s="14" t="inlineStr">
        <x:is>
          <x:t xml:space="preserve">yes</x:t>
        </x:is>
      </x:c>
      <x:c r="P25" s="14" t="n">
        <x:v>270708.162625061</x:v>
      </x:c>
      <x:c r="Q25" s="14" t="n">
        <x:v>287324.0429517027</x:v>
      </x:c>
      <x:c r="R25" s="12" t="inlineStr">
        <x:is>
          <x:t xml:space="preserve">Chief Executive Officer</x:t>
        </x:is>
      </x:c>
      <x:c r="S25" s="14" t="n">
        <x:v>2025</x:v>
      </x:c>
      <x:c r="T25" s="16" t="inlineStr">
        <x:is>
          <x:t xml:space="preserve">https://projects.propublica.org/nonprofits/organizations/823106472</x:t>
        </x:is>
      </x:c>
      <x:c r="U25" s="16" t="inlineStr">
        <x:is>
          <x:t xml:space="preserve">https://apps.irs.gov/pub/epostcard/990/xml/2026/202601119349300825_public.xml</x:t>
        </x:is>
      </x:c>
      <x:c r="V25" s="13" t="inlineStr">
        <x:is>
          <x:t xml:space="preserve">Selected under the first expansion protocol before systematic pay review.</x:t>
        </x:is>
      </x:c>
    </x:row>
    <x:row r="26">
      <x:c r="A26" s="12" t="inlineStr">
        <x:is>
          <x:t xml:space="preserve">Environmental Law Institute</x:t>
        </x:is>
      </x:c>
      <x:c r="B26" s="12" t="inlineStr">
        <x:is>
          <x:t xml:space="preserve">A</x:t>
        </x:is>
      </x:c>
      <x:c r="C26" s="12" t="inlineStr">
        <x:is>
          <x:t xml:space="preserve">Tier A expanded primary</x:t>
        </x:is>
      </x:c>
      <x:c r="D26" s="12" t="inlineStr">
        <x:is>
          <x:t xml:space="preserve">second expansion / filing verification</x:t>
        </x:is>
      </x:c>
      <x:c r="E26" s="12" t="inlineStr">
        <x:is>
          <x:t xml:space="preserve">Climate, environment, and evidence</x:t>
        </x:is>
      </x:c>
      <x:c r="F26" s="12" t="inlineStr">
        <x:is>
          <x:t xml:space="preserve">functional-only</x:t>
        </x:is>
      </x:c>
      <x:c r="G26" s="12" t="inlineStr">
        <x:is>
          <x:t xml:space="preserve">US/international</x:t>
        </x:is>
      </x:c>
      <x:c r="H26" s="12" t="inlineStr">
        <x:is>
          <x:t xml:space="preserve">independent nonprofit</x:t>
        </x:is>
      </x:c>
      <x:c r="I26" s="12" t="inlineStr">
        <x:is>
          <x:t xml:space="preserve">52-0901863</x:t>
        </x:is>
      </x:c>
      <x:c r="J26" s="14" t="n">
        <x:v>7186072</x:v>
      </x:c>
      <x:c r="K26" s="14" t="n">
        <x:v>8907598</x:v>
      </x:c>
      <x:c r="L26" s="12" t="n"/>
      <x:c r="M26" s="15" t="n">
        <x:v>90</x:v>
      </x:c>
      <x:c r="N26" s="12" t="inlineStr">
        <x:is>
          <x:t xml:space="preserve">selected quantitative reference organization</x:t>
        </x:is>
      </x:c>
      <x:c r="O26" s="14" t="inlineStr">
        <x:is>
          <x:t xml:space="preserve">yes</x:t>
        </x:is>
      </x:c>
      <x:c r="P26" s="14" t="n">
        <x:v>320137.3157178584</x:v>
      </x:c>
      <x:c r="Q26" s="14" t="n">
        <x:v>341793.2596665592</x:v>
      </x:c>
      <x:c r="R26" s="12" t="inlineStr">
        <x:is>
          <x:t xml:space="preserve">President</x:t>
        </x:is>
      </x:c>
      <x:c r="S26" s="14" t="n">
        <x:v>2024</x:v>
      </x:c>
      <x:c r="T26" s="16" t="inlineStr">
        <x:is>
          <x:t xml:space="preserve">https://projects.propublica.org/nonprofits/organizations/520901863</x:t>
        </x:is>
      </x:c>
      <x:c r="U26" s="16" t="inlineStr">
        <x:is>
          <x:t xml:space="preserve">https://apps.irs.gov/pub/epostcard/990/xml/2025/202522619349300012_public.xml</x:t>
        </x:is>
      </x:c>
      <x:c r="V26" s="13" t="inlineStr">
        <x:is>
          <x:t xml:space="preserve">Added by the second-expansion freeze and retained after role/scale verification; pay did not determine selection.</x:t>
        </x:is>
      </x:c>
    </x:row>
    <x:row r="27">
      <x:c r="A27" s="13" t="inlineStr">
        <x:is>
          <x:t xml:space="preserve">Information Technology and Innovation Foundation</x:t>
        </x:is>
      </x:c>
      <x:c r="B27" s="12" t="inlineStr">
        <x:is>
          <x:t xml:space="preserve">A</x:t>
        </x:is>
      </x:c>
      <x:c r="C27" s="12" t="inlineStr">
        <x:is>
          <x:t xml:space="preserve">Tier A expanded primary</x:t>
        </x:is>
      </x:c>
      <x:c r="D27" s="12" t="inlineStr">
        <x:is>
          <x:t xml:space="preserve">second expansion / filing verification</x:t>
        </x:is>
      </x:c>
      <x:c r="E27" s="13" t="inlineStr">
        <x:is>
          <x:t xml:space="preserve">AI, catastrophic risk, biosecurity, and technology policy</x:t>
        </x:is>
      </x:c>
      <x:c r="F27" s="12" t="inlineStr">
        <x:is>
          <x:t xml:space="preserve">EA-adjacent</x:t>
        </x:is>
      </x:c>
      <x:c r="G27" s="12" t="inlineStr">
        <x:is>
          <x:t xml:space="preserve">US</x:t>
        </x:is>
      </x:c>
      <x:c r="H27" s="12" t="inlineStr">
        <x:is>
          <x:t xml:space="preserve">independent nonprofit</x:t>
        </x:is>
      </x:c>
      <x:c r="I27" s="12" t="inlineStr">
        <x:is>
          <x:t xml:space="preserve">20-4403497</x:t>
        </x:is>
      </x:c>
      <x:c r="J27" s="14" t="n">
        <x:v>5804772</x:v>
      </x:c>
      <x:c r="K27" s="14" t="n">
        <x:v>6925232</x:v>
      </x:c>
      <x:c r="L27" s="12" t="n"/>
      <x:c r="M27" s="15" t="n">
        <x:v>90</x:v>
      </x:c>
      <x:c r="N27" s="12" t="inlineStr">
        <x:is>
          <x:t xml:space="preserve">selected quantitative reference organization</x:t>
        </x:is>
      </x:c>
      <x:c r="O27" s="14" t="inlineStr">
        <x:is>
          <x:t xml:space="preserve">yes</x:t>
        </x:is>
      </x:c>
      <x:c r="P27" s="14" t="n">
        <x:v>646039.8984641363</x:v>
      </x:c>
      <x:c r="Q27" s="14" t="n">
        <x:v>690596.1728379451</x:v>
      </x:c>
      <x:c r="R27" s="12" t="inlineStr">
        <x:is>
          <x:t xml:space="preserve">President</x:t>
        </x:is>
      </x:c>
      <x:c r="S27" s="14" t="n">
        <x:v>2024</x:v>
      </x:c>
      <x:c r="T27" s="16" t="inlineStr">
        <x:is>
          <x:t xml:space="preserve">https://projects.propublica.org/nonprofits/organizations/204403497</x:t>
        </x:is>
      </x:c>
      <x:c r="U27" s="16" t="inlineStr">
        <x:is>
          <x:t xml:space="preserve">https://apps.irs.gov/pub/epostcard/990/xml/2026/202630159349300603_public.xml</x:t>
        </x:is>
      </x:c>
      <x:c r="V27" s="13" t="inlineStr">
        <x:is>
          <x:t xml:space="preserve">Added by the second-expansion freeze and retained after role/scale verification; pay did not determine selection.</x:t>
        </x:is>
      </x:c>
    </x:row>
    <x:row r="28">
      <x:c r="A28" s="13" t="inlineStr">
        <x:is>
          <x:t xml:space="preserve">Institute for Energy Economics and Financial Analysis</x:t>
        </x:is>
      </x:c>
      <x:c r="B28" s="12" t="inlineStr">
        <x:is>
          <x:t xml:space="preserve">A</x:t>
        </x:is>
      </x:c>
      <x:c r="C28" s="12" t="inlineStr">
        <x:is>
          <x:t xml:space="preserve">Tier A expanded primary</x:t>
        </x:is>
      </x:c>
      <x:c r="D28" s="12" t="inlineStr">
        <x:is>
          <x:t xml:space="preserve">second expansion / filing verification</x:t>
        </x:is>
      </x:c>
      <x:c r="E28" s="12" t="inlineStr">
        <x:is>
          <x:t xml:space="preserve">Climate, environment, and evidence</x:t>
        </x:is>
      </x:c>
      <x:c r="F28" s="12" t="inlineStr">
        <x:is>
          <x:t xml:space="preserve">EA-adjacent</x:t>
        </x:is>
      </x:c>
      <x:c r="G28" s="12" t="inlineStr">
        <x:is>
          <x:t xml:space="preserve">US/international</x:t>
        </x:is>
      </x:c>
      <x:c r="H28" s="12" t="inlineStr">
        <x:is>
          <x:t xml:space="preserve">independent nonprofit</x:t>
        </x:is>
      </x:c>
      <x:c r="I28" s="12" t="inlineStr">
        <x:is>
          <x:t xml:space="preserve">45-4244605</x:t>
        </x:is>
      </x:c>
      <x:c r="J28" s="14" t="n">
        <x:v>11502239</x:v>
      </x:c>
      <x:c r="K28" s="14" t="n">
        <x:v>13341578</x:v>
      </x:c>
      <x:c r="L28" s="12" t="n"/>
      <x:c r="M28" s="15" t="n">
        <x:v>90</x:v>
      </x:c>
      <x:c r="N28" s="12" t="inlineStr">
        <x:is>
          <x:t xml:space="preserve">selected quantitative reference organization</x:t>
        </x:is>
      </x:c>
      <x:c r="O28" s="14" t="inlineStr">
        <x:is>
          <x:t xml:space="preserve">yes</x:t>
        </x:is>
      </x:c>
      <x:c r="P28" s="14" t="n">
        <x:v>290605.225029262</x:v>
      </x:c>
      <x:c r="Q28" s="14" t="n">
        <x:v>324756.1291662173</x:v>
      </x:c>
      <x:c r="R28" s="12" t="inlineStr">
        <x:is>
          <x:t xml:space="preserve">CEO/Board Secretary</x:t>
        </x:is>
      </x:c>
      <x:c r="S28" s="14" t="n">
        <x:v>2024</x:v>
      </x:c>
      <x:c r="T28" s="16" t="inlineStr">
        <x:is>
          <x:t xml:space="preserve">https://projects.propublica.org/nonprofits/organizations/454244605</x:t>
        </x:is>
      </x:c>
      <x:c r="U28" s="16" t="inlineStr">
        <x:is>
          <x:t xml:space="preserve">https://apps.irs.gov/pub/epostcard/990/xml/2025/202541979349300319_public.xml</x:t>
        </x:is>
      </x:c>
      <x:c r="V28" s="13" t="inlineStr">
        <x:is>
          <x:t xml:space="preserve">Added by the second-expansion freeze and retained after role/scale verification; pay did not determine selection.</x:t>
        </x:is>
      </x:c>
    </x:row>
    <x:row r="29">
      <x:c r="A29" s="12" t="inlineStr">
        <x:is>
          <x:t xml:space="preserve">Center for Humane Technology</x:t>
        </x:is>
      </x:c>
      <x:c r="B29" s="12" t="inlineStr">
        <x:is>
          <x:t xml:space="preserve">A</x:t>
        </x:is>
      </x:c>
      <x:c r="C29" s="12" t="inlineStr">
        <x:is>
          <x:t xml:space="preserve">Tier A expanded primary</x:t>
        </x:is>
      </x:c>
      <x:c r="D29" s="12" t="inlineStr">
        <x:is>
          <x:t xml:space="preserve">first expansion</x:t>
        </x:is>
      </x:c>
      <x:c r="E29" s="13" t="inlineStr">
        <x:is>
          <x:t xml:space="preserve">AI, catastrophic risk, biosecurity, and technology policy</x:t>
        </x:is>
      </x:c>
      <x:c r="F29" s="12" t="inlineStr">
        <x:is>
          <x:t xml:space="preserve">EA-adjacent</x:t>
        </x:is>
      </x:c>
      <x:c r="G29" s="12" t="inlineStr">
        <x:is>
          <x:t xml:space="preserve">US</x:t>
        </x:is>
      </x:c>
      <x:c r="H29" s="12" t="inlineStr">
        <x:is>
          <x:t xml:space="preserve">independent nonprofit</x:t>
        </x:is>
      </x:c>
      <x:c r="I29" s="12" t="inlineStr">
        <x:is>
          <x:t xml:space="preserve">82-3492182</x:t>
        </x:is>
      </x:c>
      <x:c r="J29" s="14" t="n">
        <x:v>5785317</x:v>
      </x:c>
      <x:c r="K29" s="14" t="n">
        <x:v>5807076</x:v>
      </x:c>
      <x:c r="L29" s="12" t="n">
        <x:v>22</x:v>
      </x:c>
      <x:c r="M29" s="15" t="n">
        <x:v>89</x:v>
      </x:c>
      <x:c r="N29" s="12" t="inlineStr">
        <x:is>
          <x:t xml:space="preserve">selected quantitative reference organization</x:t>
        </x:is>
      </x:c>
      <x:c r="O29" s="14" t="inlineStr">
        <x:is>
          <x:t xml:space="preserve">not collected/clean observation unavailable</x:t>
        </x:is>
      </x:c>
      <x:c r="P29" s="14" t="n"/>
      <x:c r="Q29" s="14" t="n"/>
      <x:c r="R29" s="12" t="n"/>
      <x:c r="S29" s="14" t="n"/>
      <x:c r="T29" s="17" t="n"/>
      <x:c r="U29" s="17" t="n"/>
      <x:c r="V29" s="13" t="inlineStr">
        <x:is>
          <x:t xml:space="preserve">Selected under the first expansion protocol before systematic pay review.</x:t>
        </x:is>
      </x:c>
    </x:row>
    <x:row r="30">
      <x:c r="A30" s="12" t="inlineStr">
        <x:is>
          <x:t xml:space="preserve">IDinsight</x:t>
        </x:is>
      </x:c>
      <x:c r="B30" s="12" t="inlineStr">
        <x:is>
          <x:t xml:space="preserve">A</x:t>
        </x:is>
      </x:c>
      <x:c r="C30" s="12" t="inlineStr">
        <x:is>
          <x:t xml:space="preserve">Tier A expanded primary</x:t>
        </x:is>
      </x:c>
      <x:c r="D30" s="12" t="inlineStr">
        <x:is>
          <x:t xml:space="preserve">first expansion</x:t>
        </x:is>
      </x:c>
      <x:c r="E30" s="12" t="inlineStr">
        <x:is>
          <x:t xml:space="preserve">Global health, development, and evidence</x:t>
        </x:is>
      </x:c>
      <x:c r="F30" s="12" t="inlineStr">
        <x:is>
          <x:t xml:space="preserve">EA-adjacent</x:t>
        </x:is>
      </x:c>
      <x:c r="G30" s="12" t="inlineStr">
        <x:is>
          <x:t xml:space="preserve">US/international</x:t>
        </x:is>
      </x:c>
      <x:c r="H30" s="12" t="inlineStr">
        <x:is>
          <x:t xml:space="preserve">independent nonprofit</x:t>
        </x:is>
      </x:c>
      <x:c r="I30" s="12" t="inlineStr">
        <x:is>
          <x:t xml:space="preserve">27-4933181</x:t>
        </x:is>
      </x:c>
      <x:c r="J30" s="14" t="n">
        <x:v>17272759</x:v>
      </x:c>
      <x:c r="K30" s="14" t="n">
        <x:v>22117626</x:v>
      </x:c>
      <x:c r="L30" s="12" t="n">
        <x:v>36</x:v>
      </x:c>
      <x:c r="M30" s="15" t="n">
        <x:v>89</x:v>
      </x:c>
      <x:c r="N30" s="12" t="inlineStr">
        <x:is>
          <x:t xml:space="preserve">selected quantitative reference organization</x:t>
        </x:is>
      </x:c>
      <x:c r="O30" s="14" t="inlineStr">
        <x:is>
          <x:t xml:space="preserve">not collected/clean observation unavailable</x:t>
        </x:is>
      </x:c>
      <x:c r="P30" s="14" t="n"/>
      <x:c r="Q30" s="14" t="n"/>
      <x:c r="R30" s="12" t="n"/>
      <x:c r="S30" s="14" t="n"/>
      <x:c r="T30" s="17" t="n"/>
      <x:c r="U30" s="17" t="n"/>
      <x:c r="V30" s="13" t="inlineStr">
        <x:is>
          <x:t xml:space="preserve">Selected under the first expansion protocol before systematic pay review.</x:t>
        </x:is>
      </x:c>
    </x:row>
    <x:row r="31">
      <x:c r="A31" s="12" t="inlineStr">
        <x:is>
          <x:t xml:space="preserve">Institute for the Study of War</x:t>
        </x:is>
      </x:c>
      <x:c r="B31" s="12" t="inlineStr">
        <x:is>
          <x:t xml:space="preserve">A</x:t>
        </x:is>
      </x:c>
      <x:c r="C31" s="12" t="inlineStr">
        <x:is>
          <x:t xml:space="preserve">Tier A expanded primary</x:t>
        </x:is>
      </x:c>
      <x:c r="D31" s="12" t="inlineStr">
        <x:is>
          <x:t xml:space="preserve">second expansion / filing verification</x:t>
        </x:is>
      </x:c>
      <x:c r="E31" s="13" t="inlineStr">
        <x:is>
          <x:t xml:space="preserve">AI, catastrophic risk, biosecurity, and technology policy</x:t>
        </x:is>
      </x:c>
      <x:c r="F31" s="12" t="inlineStr">
        <x:is>
          <x:t xml:space="preserve">EA-adjacent</x:t>
        </x:is>
      </x:c>
      <x:c r="G31" s="12" t="inlineStr">
        <x:is>
          <x:t xml:space="preserve">US/international</x:t>
        </x:is>
      </x:c>
      <x:c r="H31" s="12" t="inlineStr">
        <x:is>
          <x:t xml:space="preserve">independent nonprofit</x:t>
        </x:is>
      </x:c>
      <x:c r="I31" s="12" t="inlineStr">
        <x:is>
          <x:t xml:space="preserve">26-0273675</x:t>
        </x:is>
      </x:c>
      <x:c r="J31" s="14" t="n">
        <x:v>8244937</x:v>
      </x:c>
      <x:c r="K31" s="14" t="n">
        <x:v>6699775</x:v>
      </x:c>
      <x:c r="L31" s="12" t="n"/>
      <x:c r="M31" s="15" t="n">
        <x:v>89</x:v>
      </x:c>
      <x:c r="N31" s="12" t="inlineStr">
        <x:is>
          <x:t xml:space="preserve">selected quantitative reference organization</x:t>
        </x:is>
      </x:c>
      <x:c r="O31" s="14" t="inlineStr">
        <x:is>
          <x:t xml:space="preserve">yes</x:t>
        </x:is>
      </x:c>
      <x:c r="P31" s="14" t="n">
        <x:v>235294.4283533629</x:v>
      </x:c>
      <x:c r="Q31" s="14" t="n">
        <x:v>244236.1275850325</x:v>
      </x:c>
      <x:c r="R31" s="12" t="inlineStr">
        <x:is>
          <x:t xml:space="preserve">President</x:t>
        </x:is>
      </x:c>
      <x:c r="S31" s="14" t="n">
        <x:v>2024</x:v>
      </x:c>
      <x:c r="T31" s="16" t="inlineStr">
        <x:is>
          <x:t xml:space="preserve">https://projects.propublica.org/nonprofits/organizations/260273675</x:t>
        </x:is>
      </x:c>
      <x:c r="U31" s="16" t="inlineStr">
        <x:is>
          <x:t xml:space="preserve">https://apps.irs.gov/pub/epostcard/990/xml/2025/202502909349301720_public.xml</x:t>
        </x:is>
      </x:c>
      <x:c r="V31" s="13" t="inlineStr">
        <x:is>
          <x:t xml:space="preserve">Added by the second-expansion freeze and retained after role/scale verification; pay did not determine selection.</x:t>
        </x:is>
      </x:c>
    </x:row>
    <x:row r="32">
      <x:c r="A32" s="12" t="inlineStr">
        <x:is>
          <x:t xml:space="preserve">NumFOCUS</x:t>
        </x:is>
      </x:c>
      <x:c r="B32" s="12" t="inlineStr">
        <x:is>
          <x:t xml:space="preserve">A</x:t>
        </x:is>
      </x:c>
      <x:c r="C32" s="12" t="inlineStr">
        <x:is>
          <x:t xml:space="preserve">Tier A expanded primary</x:t>
        </x:is>
      </x:c>
      <x:c r="D32" s="12" t="inlineStr">
        <x:is>
          <x:t xml:space="preserve">third expansion / filing verification</x:t>
        </x:is>
      </x:c>
      <x:c r="E32" s="12" t="inlineStr">
        <x:is>
          <x:t xml:space="preserve">open science infrastructure</x:t>
        </x:is>
      </x:c>
      <x:c r="F32" s="12" t="inlineStr">
        <x:is>
          <x:t xml:space="preserve">EA-adjacent</x:t>
        </x:is>
      </x:c>
      <x:c r="G32" s="12" t="inlineStr">
        <x:is>
          <x:t xml:space="preserve">US/international</x:t>
        </x:is>
      </x:c>
      <x:c r="H32" s="12" t="inlineStr">
        <x:is>
          <x:t xml:space="preserve">fiscal sponsor / membership nonprofit</x:t>
        </x:is>
      </x:c>
      <x:c r="I32" s="12" t="inlineStr">
        <x:is>
          <x:t xml:space="preserve">45-4547709</x:t>
        </x:is>
      </x:c>
      <x:c r="J32" s="14" t="n">
        <x:v>8376226</x:v>
      </x:c>
      <x:c r="K32" s="14" t="n">
        <x:v>11090430</x:v>
      </x:c>
      <x:c r="L32" s="12" t="n"/>
      <x:c r="M32" s="15" t="n">
        <x:v>89</x:v>
      </x:c>
      <x:c r="N32" s="12" t="inlineStr">
        <x:is>
          <x:t xml:space="preserve">selected quantitative reference organization</x:t>
        </x:is>
      </x:c>
      <x:c r="O32" s="14" t="inlineStr">
        <x:is>
          <x:t xml:space="preserve">yes</x:t>
        </x:is>
      </x:c>
      <x:c r="P32" s="14" t="n">
        <x:v>166959.6209513355</x:v>
      </x:c>
      <x:c r="Q32" s="14" t="n">
        <x:v>175412.7201892746</x:v>
      </x:c>
      <x:c r="R32" s="12" t="inlineStr">
        <x:is>
          <x:t xml:space="preserve">Executive Director</x:t>
        </x:is>
      </x:c>
      <x:c r="S32" s="14" t="n">
        <x:v>2024</x:v>
      </x:c>
      <x:c r="T32" s="16" t="inlineStr">
        <x:is>
          <x:t xml:space="preserve">https://projects.propublica.org/nonprofits/organizations/454547709</x:t>
        </x:is>
      </x:c>
      <x:c r="U32" s="16" t="inlineStr">
        <x:is>
          <x:t xml:space="preserve">https://apps.irs.gov/pub/epostcard/990/xml/2025/202512979349301136_public.xml</x:t>
        </x:is>
      </x:c>
      <x:c r="V32" s="13" t="inlineStr">
        <x:is>
          <x:t xml:space="preserve">Added by the third-expansion freeze and retained after role/scale/title verification; pay did not determine selection.</x:t>
        </x:is>
      </x:c>
    </x:row>
    <x:row r="33">
      <x:c r="A33" s="12" t="inlineStr">
        <x:is>
          <x:t xml:space="preserve">Animal Welfare Institute</x:t>
        </x:is>
      </x:c>
      <x:c r="B33" s="12" t="inlineStr">
        <x:is>
          <x:t xml:space="preserve">A</x:t>
        </x:is>
      </x:c>
      <x:c r="C33" s="12" t="inlineStr">
        <x:is>
          <x:t xml:space="preserve">Tier A expanded primary</x:t>
        </x:is>
      </x:c>
      <x:c r="D33" s="12" t="inlineStr">
        <x:is>
          <x:t xml:space="preserve">first expansion</x:t>
        </x:is>
      </x:c>
      <x:c r="E33" s="12" t="inlineStr">
        <x:is>
          <x:t xml:space="preserve">Animal welfare and food systems</x:t>
        </x:is>
      </x:c>
      <x:c r="F33" s="12" t="inlineStr">
        <x:is>
          <x:t xml:space="preserve">EA-adjacent</x:t>
        </x:is>
      </x:c>
      <x:c r="G33" s="12" t="inlineStr">
        <x:is>
          <x:t xml:space="preserve">US</x:t>
        </x:is>
      </x:c>
      <x:c r="H33" s="12" t="inlineStr">
        <x:is>
          <x:t xml:space="preserve">independent nonprofit</x:t>
        </x:is>
      </x:c>
      <x:c r="I33" s="12" t="inlineStr">
        <x:is>
          <x:t xml:space="preserve">13-5655952</x:t>
        </x:is>
      </x:c>
      <x:c r="J33" s="14" t="n">
        <x:v>6170763</x:v>
      </x:c>
      <x:c r="K33" s="14" t="n">
        <x:v>7585554</x:v>
      </x:c>
      <x:c r="L33" s="12" t="n">
        <x:v>35</x:v>
      </x:c>
      <x:c r="M33" s="15" t="n">
        <x:v>88</x:v>
      </x:c>
      <x:c r="N33" s="12" t="inlineStr">
        <x:is>
          <x:t xml:space="preserve">selected quantitative reference organization</x:t>
        </x:is>
      </x:c>
      <x:c r="O33" s="14" t="inlineStr">
        <x:is>
          <x:t xml:space="preserve">yes</x:t>
        </x:is>
      </x:c>
      <x:c r="P33" s="14" t="n">
        <x:v>192686.1670264535</x:v>
      </x:c>
      <x:c r="Q33" s="14" t="n">
        <x:v>202729.6113420253</x:v>
      </x:c>
      <x:c r="R33" s="12" t="inlineStr">
        <x:is>
          <x:t xml:space="preserve">Executive Director/CEO</x:t>
        </x:is>
      </x:c>
      <x:c r="S33" s="14" t="n">
        <x:v>2024</x:v>
      </x:c>
      <x:c r="T33" s="16" t="inlineStr">
        <x:is>
          <x:t xml:space="preserve">https://projects.propublica.org/nonprofits/organizations/135655952</x:t>
        </x:is>
      </x:c>
      <x:c r="U33" s="16" t="inlineStr">
        <x:is>
          <x:t xml:space="preserve">https://apps.irs.gov/pub/epostcard/990/xml/2025/202543189349305814_public.xml</x:t>
        </x:is>
      </x:c>
      <x:c r="V33" s="13" t="inlineStr">
        <x:is>
          <x:t xml:space="preserve">Selected under the first expansion protocol before systematic pay review.</x:t>
        </x:is>
      </x:c>
    </x:row>
    <x:row r="34">
      <x:c r="A34" s="12" t="inlineStr">
        <x:is>
          <x:t xml:space="preserve">Breakthrough Institute</x:t>
        </x:is>
      </x:c>
      <x:c r="B34" s="12" t="inlineStr">
        <x:is>
          <x:t xml:space="preserve">A</x:t>
        </x:is>
      </x:c>
      <x:c r="C34" s="12" t="inlineStr">
        <x:is>
          <x:t xml:space="preserve">Tier A expanded primary</x:t>
        </x:is>
      </x:c>
      <x:c r="D34" s="12" t="inlineStr">
        <x:is>
          <x:t xml:space="preserve">second expansion / filing verification</x:t>
        </x:is>
      </x:c>
      <x:c r="E34" s="12" t="inlineStr">
        <x:is>
          <x:t xml:space="preserve">Climate, environment, and evidence</x:t>
        </x:is>
      </x:c>
      <x:c r="F34" s="12" t="inlineStr">
        <x:is>
          <x:t xml:space="preserve">EA-adjacent</x:t>
        </x:is>
      </x:c>
      <x:c r="G34" s="12" t="inlineStr">
        <x:is>
          <x:t xml:space="preserve">US</x:t>
        </x:is>
      </x:c>
      <x:c r="H34" s="12" t="inlineStr">
        <x:is>
          <x:t xml:space="preserve">independent nonprofit</x:t>
        </x:is>
      </x:c>
      <x:c r="I34" s="12" t="inlineStr">
        <x:is>
          <x:t xml:space="preserve">81-4526660</x:t>
        </x:is>
      </x:c>
      <x:c r="J34" s="14" t="n">
        <x:v>5069912</x:v>
      </x:c>
      <x:c r="K34" s="14" t="n">
        <x:v>5783654</x:v>
      </x:c>
      <x:c r="L34" s="12" t="n"/>
      <x:c r="M34" s="15" t="n">
        <x:v>88</x:v>
      </x:c>
      <x:c r="N34" s="12" t="inlineStr">
        <x:is>
          <x:t xml:space="preserve">selected quantitative reference organization</x:t>
        </x:is>
      </x:c>
      <x:c r="O34" s="14" t="inlineStr">
        <x:is>
          <x:t xml:space="preserve">yes</x:t>
        </x:is>
      </x:c>
      <x:c r="P34" s="14" t="n">
        <x:v>331902.7281226801</x:v>
      </x:c>
      <x:c r="Q34" s="14" t="n">
        <x:v>384526.9428625564</x:v>
      </x:c>
      <x:c r="R34" s="12" t="inlineStr">
        <x:is>
          <x:t xml:space="preserve">Executive Director</x:t>
        </x:is>
      </x:c>
      <x:c r="S34" s="14" t="n">
        <x:v>2025</x:v>
      </x:c>
      <x:c r="T34" s="16" t="inlineStr">
        <x:is>
          <x:t xml:space="preserve">https://projects.propublica.org/nonprofits/organizations/814526660</x:t>
        </x:is>
      </x:c>
      <x:c r="U34" s="16" t="inlineStr">
        <x:is>
          <x:t xml:space="preserve">https://apps.irs.gov/pub/epostcard/990/xml/2026/202631469349301333_public.xml</x:t>
        </x:is>
      </x:c>
      <x:c r="V34" s="13" t="inlineStr">
        <x:is>
          <x:t xml:space="preserve">Added by the second-expansion freeze and retained after role/scale verification; pay did not determine selection.</x:t>
        </x:is>
      </x:c>
    </x:row>
    <x:row r="35">
      <x:c r="A35" s="12" t="inlineStr">
        <x:is>
          <x:t xml:space="preserve">Center for Climate and Energy Solutions</x:t>
        </x:is>
      </x:c>
      <x:c r="B35" s="12" t="inlineStr">
        <x:is>
          <x:t xml:space="preserve">A</x:t>
        </x:is>
      </x:c>
      <x:c r="C35" s="12" t="inlineStr">
        <x:is>
          <x:t xml:space="preserve">Tier A expanded primary</x:t>
        </x:is>
      </x:c>
      <x:c r="D35" s="12" t="inlineStr">
        <x:is>
          <x:t xml:space="preserve">second expansion / filing verification</x:t>
        </x:is>
      </x:c>
      <x:c r="E35" s="12" t="inlineStr">
        <x:is>
          <x:t xml:space="preserve">Climate, environment, and evidence</x:t>
        </x:is>
      </x:c>
      <x:c r="F35" s="12" t="inlineStr">
        <x:is>
          <x:t xml:space="preserve">EA-adjacent</x:t>
        </x:is>
      </x:c>
      <x:c r="G35" s="12" t="inlineStr">
        <x:is>
          <x:t xml:space="preserve">US</x:t>
        </x:is>
      </x:c>
      <x:c r="H35" s="12" t="inlineStr">
        <x:is>
          <x:t xml:space="preserve">independent nonprofit</x:t>
        </x:is>
      </x:c>
      <x:c r="I35" s="12" t="inlineStr">
        <x:is>
          <x:t xml:space="preserve">54-1892252</x:t>
        </x:is>
      </x:c>
      <x:c r="J35" s="14" t="n">
        <x:v>18710584</x:v>
      </x:c>
      <x:c r="K35" s="14" t="n">
        <x:v>20611639</x:v>
      </x:c>
      <x:c r="L35" s="12" t="n"/>
      <x:c r="M35" s="15" t="n">
        <x:v>88</x:v>
      </x:c>
      <x:c r="N35" s="12" t="inlineStr">
        <x:is>
          <x:t xml:space="preserve">selected quantitative reference organization</x:t>
        </x:is>
      </x:c>
      <x:c r="O35" s="14" t="inlineStr">
        <x:is>
          <x:t xml:space="preserve">yes</x:t>
        </x:is>
      </x:c>
      <x:c r="P35" s="14" t="n">
        <x:v>563288.7300270492</x:v>
      </x:c>
      <x:c r="Q35" s="14" t="n">
        <x:v>586179.4800601234</x:v>
      </x:c>
      <x:c r="R35" s="12" t="inlineStr">
        <x:is>
          <x:t xml:space="preserve">President</x:t>
        </x:is>
      </x:c>
      <x:c r="S35" s="14" t="n">
        <x:v>2024</x:v>
      </x:c>
      <x:c r="T35" s="16" t="inlineStr">
        <x:is>
          <x:t xml:space="preserve">https://projects.propublica.org/nonprofits/organizations/541892252</x:t>
        </x:is>
      </x:c>
      <x:c r="U35" s="16" t="inlineStr">
        <x:is>
          <x:t xml:space="preserve">https://apps.irs.gov/pub/epostcard/990/xml/2026/202631619349300808_public.xml</x:t>
        </x:is>
      </x:c>
      <x:c r="V35" s="13" t="inlineStr">
        <x:is>
          <x:t xml:space="preserve">Added by the second-expansion freeze and retained after role/scale verification; pay did not determine selection.</x:t>
        </x:is>
      </x:c>
    </x:row>
    <x:row r="36">
      <x:c r="A36" s="12" t="inlineStr">
        <x:is>
          <x:t xml:space="preserve">Nuclear Threat Initiative</x:t>
        </x:is>
      </x:c>
      <x:c r="B36" s="12" t="inlineStr">
        <x:is>
          <x:t xml:space="preserve">A</x:t>
        </x:is>
      </x:c>
      <x:c r="C36" s="12" t="inlineStr">
        <x:is>
          <x:t xml:space="preserve">Tier A expanded primary</x:t>
        </x:is>
      </x:c>
      <x:c r="D36" s="12" t="inlineStr">
        <x:is>
          <x:t xml:space="preserve">first expansion</x:t>
        </x:is>
      </x:c>
      <x:c r="E36" s="13" t="inlineStr">
        <x:is>
          <x:t xml:space="preserve">AI, catastrophic risk, biosecurity, and technology policy</x:t>
        </x:is>
      </x:c>
      <x:c r="F36" s="12" t="inlineStr">
        <x:is>
          <x:t xml:space="preserve">EA-adjacent</x:t>
        </x:is>
      </x:c>
      <x:c r="G36" s="12" t="inlineStr">
        <x:is>
          <x:t xml:space="preserve">US/international</x:t>
        </x:is>
      </x:c>
      <x:c r="H36" s="12" t="inlineStr">
        <x:is>
          <x:t xml:space="preserve">independent nonprofit</x:t>
        </x:is>
      </x:c>
      <x:c r="I36" s="12" t="inlineStr">
        <x:is>
          <x:t xml:space="preserve">52-2289435</x:t>
        </x:is>
      </x:c>
      <x:c r="J36" s="14" t="n">
        <x:v>19649784</x:v>
      </x:c>
      <x:c r="K36" s="14" t="n">
        <x:v>26073759</x:v>
      </x:c>
      <x:c r="L36" s="12" t="n">
        <x:v>75</x:v>
      </x:c>
      <x:c r="M36" s="15" t="n">
        <x:v>88</x:v>
      </x:c>
      <x:c r="N36" s="12" t="inlineStr">
        <x:is>
          <x:t xml:space="preserve">selected quantitative reference organization</x:t>
        </x:is>
      </x:c>
      <x:c r="O36" s="14" t="inlineStr">
        <x:is>
          <x:t xml:space="preserve">yes</x:t>
        </x:is>
      </x:c>
      <x:c r="P36" s="14" t="n">
        <x:v>503036.5800376489</x:v>
      </x:c>
      <x:c r="Q36" s="14" t="n">
        <x:v>560785.0542421817</x:v>
      </x:c>
      <x:c r="R36" s="12" t="inlineStr">
        <x:is>
          <x:t xml:space="preserve">Chief Executive Officer / Co-Chair</x:t>
        </x:is>
      </x:c>
      <x:c r="S36" s="14" t="n">
        <x:v>2024</x:v>
      </x:c>
      <x:c r="T36" s="16" t="inlineStr">
        <x:is>
          <x:t xml:space="preserve">https://projects.propublica.org/nonprofits/organizations/522289435</x:t>
        </x:is>
      </x:c>
      <x:c r="U36" s="16" t="inlineStr">
        <x:is>
          <x:t xml:space="preserve">https://apps.irs.gov/pub/epostcard/990/xml/2025/202522119349301667_public.xml</x:t>
        </x:is>
      </x:c>
      <x:c r="V36" s="13" t="inlineStr">
        <x:is>
          <x:t xml:space="preserve">Selected under the first expansion protocol before systematic pay review.</x:t>
        </x:is>
      </x:c>
    </x:row>
    <x:row r="37">
      <x:c r="A37" s="12" t="inlineStr">
        <x:is>
          <x:t xml:space="preserve">Pure Earth</x:t>
        </x:is>
      </x:c>
      <x:c r="B37" s="12" t="inlineStr">
        <x:is>
          <x:t xml:space="preserve">A</x:t>
        </x:is>
      </x:c>
      <x:c r="C37" s="12" t="inlineStr">
        <x:is>
          <x:t xml:space="preserve">Tier A expanded primary</x:t>
        </x:is>
      </x:c>
      <x:c r="D37" s="12" t="inlineStr">
        <x:is>
          <x:t xml:space="preserve">first expansion</x:t>
        </x:is>
      </x:c>
      <x:c r="E37" s="12" t="inlineStr">
        <x:is>
          <x:t xml:space="preserve">Global health, development, and evidence</x:t>
        </x:is>
      </x:c>
      <x:c r="F37" s="12" t="inlineStr">
        <x:is>
          <x:t xml:space="preserve">EA-adjacent</x:t>
        </x:is>
      </x:c>
      <x:c r="G37" s="12" t="inlineStr">
        <x:is>
          <x:t xml:space="preserve">US/international</x:t>
        </x:is>
      </x:c>
      <x:c r="H37" s="12" t="inlineStr">
        <x:is>
          <x:t xml:space="preserve">independent nonprofit</x:t>
        </x:is>
      </x:c>
      <x:c r="I37" s="12" t="inlineStr">
        <x:is>
          <x:t xml:space="preserve">13-4075779</x:t>
        </x:is>
      </x:c>
      <x:c r="J37" s="14" t="n">
        <x:v>18493014</x:v>
      </x:c>
      <x:c r="K37" s="14" t="n">
        <x:v>6837260</x:v>
      </x:c>
      <x:c r="L37" s="12" t="n">
        <x:v>27</x:v>
      </x:c>
      <x:c r="M37" s="15" t="n">
        <x:v>88</x:v>
      </x:c>
      <x:c r="N37" s="12" t="inlineStr">
        <x:is>
          <x:t xml:space="preserve">selected quantitative reference organization</x:t>
        </x:is>
      </x:c>
      <x:c r="O37" s="14" t="inlineStr">
        <x:is>
          <x:t xml:space="preserve">not collected/clean observation unavailable</x:t>
        </x:is>
      </x:c>
      <x:c r="P37" s="14" t="n"/>
      <x:c r="Q37" s="14" t="n"/>
      <x:c r="R37" s="12" t="n"/>
      <x:c r="S37" s="14" t="n"/>
      <x:c r="T37" s="17" t="n"/>
      <x:c r="U37" s="17" t="n"/>
      <x:c r="V37" s="13" t="inlineStr">
        <x:is>
          <x:t xml:space="preserve">Selected under the first expansion protocol before systematic pay review.</x:t>
        </x:is>
      </x:c>
    </x:row>
    <x:row r="38">
      <x:c r="A38" s="12" t="inlineStr">
        <x:is>
          <x:t xml:space="preserve">Tax Foundation</x:t>
        </x:is>
      </x:c>
      <x:c r="B38" s="12" t="inlineStr">
        <x:is>
          <x:t xml:space="preserve">A</x:t>
        </x:is>
      </x:c>
      <x:c r="C38" s="12" t="inlineStr">
        <x:is>
          <x:t xml:space="preserve">Tier A expanded primary</x:t>
        </x:is>
      </x:c>
      <x:c r="D38" s="12" t="inlineStr">
        <x:is>
          <x:t xml:space="preserve">second expansion / filing verification</x:t>
        </x:is>
      </x:c>
      <x:c r="E38" s="13" t="inlineStr">
        <x:is>
          <x:t xml:space="preserve">Research, evaluation, philanthropy infrastructure, and policy</x:t>
        </x:is>
      </x:c>
      <x:c r="F38" s="12" t="inlineStr">
        <x:is>
          <x:t xml:space="preserve">functional-only</x:t>
        </x:is>
      </x:c>
      <x:c r="G38" s="12" t="inlineStr">
        <x:is>
          <x:t xml:space="preserve">US</x:t>
        </x:is>
      </x:c>
      <x:c r="H38" s="12" t="inlineStr">
        <x:is>
          <x:t xml:space="preserve">independent nonprofit</x:t>
        </x:is>
      </x:c>
      <x:c r="I38" s="12" t="inlineStr">
        <x:is>
          <x:t xml:space="preserve">52-1703065</x:t>
        </x:is>
      </x:c>
      <x:c r="J38" s="14" t="n">
        <x:v>7746689</x:v>
      </x:c>
      <x:c r="K38" s="14" t="n">
        <x:v>9094340</x:v>
      </x:c>
      <x:c r="L38" s="12" t="n"/>
      <x:c r="M38" s="15" t="n">
        <x:v>88</x:v>
      </x:c>
      <x:c r="N38" s="12" t="inlineStr">
        <x:is>
          <x:t xml:space="preserve">selected quantitative reference organization</x:t>
        </x:is>
      </x:c>
      <x:c r="O38" s="14" t="inlineStr">
        <x:is>
          <x:t xml:space="preserve">yes</x:t>
        </x:is>
      </x:c>
      <x:c r="P38" s="14" t="n">
        <x:v>376171.291682068</x:v>
      </x:c>
      <x:c r="Q38" s="14" t="n">
        <x:v>423742.2873862765</x:v>
      </x:c>
      <x:c r="R38" s="12" t="inlineStr">
        <x:is>
          <x:t xml:space="preserve">President &amp; CEO and Board Secretary</x:t>
        </x:is>
      </x:c>
      <x:c r="S38" s="14" t="n">
        <x:v>2025</x:v>
      </x:c>
      <x:c r="T38" s="16" t="inlineStr">
        <x:is>
          <x:t xml:space="preserve">https://projects.propublica.org/nonprofits/organizations/521703065</x:t>
        </x:is>
      </x:c>
      <x:c r="U38" s="16" t="inlineStr">
        <x:is>
          <x:t xml:space="preserve">https://apps.irs.gov/pub/epostcard/990/xml/2026/202631959349301758_public.xml</x:t>
        </x:is>
      </x:c>
      <x:c r="V38" s="13" t="inlineStr">
        <x:is>
          <x:t xml:space="preserve">Added by the second-expansion freeze and retained after role/scale verification; pay did not determine selection.</x:t>
        </x:is>
      </x:c>
    </x:row>
    <x:row r="39">
      <x:c r="A39" s="12" t="inlineStr">
        <x:is>
          <x:t xml:space="preserve">Carbon Mapper</x:t>
        </x:is>
      </x:c>
      <x:c r="B39" s="12" t="inlineStr">
        <x:is>
          <x:t xml:space="preserve">A</x:t>
        </x:is>
      </x:c>
      <x:c r="C39" s="12" t="inlineStr">
        <x:is>
          <x:t xml:space="preserve">Tier A expanded primary</x:t>
        </x:is>
      </x:c>
      <x:c r="D39" s="12" t="inlineStr">
        <x:is>
          <x:t xml:space="preserve">third expansion / filing verification</x:t>
        </x:is>
      </x:c>
      <x:c r="E39" s="12" t="inlineStr">
        <x:is>
          <x:t xml:space="preserve">climate and evidence</x:t>
        </x:is>
      </x:c>
      <x:c r="F39" s="12" t="inlineStr">
        <x:is>
          <x:t xml:space="preserve">EA-adjacent</x:t>
        </x:is>
      </x:c>
      <x:c r="G39" s="12" t="inlineStr">
        <x:is>
          <x:t xml:space="preserve">US/international</x:t>
        </x:is>
      </x:c>
      <x:c r="H39" s="12" t="inlineStr">
        <x:is>
          <x:t xml:space="preserve">independent nonprofit</x:t>
        </x:is>
      </x:c>
      <x:c r="I39" s="12" t="inlineStr">
        <x:is>
          <x:t xml:space="preserve">85-3149996</x:t>
        </x:is>
      </x:c>
      <x:c r="J39" s="14" t="n">
        <x:v>42000541</x:v>
      </x:c>
      <x:c r="K39" s="14" t="n">
        <x:v>16084459</x:v>
      </x:c>
      <x:c r="L39" s="12" t="n"/>
      <x:c r="M39" s="15" t="n">
        <x:v>87</x:v>
      </x:c>
      <x:c r="N39" s="12" t="inlineStr">
        <x:is>
          <x:t xml:space="preserve">selected quantitative reference organization</x:t>
        </x:is>
      </x:c>
      <x:c r="O39" s="14" t="inlineStr">
        <x:is>
          <x:t xml:space="preserve">yes</x:t>
        </x:is>
      </x:c>
      <x:c r="P39" s="14" t="n">
        <x:v>291123.6306870981</x:v>
      </x:c>
      <x:c r="Q39" s="14" t="n">
        <x:v>320301.246870439</x:v>
      </x:c>
      <x:c r="R39" s="12" t="inlineStr">
        <x:is>
          <x:t xml:space="preserve">Director &amp; CEO</x:t>
        </x:is>
      </x:c>
      <x:c r="S39" s="14" t="n">
        <x:v>2024</x:v>
      </x:c>
      <x:c r="T39" s="16" t="inlineStr">
        <x:is>
          <x:t xml:space="preserve">https://projects.propublica.org/nonprofits/organizations/853149996</x:t>
        </x:is>
      </x:c>
      <x:c r="U39" s="16" t="inlineStr">
        <x:is>
          <x:t xml:space="preserve">https://apps.irs.gov/pub/epostcard/990/xml/2026/202630139349300833_public.xml</x:t>
        </x:is>
      </x:c>
      <x:c r="V39" s="13" t="inlineStr">
        <x:is>
          <x:t xml:space="preserve">Added by the third-expansion freeze and retained after role/scale/title verification; pay did not determine selection.</x:t>
        </x:is>
      </x:c>
    </x:row>
    <x:row r="40">
      <x:c r="A40" s="12" t="inlineStr">
        <x:is>
          <x:t xml:space="preserve">Center for Effective Philanthropy</x:t>
        </x:is>
      </x:c>
      <x:c r="B40" s="12" t="inlineStr">
        <x:is>
          <x:t xml:space="preserve">A</x:t>
        </x:is>
      </x:c>
      <x:c r="C40" s="12" t="inlineStr">
        <x:is>
          <x:t xml:space="preserve">Tier A expanded primary</x:t>
        </x:is>
      </x:c>
      <x:c r="D40" s="12" t="inlineStr">
        <x:is>
          <x:t xml:space="preserve">first expansion</x:t>
        </x:is>
      </x:c>
      <x:c r="E40" s="13" t="inlineStr">
        <x:is>
          <x:t xml:space="preserve">Research, evaluation, philanthropy infrastructure, and policy</x:t>
        </x:is>
      </x:c>
      <x:c r="F40" s="12" t="inlineStr">
        <x:is>
          <x:t xml:space="preserve">functional-only</x:t>
        </x:is>
      </x:c>
      <x:c r="G40" s="12" t="inlineStr">
        <x:is>
          <x:t xml:space="preserve">US</x:t>
        </x:is>
      </x:c>
      <x:c r="H40" s="12" t="inlineStr">
        <x:is>
          <x:t xml:space="preserve">independent nonprofit</x:t>
        </x:is>
      </x:c>
      <x:c r="I40" s="12" t="inlineStr">
        <x:is>
          <x:t xml:space="preserve">04-3523528</x:t>
        </x:is>
      </x:c>
      <x:c r="J40" s="14" t="n">
        <x:v>14195318</x:v>
      </x:c>
      <x:c r="K40" s="14" t="n">
        <x:v>14452234</x:v>
      </x:c>
      <x:c r="L40" s="12" t="n">
        <x:v>74</x:v>
      </x:c>
      <x:c r="M40" s="15" t="n">
        <x:v>87</x:v>
      </x:c>
      <x:c r="N40" s="12" t="inlineStr">
        <x:is>
          <x:t xml:space="preserve">selected quantitative reference organization</x:t>
        </x:is>
      </x:c>
      <x:c r="O40" s="14" t="inlineStr">
        <x:is>
          <x:t xml:space="preserve">yes</x:t>
        </x:is>
      </x:c>
      <x:c r="P40" s="14" t="n">
        <x:v>660025.9139288632</x:v>
      </x:c>
      <x:c r="Q40" s="14" t="n">
        <x:v>727095.1577142539</x:v>
      </x:c>
      <x:c r="R40" s="12" t="inlineStr">
        <x:is>
          <x:t xml:space="preserve">President</x:t>
        </x:is>
      </x:c>
      <x:c r="S40" s="14" t="n">
        <x:v>2025</x:v>
      </x:c>
      <x:c r="T40" s="16" t="inlineStr">
        <x:is>
          <x:t xml:space="preserve">https://projects.propublica.org/nonprofits/organizations/43523528</x:t>
        </x:is>
      </x:c>
      <x:c r="U40" s="16" t="inlineStr">
        <x:is>
          <x:t xml:space="preserve">https://apps.irs.gov/pub/epostcard/990/xml/2026/202602039349300145_public.xml</x:t>
        </x:is>
      </x:c>
      <x:c r="V40" s="13" t="inlineStr">
        <x:is>
          <x:t xml:space="preserve">Selected under the first expansion protocol before systematic pay review.</x:t>
        </x:is>
      </x:c>
    </x:row>
    <x:row r="41">
      <x:c r="A41" s="12" t="inlineStr">
        <x:is>
          <x:t xml:space="preserve">Center for Open Science</x:t>
        </x:is>
      </x:c>
      <x:c r="B41" s="12" t="inlineStr">
        <x:is>
          <x:t xml:space="preserve">A</x:t>
        </x:is>
      </x:c>
      <x:c r="C41" s="12" t="inlineStr">
        <x:is>
          <x:t xml:space="preserve">Tier A expanded primary</x:t>
        </x:is>
      </x:c>
      <x:c r="D41" s="12" t="inlineStr">
        <x:is>
          <x:t xml:space="preserve">first expansion</x:t>
        </x:is>
      </x:c>
      <x:c r="E41" s="13" t="inlineStr">
        <x:is>
          <x:t xml:space="preserve">Research, evaluation, philanthropy infrastructure, and policy</x:t>
        </x:is>
      </x:c>
      <x:c r="F41" s="12" t="inlineStr">
        <x:is>
          <x:t xml:space="preserve">functional-only</x:t>
        </x:is>
      </x:c>
      <x:c r="G41" s="12" t="inlineStr">
        <x:is>
          <x:t xml:space="preserve">US</x:t>
        </x:is>
      </x:c>
      <x:c r="H41" s="12" t="inlineStr">
        <x:is>
          <x:t xml:space="preserve">independent nonprofit</x:t>
        </x:is>
      </x:c>
      <x:c r="I41" s="12" t="inlineStr">
        <x:is>
          <x:t xml:space="preserve">46-1496217</x:t>
        </x:is>
      </x:c>
      <x:c r="J41" s="14" t="n">
        <x:v>10217166</x:v>
      </x:c>
      <x:c r="K41" s="14" t="n">
        <x:v>8787031</x:v>
      </x:c>
      <x:c r="L41" s="12" t="n">
        <x:v>57</x:v>
      </x:c>
      <x:c r="M41" s="15" t="n">
        <x:v>87</x:v>
      </x:c>
      <x:c r="N41" s="12" t="inlineStr">
        <x:is>
          <x:t xml:space="preserve">selected quantitative reference organization</x:t>
        </x:is>
      </x:c>
      <x:c r="O41" s="14" t="inlineStr">
        <x:is>
          <x:t xml:space="preserve">yes</x:t>
        </x:is>
      </x:c>
      <x:c r="P41" s="14" t="n">
        <x:v>268783.2209519731</x:v>
      </x:c>
      <x:c r="Q41" s="14" t="n">
        <x:v>279534.5497900521</x:v>
      </x:c>
      <x:c r="R41" s="12" t="inlineStr">
        <x:is>
          <x:t xml:space="preserve">Executive Director</x:t>
        </x:is>
      </x:c>
      <x:c r="S41" s="14" t="n">
        <x:v>2024</x:v>
      </x:c>
      <x:c r="T41" s="16" t="inlineStr">
        <x:is>
          <x:t xml:space="preserve">https://projects.propublica.org/nonprofits/organizations/461496217</x:t>
        </x:is>
      </x:c>
      <x:c r="U41" s="16" t="inlineStr">
        <x:is>
          <x:t xml:space="preserve">https://apps.irs.gov/pub/epostcard/990/xml/2025/202513219349318466_public.xml</x:t>
        </x:is>
      </x:c>
      <x:c r="V41" s="13" t="inlineStr">
        <x:is>
          <x:t xml:space="preserve">Selected under the first expansion protocol before systematic pay review.</x:t>
        </x:is>
      </x:c>
    </x:row>
    <x:row r="42">
      <x:c r="A42" s="12" t="inlineStr">
        <x:is>
          <x:t xml:space="preserve">Committee for a Responsible Federal Budget</x:t>
        </x:is>
      </x:c>
      <x:c r="B42" s="12" t="inlineStr">
        <x:is>
          <x:t xml:space="preserve">A</x:t>
        </x:is>
      </x:c>
      <x:c r="C42" s="12" t="inlineStr">
        <x:is>
          <x:t xml:space="preserve">Tier A expanded primary</x:t>
        </x:is>
      </x:c>
      <x:c r="D42" s="12" t="inlineStr">
        <x:is>
          <x:t xml:space="preserve">second expansion / filing verification</x:t>
        </x:is>
      </x:c>
      <x:c r="E42" s="13" t="inlineStr">
        <x:is>
          <x:t xml:space="preserve">Research, evaluation, philanthropy infrastructure, and policy</x:t>
        </x:is>
      </x:c>
      <x:c r="F42" s="12" t="inlineStr">
        <x:is>
          <x:t xml:space="preserve">functional-only</x:t>
        </x:is>
      </x:c>
      <x:c r="G42" s="12" t="inlineStr">
        <x:is>
          <x:t xml:space="preserve">US</x:t>
        </x:is>
      </x:c>
      <x:c r="H42" s="12" t="inlineStr">
        <x:is>
          <x:t xml:space="preserve">independent nonprofit</x:t>
        </x:is>
      </x:c>
      <x:c r="I42" s="12" t="inlineStr">
        <x:is>
          <x:t xml:space="preserve">52-1231278</x:t>
        </x:is>
      </x:c>
      <x:c r="J42" s="14" t="n">
        <x:v>10368338</x:v>
      </x:c>
      <x:c r="K42" s="14" t="n">
        <x:v>6703049</x:v>
      </x:c>
      <x:c r="L42" s="12" t="n"/>
      <x:c r="M42" s="15" t="n">
        <x:v>87</x:v>
      </x:c>
      <x:c r="N42" s="12" t="inlineStr">
        <x:is>
          <x:t xml:space="preserve">selected quantitative reference organization</x:t>
        </x:is>
      </x:c>
      <x:c r="O42" s="14" t="inlineStr">
        <x:is>
          <x:t xml:space="preserve">yes</x:t>
        </x:is>
      </x:c>
      <x:c r="P42" s="14" t="n">
        <x:v>634845.9060206311</x:v>
      </x:c>
      <x:c r="Q42" s="14" t="n">
        <x:v>697235.3213394918</x:v>
      </x:c>
      <x:c r="R42" s="12" t="inlineStr">
        <x:is>
          <x:t xml:space="preserve">President</x:t>
        </x:is>
      </x:c>
      <x:c r="S42" s="14" t="n">
        <x:v>2025</x:v>
      </x:c>
      <x:c r="T42" s="16" t="inlineStr">
        <x:is>
          <x:t xml:space="preserve">https://projects.propublica.org/nonprofits/organizations/521231278</x:t>
        </x:is>
      </x:c>
      <x:c r="U42" s="16" t="inlineStr">
        <x:is>
          <x:t xml:space="preserve">https://apps.irs.gov/pub/epostcard/990/xml/2026/202611949349301721_public.xml</x:t>
        </x:is>
      </x:c>
      <x:c r="V42" s="13" t="inlineStr">
        <x:is>
          <x:t xml:space="preserve">Added by the second-expansion freeze and retained after role/scale verification; pay did not determine selection.</x:t>
        </x:is>
      </x:c>
    </x:row>
    <x:row r="43">
      <x:c r="A43" s="12" t="inlineStr">
        <x:is>
          <x:t xml:space="preserve">Fresh Energy</x:t>
        </x:is>
      </x:c>
      <x:c r="B43" s="12" t="inlineStr">
        <x:is>
          <x:t xml:space="preserve">A</x:t>
        </x:is>
      </x:c>
      <x:c r="C43" s="12" t="inlineStr">
        <x:is>
          <x:t xml:space="preserve">Tier A expanded primary</x:t>
        </x:is>
      </x:c>
      <x:c r="D43" s="12" t="inlineStr">
        <x:is>
          <x:t xml:space="preserve">third expansion / filing verification</x:t>
        </x:is>
      </x:c>
      <x:c r="E43" s="12" t="inlineStr">
        <x:is>
          <x:t xml:space="preserve">climate and evidence</x:t>
        </x:is>
      </x:c>
      <x:c r="F43" s="12" t="inlineStr">
        <x:is>
          <x:t xml:space="preserve">functional-only</x:t>
        </x:is>
      </x:c>
      <x:c r="G43" s="12" t="inlineStr">
        <x:is>
          <x:t xml:space="preserve">US</x:t>
        </x:is>
      </x:c>
      <x:c r="H43" s="12" t="inlineStr">
        <x:is>
          <x:t xml:space="preserve">independent nonprofit</x:t>
        </x:is>
      </x:c>
      <x:c r="I43" s="12" t="inlineStr">
        <x:is>
          <x:t xml:space="preserve">41-1735501</x:t>
        </x:is>
      </x:c>
      <x:c r="J43" s="14" t="n">
        <x:v>7134049</x:v>
      </x:c>
      <x:c r="K43" s="14" t="n">
        <x:v>7006749</x:v>
      </x:c>
      <x:c r="L43" s="12" t="n"/>
      <x:c r="M43" s="15" t="n">
        <x:v>87</x:v>
      </x:c>
      <x:c r="N43" s="12" t="inlineStr">
        <x:is>
          <x:t xml:space="preserve">selected quantitative reference organization</x:t>
        </x:is>
      </x:c>
      <x:c r="O43" s="14" t="inlineStr">
        <x:is>
          <x:t xml:space="preserve">yes</x:t>
        </x:is>
      </x:c>
      <x:c r="P43" s="14" t="n">
        <x:v>253476.9479457615</x:v>
      </x:c>
      <x:c r="Q43" s="14" t="n">
        <x:v>276996.8103890639</x:v>
      </x:c>
      <x:c r="R43" s="12" t="inlineStr">
        <x:is>
          <x:t xml:space="preserve">Executive Director</x:t>
        </x:is>
      </x:c>
      <x:c r="S43" s="14" t="n">
        <x:v>2024</x:v>
      </x:c>
      <x:c r="T43" s="16" t="inlineStr">
        <x:is>
          <x:t xml:space="preserve">https://projects.propublica.org/nonprofits/organizations/411735501</x:t>
        </x:is>
      </x:c>
      <x:c r="U43" s="16" t="inlineStr">
        <x:is>
          <x:t xml:space="preserve">https://apps.irs.gov/pub/epostcard/990/xml/2025/202513169349301031_public.xml</x:t>
        </x:is>
      </x:c>
      <x:c r="V43" s="13" t="inlineStr">
        <x:is>
          <x:t xml:space="preserve">Added by the third-expansion freeze and retained after role/scale/title verification; pay did not determine selection.</x:t>
        </x:is>
      </x:c>
    </x:row>
    <x:row r="44">
      <x:c r="A44" s="12" t="inlineStr">
        <x:is>
          <x:t xml:space="preserve">Institute for Nonprofit News</x:t>
        </x:is>
      </x:c>
      <x:c r="B44" s="12" t="inlineStr">
        <x:is>
          <x:t xml:space="preserve">A</x:t>
        </x:is>
      </x:c>
      <x:c r="C44" s="12" t="inlineStr">
        <x:is>
          <x:t xml:space="preserve">Tier A expanded primary</x:t>
        </x:is>
      </x:c>
      <x:c r="D44" s="12" t="inlineStr">
        <x:is>
          <x:t xml:space="preserve">second expansion / filing verification</x:t>
        </x:is>
      </x:c>
      <x:c r="E44" s="13" t="inlineStr">
        <x:is>
          <x:t xml:space="preserve">Open science, research infrastructure, and knowledge dissemination</x:t>
        </x:is>
      </x:c>
      <x:c r="F44" s="12" t="inlineStr">
        <x:is>
          <x:t xml:space="preserve">functional-only</x:t>
        </x:is>
      </x:c>
      <x:c r="G44" s="12" t="inlineStr">
        <x:is>
          <x:t xml:space="preserve">US</x:t>
        </x:is>
      </x:c>
      <x:c r="H44" s="12" t="inlineStr">
        <x:is>
          <x:t xml:space="preserve">membership nonprofit</x:t>
        </x:is>
      </x:c>
      <x:c r="I44" s="12" t="inlineStr">
        <x:is>
          <x:t xml:space="preserve">27-2614911</x:t>
        </x:is>
      </x:c>
      <x:c r="J44" s="14" t="n">
        <x:v>15594880</x:v>
      </x:c>
      <x:c r="K44" s="14" t="n">
        <x:v>15663213</x:v>
      </x:c>
      <x:c r="L44" s="12" t="n"/>
      <x:c r="M44" s="15" t="n">
        <x:v>87</x:v>
      </x:c>
      <x:c r="N44" s="12" t="inlineStr">
        <x:is>
          <x:t xml:space="preserve">selected quantitative reference organization</x:t>
        </x:is>
      </x:c>
      <x:c r="O44" s="14" t="inlineStr">
        <x:is>
          <x:t xml:space="preserve">yes</x:t>
        </x:is>
      </x:c>
      <x:c r="P44" s="14" t="n">
        <x:v>228681.8288739425</x:v>
      </x:c>
      <x:c r="Q44" s="14" t="n">
        <x:v>228681.8288739425</x:v>
      </x:c>
      <x:c r="R44" s="12" t="inlineStr">
        <x:is>
          <x:t xml:space="preserve">Chief Executive Officer</x:t>
        </x:is>
      </x:c>
      <x:c r="S44" s="14" t="n">
        <x:v>2024</x:v>
      </x:c>
      <x:c r="T44" s="16" t="inlineStr">
        <x:is>
          <x:t xml:space="preserve">https://projects.propublica.org/nonprofits/organizations/272614911</x:t>
        </x:is>
      </x:c>
      <x:c r="U44" s="16" t="inlineStr">
        <x:is>
          <x:t xml:space="preserve">https://apps.irs.gov/pub/epostcard/990/xml/2026/202630269349301213_public.xml</x:t>
        </x:is>
      </x:c>
      <x:c r="V44" s="13" t="inlineStr">
        <x:is>
          <x:t xml:space="preserve">Added by the second-expansion freeze and retained after role/scale verification; pay did not determine selection.</x:t>
        </x:is>
      </x:c>
    </x:row>
    <x:row r="45">
      <x:c r="A45" s="12" t="inlineStr">
        <x:is>
          <x:t xml:space="preserve">Learning Policy Institute</x:t>
        </x:is>
      </x:c>
      <x:c r="B45" s="12" t="inlineStr">
        <x:is>
          <x:t xml:space="preserve">A</x:t>
        </x:is>
      </x:c>
      <x:c r="C45" s="12" t="inlineStr">
        <x:is>
          <x:t xml:space="preserve">Tier A expanded primary</x:t>
        </x:is>
      </x:c>
      <x:c r="D45" s="12" t="inlineStr">
        <x:is>
          <x:t xml:space="preserve">third expansion / filing verification</x:t>
        </x:is>
      </x:c>
      <x:c r="E45" s="12" t="inlineStr">
        <x:is>
          <x:t xml:space="preserve">research and evaluation</x:t>
        </x:is>
      </x:c>
      <x:c r="F45" s="12" t="inlineStr">
        <x:is>
          <x:t xml:space="preserve">functional-only</x:t>
        </x:is>
      </x:c>
      <x:c r="G45" s="12" t="inlineStr">
        <x:is>
          <x:t xml:space="preserve">US</x:t>
        </x:is>
      </x:c>
      <x:c r="H45" s="12" t="inlineStr">
        <x:is>
          <x:t xml:space="preserve">independent nonprofit</x:t>
        </x:is>
      </x:c>
      <x:c r="I45" s="12" t="inlineStr">
        <x:is>
          <x:t xml:space="preserve">47-2772048</x:t>
        </x:is>
      </x:c>
      <x:c r="J45" s="14" t="n">
        <x:v>10514616</x:v>
      </x:c>
      <x:c r="K45" s="14" t="n">
        <x:v>16502674</x:v>
      </x:c>
      <x:c r="L45" s="12" t="n"/>
      <x:c r="M45" s="15" t="n">
        <x:v>87</x:v>
      </x:c>
      <x:c r="N45" s="12" t="inlineStr">
        <x:is>
          <x:t xml:space="preserve">selected quantitative reference organization</x:t>
        </x:is>
      </x:c>
      <x:c r="O45" s="14" t="inlineStr">
        <x:is>
          <x:t xml:space="preserve">yes</x:t>
        </x:is>
      </x:c>
      <x:c r="P45" s="14" t="n">
        <x:v>525032.0956595523</x:v>
      </x:c>
      <x:c r="Q45" s="14" t="n">
        <x:v>613514.467508938</x:v>
      </x:c>
      <x:c r="R45" s="12" t="inlineStr">
        <x:is>
          <x:t xml:space="preserve">Director/CEO</x:t>
        </x:is>
      </x:c>
      <x:c r="S45" s="14" t="n">
        <x:v>2024</x:v>
      </x:c>
      <x:c r="T45" s="16" t="inlineStr">
        <x:is>
          <x:t xml:space="preserve">https://projects.propublica.org/nonprofits/organizations/472772048</x:t>
        </x:is>
      </x:c>
      <x:c r="U45" s="16" t="inlineStr">
        <x:is>
          <x:t xml:space="preserve">https://apps.irs.gov/pub/epostcard/990/xml/2025/202503179349312065_public.xml</x:t>
        </x:is>
      </x:c>
      <x:c r="V45" s="13" t="inlineStr">
        <x:is>
          <x:t xml:space="preserve">Added by the third-expansion freeze and retained after role/scale/title verification; pay did not determine selection.</x:t>
        </x:is>
      </x:c>
    </x:row>
    <x:row r="46">
      <x:c r="A46" s="12" t="inlineStr">
        <x:is>
          <x:t xml:space="preserve">Migration Policy Institute</x:t>
        </x:is>
      </x:c>
      <x:c r="B46" s="12" t="inlineStr">
        <x:is>
          <x:t xml:space="preserve">A</x:t>
        </x:is>
      </x:c>
      <x:c r="C46" s="12" t="inlineStr">
        <x:is>
          <x:t xml:space="preserve">Tier A expanded primary</x:t>
        </x:is>
      </x:c>
      <x:c r="D46" s="12" t="inlineStr">
        <x:is>
          <x:t xml:space="preserve">first expansion</x:t>
        </x:is>
      </x:c>
      <x:c r="E46" s="13" t="inlineStr">
        <x:is>
          <x:t xml:space="preserve">Research, evaluation, philanthropy infrastructure, and policy</x:t>
        </x:is>
      </x:c>
      <x:c r="F46" s="12" t="inlineStr">
        <x:is>
          <x:t xml:space="preserve">functional-only</x:t>
        </x:is>
      </x:c>
      <x:c r="G46" s="12" t="inlineStr">
        <x:is>
          <x:t xml:space="preserve">US/international</x:t>
        </x:is>
      </x:c>
      <x:c r="H46" s="12" t="inlineStr">
        <x:is>
          <x:t xml:space="preserve">independent nonprofit</x:t>
        </x:is>
      </x:c>
      <x:c r="I46" s="12" t="inlineStr">
        <x:is>
          <x:t xml:space="preserve">52-2279789</x:t>
        </x:is>
      </x:c>
      <x:c r="J46" s="14" t="n">
        <x:v>6855627</x:v>
      </x:c>
      <x:c r="K46" s="14" t="n">
        <x:v>7069622</x:v>
      </x:c>
      <x:c r="L46" s="12" t="n">
        <x:v>33</x:v>
      </x:c>
      <x:c r="M46" s="15" t="n">
        <x:v>87</x:v>
      </x:c>
      <x:c r="N46" s="12" t="inlineStr">
        <x:is>
          <x:t xml:space="preserve">selected quantitative reference organization</x:t>
        </x:is>
      </x:c>
      <x:c r="O46" s="14" t="inlineStr">
        <x:is>
          <x:t xml:space="preserve">yes</x:t>
        </x:is>
      </x:c>
      <x:c r="P46" s="14" t="n">
        <x:v>303379.0810745043</x:v>
      </x:c>
      <x:c r="Q46" s="14" t="n">
        <x:v>375970.7760036087</x:v>
      </x:c>
      <x:c r="R46" s="12" t="inlineStr">
        <x:is>
          <x:t xml:space="preserve">President</x:t>
        </x:is>
      </x:c>
      <x:c r="S46" s="14" t="n">
        <x:v>2024</x:v>
      </x:c>
      <x:c r="T46" s="16" t="inlineStr">
        <x:is>
          <x:t xml:space="preserve">https://projects.propublica.org/nonprofits/organizations/522279789</x:t>
        </x:is>
      </x:c>
      <x:c r="U46" s="16" t="inlineStr">
        <x:is>
          <x:t xml:space="preserve">https://apps.irs.gov/pub/epostcard/990/xml/2026/202601359349310000_public.xml</x:t>
        </x:is>
      </x:c>
      <x:c r="V46" s="13" t="inlineStr">
        <x:is>
          <x:t xml:space="preserve">Selected under the first expansion protocol before systematic pay review.</x:t>
        </x:is>
      </x:c>
    </x:row>
    <x:row r="47">
      <x:c r="A47" s="13" t="inlineStr">
        <x:is>
          <x:t xml:space="preserve">Peterson Institute for International Economics</x:t>
        </x:is>
      </x:c>
      <x:c r="B47" s="12" t="inlineStr">
        <x:is>
          <x:t xml:space="preserve">A</x:t>
        </x:is>
      </x:c>
      <x:c r="C47" s="12" t="inlineStr">
        <x:is>
          <x:t xml:space="preserve">Tier A expanded primary</x:t>
        </x:is>
      </x:c>
      <x:c r="D47" s="12" t="inlineStr">
        <x:is>
          <x:t xml:space="preserve">first expansion</x:t>
        </x:is>
      </x:c>
      <x:c r="E47" s="13" t="inlineStr">
        <x:is>
          <x:t xml:space="preserve">Research, evaluation, philanthropy infrastructure, and policy</x:t>
        </x:is>
      </x:c>
      <x:c r="F47" s="12" t="inlineStr">
        <x:is>
          <x:t xml:space="preserve">functional-only</x:t>
        </x:is>
      </x:c>
      <x:c r="G47" s="12" t="inlineStr">
        <x:is>
          <x:t xml:space="preserve">US/international</x:t>
        </x:is>
      </x:c>
      <x:c r="H47" s="12" t="inlineStr">
        <x:is>
          <x:t xml:space="preserve">independent nonprofit</x:t>
        </x:is>
      </x:c>
      <x:c r="I47" s="12" t="inlineStr">
        <x:is>
          <x:t xml:space="preserve">52-1226967</x:t>
        </x:is>
      </x:c>
      <x:c r="J47" s="14" t="n">
        <x:v>17773572</x:v>
      </x:c>
      <x:c r="K47" s="14" t="n">
        <x:v>16529676</x:v>
      </x:c>
      <x:c r="L47" s="12" t="n">
        <x:v>55</x:v>
      </x:c>
      <x:c r="M47" s="15" t="n">
        <x:v>87</x:v>
      </x:c>
      <x:c r="N47" s="12" t="inlineStr">
        <x:is>
          <x:t xml:space="preserve">selected quantitative reference organization</x:t>
        </x:is>
      </x:c>
      <x:c r="O47" s="14" t="inlineStr">
        <x:is>
          <x:t xml:space="preserve">yes</x:t>
        </x:is>
      </x:c>
      <x:c r="P47" s="14" t="n">
        <x:v>602402.277237581</x:v>
      </x:c>
      <x:c r="Q47" s="14" t="n">
        <x:v>662733.1993392603</x:v>
      </x:c>
      <x:c r="R47" s="12" t="inlineStr">
        <x:is>
          <x:t xml:space="preserve">President</x:t>
        </x:is>
      </x:c>
      <x:c r="S47" s="14" t="n">
        <x:v>2024</x:v>
      </x:c>
      <x:c r="T47" s="16" t="inlineStr">
        <x:is>
          <x:t xml:space="preserve">https://projects.propublica.org/nonprofits/organizations/521226967</x:t>
        </x:is>
      </x:c>
      <x:c r="U47" s="16" t="inlineStr">
        <x:is>
          <x:t xml:space="preserve">https://apps.irs.gov/pub/epostcard/990/xml/2026/202611189349300636_public.xml</x:t>
        </x:is>
      </x:c>
      <x:c r="V47" s="13" t="inlineStr">
        <x:is>
          <x:t xml:space="preserve">Selected under the first expansion protocol before systematic pay review.</x:t>
        </x:is>
      </x:c>
    </x:row>
    <x:row r="48">
      <x:c r="A48" s="12" t="inlineStr">
        <x:is>
          <x:t xml:space="preserve">San Francisco Estuary Institute</x:t>
        </x:is>
      </x:c>
      <x:c r="B48" s="12" t="inlineStr">
        <x:is>
          <x:t xml:space="preserve">A</x:t>
        </x:is>
      </x:c>
      <x:c r="C48" s="12" t="inlineStr">
        <x:is>
          <x:t xml:space="preserve">Tier A expanded primary</x:t>
        </x:is>
      </x:c>
      <x:c r="D48" s="12" t="inlineStr">
        <x:is>
          <x:t xml:space="preserve">first expansion</x:t>
        </x:is>
      </x:c>
      <x:c r="E48" s="13" t="inlineStr">
        <x:is>
          <x:t xml:space="preserve">Research, evaluation, philanthropy infrastructure, and policy</x:t>
        </x:is>
      </x:c>
      <x:c r="F48" s="12" t="inlineStr">
        <x:is>
          <x:t xml:space="preserve">functional-only</x:t>
        </x:is>
      </x:c>
      <x:c r="G48" s="12" t="inlineStr">
        <x:is>
          <x:t xml:space="preserve">US</x:t>
        </x:is>
      </x:c>
      <x:c r="H48" s="12" t="inlineStr">
        <x:is>
          <x:t xml:space="preserve">independent nonprofit</x:t>
        </x:is>
      </x:c>
      <x:c r="I48" s="12" t="inlineStr">
        <x:is>
          <x:t xml:space="preserve">94-2951373</x:t>
        </x:is>
      </x:c>
      <x:c r="J48" s="14" t="n">
        <x:v>19594340</x:v>
      </x:c>
      <x:c r="K48" s="14" t="n">
        <x:v>19110723</x:v>
      </x:c>
      <x:c r="L48" s="12" t="n">
        <x:v>99</x:v>
      </x:c>
      <x:c r="M48" s="15" t="n">
        <x:v>87</x:v>
      </x:c>
      <x:c r="N48" s="12" t="inlineStr">
        <x:is>
          <x:t xml:space="preserve">selected quantitative reference organization</x:t>
        </x:is>
      </x:c>
      <x:c r="O48" s="14" t="inlineStr">
        <x:is>
          <x:t xml:space="preserve">yes</x:t>
        </x:is>
      </x:c>
      <x:c r="P48" s="14" t="n">
        <x:v>194296.7373761578</x:v>
      </x:c>
      <x:c r="Q48" s="14" t="n">
        <x:v>194296.7373761578</x:v>
      </x:c>
      <x:c r="R48" s="12" t="inlineStr">
        <x:is>
          <x:t xml:space="preserve">Executive Director</x:t>
        </x:is>
      </x:c>
      <x:c r="S48" s="14" t="n">
        <x:v>2024</x:v>
      </x:c>
      <x:c r="T48" s="16" t="inlineStr">
        <x:is>
          <x:t xml:space="preserve">https://projects.propublica.org/nonprofits/organizations/942951373</x:t>
        </x:is>
      </x:c>
      <x:c r="U48" s="16" t="inlineStr">
        <x:is>
          <x:t xml:space="preserve">https://apps.irs.gov/pub/epostcard/990/xml/2026/202631319349304238_public.xml</x:t>
        </x:is>
      </x:c>
      <x:c r="V48" s="13" t="inlineStr">
        <x:is>
          <x:t xml:space="preserve">Selected under the first expansion protocol before systematic pay review.</x:t>
        </x:is>
      </x:c>
    </x:row>
    <x:row r="49">
      <x:c r="A49" s="12" t="inlineStr">
        <x:is>
          <x:t xml:space="preserve">Technical Assistance Collaborative</x:t>
        </x:is>
      </x:c>
      <x:c r="B49" s="12" t="inlineStr">
        <x:is>
          <x:t xml:space="preserve">A</x:t>
        </x:is>
      </x:c>
      <x:c r="C49" s="12" t="inlineStr">
        <x:is>
          <x:t xml:space="preserve">Tier A expanded primary</x:t>
        </x:is>
      </x:c>
      <x:c r="D49" s="12" t="inlineStr">
        <x:is>
          <x:t xml:space="preserve">first expansion</x:t>
        </x:is>
      </x:c>
      <x:c r="E49" s="13" t="inlineStr">
        <x:is>
          <x:t xml:space="preserve">Research, evaluation, philanthropy infrastructure, and policy</x:t>
        </x:is>
      </x:c>
      <x:c r="F49" s="12" t="inlineStr">
        <x:is>
          <x:t xml:space="preserve">functional-only</x:t>
        </x:is>
      </x:c>
      <x:c r="G49" s="12" t="inlineStr">
        <x:is>
          <x:t xml:space="preserve">US</x:t>
        </x:is>
      </x:c>
      <x:c r="H49" s="12" t="inlineStr">
        <x:is>
          <x:t xml:space="preserve">independent nonprofit</x:t>
        </x:is>
      </x:c>
      <x:c r="I49" s="12" t="inlineStr">
        <x:is>
          <x:t xml:space="preserve">22-3181028</x:t>
        </x:is>
      </x:c>
      <x:c r="J49" s="14" t="n">
        <x:v>17599753</x:v>
      </x:c>
      <x:c r="K49" s="14" t="n">
        <x:v>17784473</x:v>
      </x:c>
      <x:c r="L49" s="12" t="n">
        <x:v>57</x:v>
      </x:c>
      <x:c r="M49" s="15" t="n">
        <x:v>87</x:v>
      </x:c>
      <x:c r="N49" s="12" t="inlineStr">
        <x:is>
          <x:t xml:space="preserve">selected quantitative reference organization</x:t>
        </x:is>
      </x:c>
      <x:c r="O49" s="14" t="inlineStr">
        <x:is>
          <x:t xml:space="preserve">yes</x:t>
        </x:is>
      </x:c>
      <x:c r="P49" s="14" t="n">
        <x:v>252296.9160678796</x:v>
      </x:c>
      <x:c r="Q49" s="14" t="n">
        <x:v>307341.0452139102</x:v>
      </x:c>
      <x:c r="R49" s="12" t="inlineStr">
        <x:is>
          <x:t xml:space="preserve">Executive Director &amp; President</x:t>
        </x:is>
      </x:c>
      <x:c r="S49" s="14" t="n">
        <x:v>2023</x:v>
      </x:c>
      <x:c r="T49" s="16" t="inlineStr">
        <x:is>
          <x:t xml:space="preserve">https://projects.propublica.org/nonprofits/organizations/223181028</x:t>
        </x:is>
      </x:c>
      <x:c r="U49" s="16" t="inlineStr">
        <x:is>
          <x:t xml:space="preserve">https://apps.irs.gov/pub/epostcard/990/xml/2025/202500629349300740_public.xml</x:t>
        </x:is>
      </x:c>
      <x:c r="V49" s="13" t="inlineStr">
        <x:is>
          <x:t xml:space="preserve">Selected under the first expansion protocol before systematic pay review.</x:t>
        </x:is>
      </x:c>
    </x:row>
    <x:row r="50">
      <x:c r="A50" s="12" t="inlineStr">
        <x:is>
          <x:t xml:space="preserve">Center for a New American Security</x:t>
        </x:is>
      </x:c>
      <x:c r="B50" s="12" t="inlineStr">
        <x:is>
          <x:t xml:space="preserve">A</x:t>
        </x:is>
      </x:c>
      <x:c r="C50" s="12" t="inlineStr">
        <x:is>
          <x:t xml:space="preserve">Tier A expanded primary</x:t>
        </x:is>
      </x:c>
      <x:c r="D50" s="12" t="inlineStr">
        <x:is>
          <x:t xml:space="preserve">second expansion / filing verification</x:t>
        </x:is>
      </x:c>
      <x:c r="E50" s="13" t="inlineStr">
        <x:is>
          <x:t xml:space="preserve">AI, catastrophic risk, biosecurity, and technology policy</x:t>
        </x:is>
      </x:c>
      <x:c r="F50" s="12" t="inlineStr">
        <x:is>
          <x:t xml:space="preserve">EA-adjacent</x:t>
        </x:is>
      </x:c>
      <x:c r="G50" s="12" t="inlineStr">
        <x:is>
          <x:t xml:space="preserve">US</x:t>
        </x:is>
      </x:c>
      <x:c r="H50" s="12" t="inlineStr">
        <x:is>
          <x:t xml:space="preserve">independent nonprofit</x:t>
        </x:is>
      </x:c>
      <x:c r="I50" s="12" t="inlineStr">
        <x:is>
          <x:t xml:space="preserve">20-8084828</x:t>
        </x:is>
      </x:c>
      <x:c r="J50" s="14" t="n">
        <x:v>14063810</x:v>
      </x:c>
      <x:c r="K50" s="14" t="n">
        <x:v>13803095</x:v>
      </x:c>
      <x:c r="L50" s="12" t="n"/>
      <x:c r="M50" s="15" t="n">
        <x:v>86</x:v>
      </x:c>
      <x:c r="N50" s="12" t="inlineStr">
        <x:is>
          <x:t xml:space="preserve">selected quantitative reference organization</x:t>
        </x:is>
      </x:c>
      <x:c r="O50" s="14" t="inlineStr">
        <x:is>
          <x:t xml:space="preserve">yes</x:t>
        </x:is>
      </x:c>
      <x:c r="P50" s="14" t="n">
        <x:v>851859.0763804696</x:v>
      </x:c>
      <x:c r="Q50" s="14" t="n">
        <x:v>851859.0763804696</x:v>
      </x:c>
      <x:c r="R50" s="12" t="inlineStr">
        <x:is>
          <x:t xml:space="preserve">CEO</x:t>
        </x:is>
      </x:c>
      <x:c r="S50" s="14" t="n">
        <x:v>2023</x:v>
      </x:c>
      <x:c r="T50" s="16" t="inlineStr">
        <x:is>
          <x:t xml:space="preserve">https://projects.propublica.org/nonprofits/organizations/208084828</x:t>
        </x:is>
      </x:c>
      <x:c r="U50" s="16" t="inlineStr">
        <x:is>
          <x:t xml:space="preserve">https://apps.irs.gov/pub/epostcard/990/xml/2025/202542329349300819_public.xml</x:t>
        </x:is>
      </x:c>
      <x:c r="V50" s="13" t="inlineStr">
        <x:is>
          <x:t xml:space="preserve">Added by the second-expansion freeze and retained after role/scale verification; pay did not determine selection.</x:t>
        </x:is>
      </x:c>
    </x:row>
    <x:row r="51">
      <x:c r="A51" s="12" t="inlineStr">
        <x:is>
          <x:t xml:space="preserve">Charity Navigator</x:t>
        </x:is>
      </x:c>
      <x:c r="B51" s="12" t="inlineStr">
        <x:is>
          <x:t xml:space="preserve">A</x:t>
        </x:is>
      </x:c>
      <x:c r="C51" s="12" t="inlineStr">
        <x:is>
          <x:t xml:space="preserve">Tier A expanded primary</x:t>
        </x:is>
      </x:c>
      <x:c r="D51" s="12" t="inlineStr">
        <x:is>
          <x:t xml:space="preserve">first expansion</x:t>
        </x:is>
      </x:c>
      <x:c r="E51" s="13" t="inlineStr">
        <x:is>
          <x:t xml:space="preserve">Research, evaluation, philanthropy infrastructure, and policy</x:t>
        </x:is>
      </x:c>
      <x:c r="F51" s="12" t="inlineStr">
        <x:is>
          <x:t xml:space="preserve">functional-only</x:t>
        </x:is>
      </x:c>
      <x:c r="G51" s="12" t="inlineStr">
        <x:is>
          <x:t xml:space="preserve">US</x:t>
        </x:is>
      </x:c>
      <x:c r="H51" s="12" t="inlineStr">
        <x:is>
          <x:t xml:space="preserve">independent nonprofit</x:t>
        </x:is>
      </x:c>
      <x:c r="I51" s="12" t="inlineStr">
        <x:is>
          <x:t xml:space="preserve">13-4148824</x:t>
        </x:is>
      </x:c>
      <x:c r="J51" s="14" t="n">
        <x:v>7619753</x:v>
      </x:c>
      <x:c r="K51" s="14" t="n">
        <x:v>7840893</x:v>
      </x:c>
      <x:c r="L51" s="12" t="n">
        <x:v>51</x:v>
      </x:c>
      <x:c r="M51" s="15" t="n">
        <x:v>86</x:v>
      </x:c>
      <x:c r="N51" s="12" t="inlineStr">
        <x:is>
          <x:t xml:space="preserve">selected quantitative reference organization</x:t>
        </x:is>
      </x:c>
      <x:c r="O51" s="14" t="inlineStr">
        <x:is>
          <x:t xml:space="preserve">yes</x:t>
        </x:is>
      </x:c>
      <x:c r="P51" s="14" t="n">
        <x:v>345254.9746548199</x:v>
      </x:c>
      <x:c r="Q51" s="14" t="n">
        <x:v>368135.0798078564</x:v>
      </x:c>
      <x:c r="R51" s="12" t="inlineStr">
        <x:is>
          <x:t xml:space="preserve">President &amp; CEO</x:t>
        </x:is>
      </x:c>
      <x:c r="S51" s="14" t="n">
        <x:v>2024</x:v>
      </x:c>
      <x:c r="T51" s="16" t="inlineStr">
        <x:is>
          <x:t xml:space="preserve">https://projects.propublica.org/nonprofits/organizations/134148824</x:t>
        </x:is>
      </x:c>
      <x:c r="U51" s="16" t="inlineStr">
        <x:is>
          <x:t xml:space="preserve">https://apps.irs.gov/pub/epostcard/990/xml/2026/202640789349301509_public.xml</x:t>
        </x:is>
      </x:c>
      <x:c r="V51" s="13" t="inlineStr">
        <x:is>
          <x:t xml:space="preserve">Selected under the first expansion protocol before systematic pay review.</x:t>
        </x:is>
      </x:c>
    </x:row>
    <x:row r="52">
      <x:c r="A52" s="12" t="inlineStr">
        <x:is>
          <x:t xml:space="preserve">Data Quality Campaign</x:t>
        </x:is>
      </x:c>
      <x:c r="B52" s="12" t="inlineStr">
        <x:is>
          <x:t xml:space="preserve">A</x:t>
        </x:is>
      </x:c>
      <x:c r="C52" s="12" t="inlineStr">
        <x:is>
          <x:t xml:space="preserve">Tier A expanded primary</x:t>
        </x:is>
      </x:c>
      <x:c r="D52" s="12" t="inlineStr">
        <x:is>
          <x:t xml:space="preserve">second expansion / filing verification</x:t>
        </x:is>
      </x:c>
      <x:c r="E52" s="13" t="inlineStr">
        <x:is>
          <x:t xml:space="preserve">Research, evaluation, philanthropy infrastructure, and policy</x:t>
        </x:is>
      </x:c>
      <x:c r="F52" s="12" t="inlineStr">
        <x:is>
          <x:t xml:space="preserve">functional-only</x:t>
        </x:is>
      </x:c>
      <x:c r="G52" s="12" t="inlineStr">
        <x:is>
          <x:t xml:space="preserve">US</x:t>
        </x:is>
      </x:c>
      <x:c r="H52" s="12" t="inlineStr">
        <x:is>
          <x:t xml:space="preserve">independent nonprofit</x:t>
        </x:is>
      </x:c>
      <x:c r="I52" s="12" t="inlineStr">
        <x:is>
          <x:t xml:space="preserve">27-4566795</x:t>
        </x:is>
      </x:c>
      <x:c r="J52" s="14" t="n">
        <x:v>3867847</x:v>
      </x:c>
      <x:c r="K52" s="14" t="n">
        <x:v>6466981</x:v>
      </x:c>
      <x:c r="L52" s="12" t="n"/>
      <x:c r="M52" s="15" t="n">
        <x:v>86</x:v>
      </x:c>
      <x:c r="N52" s="12" t="inlineStr">
        <x:is>
          <x:t xml:space="preserve">selected quantitative reference organization</x:t>
        </x:is>
      </x:c>
      <x:c r="O52" s="14" t="inlineStr">
        <x:is>
          <x:t xml:space="preserve">yes</x:t>
        </x:is>
      </x:c>
      <x:c r="P52" s="14" t="n">
        <x:v>438046.3939434674</x:v>
      </x:c>
      <x:c r="Q52" s="14" t="n">
        <x:v>487914.4634560894</x:v>
      </x:c>
      <x:c r="R52" s="12" t="inlineStr">
        <x:is>
          <x:t xml:space="preserve">CEO/President</x:t>
        </x:is>
      </x:c>
      <x:c r="S52" s="14" t="n">
        <x:v>2024</x:v>
      </x:c>
      <x:c r="T52" s="16" t="inlineStr">
        <x:is>
          <x:t xml:space="preserve">https://projects.propublica.org/nonprofits/organizations/274566795</x:t>
        </x:is>
      </x:c>
      <x:c r="U52" s="16" t="inlineStr">
        <x:is>
          <x:t xml:space="preserve">https://apps.irs.gov/pub/epostcard/990/xml/2026/202621339349304737_public.xml</x:t>
        </x:is>
      </x:c>
      <x:c r="V52" s="13" t="inlineStr">
        <x:is>
          <x:t xml:space="preserve">Added by the second-expansion freeze and retained after role/scale verification; pay did not determine selection.</x:t>
        </x:is>
      </x:c>
    </x:row>
    <x:row r="53">
      <x:c r="A53" s="12" t="inlineStr">
        <x:is>
          <x:t xml:space="preserve">Economic Policy Institute</x:t>
        </x:is>
      </x:c>
      <x:c r="B53" s="12" t="inlineStr">
        <x:is>
          <x:t xml:space="preserve">A</x:t>
        </x:is>
      </x:c>
      <x:c r="C53" s="12" t="inlineStr">
        <x:is>
          <x:t xml:space="preserve">Tier A expanded primary</x:t>
        </x:is>
      </x:c>
      <x:c r="D53" s="12" t="inlineStr">
        <x:is>
          <x:t xml:space="preserve">second expansion / filing verification</x:t>
        </x:is>
      </x:c>
      <x:c r="E53" s="13" t="inlineStr">
        <x:is>
          <x:t xml:space="preserve">Research, evaluation, philanthropy infrastructure, and policy</x:t>
        </x:is>
      </x:c>
      <x:c r="F53" s="12" t="inlineStr">
        <x:is>
          <x:t xml:space="preserve">functional-only</x:t>
        </x:is>
      </x:c>
      <x:c r="G53" s="12" t="inlineStr">
        <x:is>
          <x:t xml:space="preserve">US</x:t>
        </x:is>
      </x:c>
      <x:c r="H53" s="12" t="inlineStr">
        <x:is>
          <x:t xml:space="preserve">independent nonprofit</x:t>
        </x:is>
      </x:c>
      <x:c r="I53" s="12" t="inlineStr">
        <x:is>
          <x:t xml:space="preserve">52-1368964</x:t>
        </x:is>
      </x:c>
      <x:c r="J53" s="14" t="n">
        <x:v>11927401</x:v>
      </x:c>
      <x:c r="K53" s="14" t="n">
        <x:v>13581055</x:v>
      </x:c>
      <x:c r="L53" s="12" t="n"/>
      <x:c r="M53" s="15" t="n">
        <x:v>86</x:v>
      </x:c>
      <x:c r="N53" s="12" t="inlineStr">
        <x:is>
          <x:t xml:space="preserve">selected quantitative reference organization</x:t>
        </x:is>
      </x:c>
      <x:c r="O53" s="14" t="inlineStr">
        <x:is>
          <x:t xml:space="preserve">yes</x:t>
        </x:is>
      </x:c>
      <x:c r="P53" s="14" t="n">
        <x:v>254670.238997988</x:v>
      </x:c>
      <x:c r="Q53" s="14" t="n">
        <x:v>293706.0785842446</x:v>
      </x:c>
      <x:c r="R53" s="12" t="inlineStr">
        <x:is>
          <x:t xml:space="preserve">President</x:t>
        </x:is>
      </x:c>
      <x:c r="S53" s="14" t="n">
        <x:v>2024</x:v>
      </x:c>
      <x:c r="T53" s="16" t="inlineStr">
        <x:is>
          <x:t xml:space="preserve">https://projects.propublica.org/nonprofits/organizations/521368964</x:t>
        </x:is>
      </x:c>
      <x:c r="U53" s="16" t="inlineStr">
        <x:is>
          <x:t xml:space="preserve">https://apps.irs.gov/pub/epostcard/990/xml/2025/202542469349301614_public.xml</x:t>
        </x:is>
      </x:c>
      <x:c r="V53" s="13" t="inlineStr">
        <x:is>
          <x:t xml:space="preserve">Added by the second-expansion freeze and retained after role/scale verification; pay did not determine selection.</x:t>
        </x:is>
      </x:c>
    </x:row>
    <x:row r="54">
      <x:c r="A54" s="12" t="inlineStr">
        <x:is>
          <x:t xml:space="preserve">Grantmakers for Effective Organizations</x:t>
        </x:is>
      </x:c>
      <x:c r="B54" s="12" t="inlineStr">
        <x:is>
          <x:t xml:space="preserve">A</x:t>
        </x:is>
      </x:c>
      <x:c r="C54" s="12" t="inlineStr">
        <x:is>
          <x:t xml:space="preserve">Tier A expanded primary</x:t>
        </x:is>
      </x:c>
      <x:c r="D54" s="12" t="inlineStr">
        <x:is>
          <x:t xml:space="preserve">first expansion</x:t>
        </x:is>
      </x:c>
      <x:c r="E54" s="13" t="inlineStr">
        <x:is>
          <x:t xml:space="preserve">Research, evaluation, philanthropy infrastructure, and policy</x:t>
        </x:is>
      </x:c>
      <x:c r="F54" s="12" t="inlineStr">
        <x:is>
          <x:t xml:space="preserve">functional-only</x:t>
        </x:is>
      </x:c>
      <x:c r="G54" s="12" t="inlineStr">
        <x:is>
          <x:t xml:space="preserve">US</x:t>
        </x:is>
      </x:c>
      <x:c r="H54" s="12" t="inlineStr">
        <x:is>
          <x:t xml:space="preserve">independent nonprofit</x:t>
        </x:is>
      </x:c>
      <x:c r="I54" s="12" t="inlineStr">
        <x:is>
          <x:t xml:space="preserve">01-0669150</x:t>
        </x:is>
      </x:c>
      <x:c r="J54" s="14" t="n">
        <x:v>10014322</x:v>
      </x:c>
      <x:c r="K54" s="14" t="n">
        <x:v>7553004</x:v>
      </x:c>
      <x:c r="L54" s="12" t="n">
        <x:v>28</x:v>
      </x:c>
      <x:c r="M54" s="15" t="n">
        <x:v>86</x:v>
      </x:c>
      <x:c r="N54" s="12" t="inlineStr">
        <x:is>
          <x:t xml:space="preserve">selected quantitative reference organization</x:t>
        </x:is>
      </x:c>
      <x:c r="O54" s="14" t="inlineStr">
        <x:is>
          <x:t xml:space="preserve">yes</x:t>
        </x:is>
      </x:c>
      <x:c r="P54" s="14" t="n">
        <x:v>394818.6005983637</x:v>
      </x:c>
      <x:c r="Q54" s="14" t="n">
        <x:v>407598.8435716286</x:v>
      </x:c>
      <x:c r="R54" s="12" t="inlineStr">
        <x:is>
          <x:t xml:space="preserve">President &amp; CEO</x:t>
        </x:is>
      </x:c>
      <x:c r="S54" s="14" t="n">
        <x:v>2024</x:v>
      </x:c>
      <x:c r="T54" s="16" t="inlineStr">
        <x:is>
          <x:t xml:space="preserve">https://projects.propublica.org/nonprofits/organizations/10669150</x:t>
        </x:is>
      </x:c>
      <x:c r="U54" s="16" t="inlineStr">
        <x:is>
          <x:t xml:space="preserve">https://apps.irs.gov/pub/epostcard/990/xml/2025/202503109349303655_public.xml</x:t>
        </x:is>
      </x:c>
      <x:c r="V54" s="13" t="inlineStr">
        <x:is>
          <x:t xml:space="preserve">Selected under the first expansion protocol before systematic pay review.</x:t>
        </x:is>
      </x:c>
    </x:row>
    <x:row r="55">
      <x:c r="A55" s="12" t="inlineStr">
        <x:is>
          <x:t xml:space="preserve">Wild Animal Initiative</x:t>
        </x:is>
      </x:c>
      <x:c r="B55" s="12" t="inlineStr">
        <x:is>
          <x:t xml:space="preserve">A</x:t>
        </x:is>
      </x:c>
      <x:c r="C55" s="12" t="inlineStr">
        <x:is>
          <x:t xml:space="preserve">Tier A expanded primary</x:t>
        </x:is>
      </x:c>
      <x:c r="D55" s="12" t="inlineStr">
        <x:is>
          <x:t xml:space="preserve">first expansion</x:t>
        </x:is>
      </x:c>
      <x:c r="E55" s="12" t="inlineStr">
        <x:is>
          <x:t xml:space="preserve">Animal welfare and food systems</x:t>
        </x:is>
      </x:c>
      <x:c r="F55" s="12" t="inlineStr">
        <x:is>
          <x:t xml:space="preserve">EA-adjacent</x:t>
        </x:is>
      </x:c>
      <x:c r="G55" s="12" t="inlineStr">
        <x:is>
          <x:t xml:space="preserve">US</x:t>
        </x:is>
      </x:c>
      <x:c r="H55" s="12" t="inlineStr">
        <x:is>
          <x:t xml:space="preserve">independent nonprofit</x:t>
        </x:is>
      </x:c>
      <x:c r="I55" s="12" t="inlineStr">
        <x:is>
          <x:t xml:space="preserve">82-2281466</x:t>
        </x:is>
      </x:c>
      <x:c r="J55" s="14" t="n">
        <x:v>2487849</x:v>
      </x:c>
      <x:c r="K55" s="14" t="n">
        <x:v>3345940</x:v>
      </x:c>
      <x:c r="L55" s="12" t="n">
        <x:v>16</x:v>
      </x:c>
      <x:c r="M55" s="15" t="n">
        <x:v>86</x:v>
      </x:c>
      <x:c r="N55" s="12" t="inlineStr">
        <x:is>
          <x:t xml:space="preserve">selected quantitative reference organization</x:t>
        </x:is>
      </x:c>
      <x:c r="O55" s="14" t="inlineStr">
        <x:is>
          <x:t xml:space="preserve">yes</x:t>
        </x:is>
      </x:c>
      <x:c r="P55" s="14" t="n">
        <x:v>108536.2613524124</x:v>
      </x:c>
      <x:c r="Q55" s="14" t="n">
        <x:v>121717.8163030987</x:v>
      </x:c>
      <x:c r="R55" s="12" t="inlineStr">
        <x:is>
          <x:t xml:space="preserve">Executive Director</x:t>
        </x:is>
      </x:c>
      <x:c r="S55" s="14" t="n">
        <x:v>2024</x:v>
      </x:c>
      <x:c r="T55" s="16" t="inlineStr">
        <x:is>
          <x:t xml:space="preserve">https://projects.propublica.org/nonprofits/organizations/822281466</x:t>
        </x:is>
      </x:c>
      <x:c r="U55" s="16" t="inlineStr">
        <x:is>
          <x:t xml:space="preserve">https://apps.irs.gov/pub/epostcard/990/xml/2025/202532319349300913_public.xml</x:t>
        </x:is>
      </x:c>
      <x:c r="V55" s="13" t="inlineStr">
        <x:is>
          <x:t xml:space="preserve">Selected under the first expansion protocol before systematic pay review.</x:t>
        </x:is>
      </x:c>
    </x:row>
    <x:row r="56">
      <x:c r="A56" s="12" t="inlineStr">
        <x:is>
          <x:t xml:space="preserve">World Justice Project</x:t>
        </x:is>
      </x:c>
      <x:c r="B56" s="12" t="inlineStr">
        <x:is>
          <x:t xml:space="preserve">A</x:t>
        </x:is>
      </x:c>
      <x:c r="C56" s="12" t="inlineStr">
        <x:is>
          <x:t xml:space="preserve">Tier A expanded primary</x:t>
        </x:is>
      </x:c>
      <x:c r="D56" s="12" t="inlineStr">
        <x:is>
          <x:t xml:space="preserve">first expansion</x:t>
        </x:is>
      </x:c>
      <x:c r="E56" s="13" t="inlineStr">
        <x:is>
          <x:t xml:space="preserve">Research, evaluation, philanthropy infrastructure, and policy</x:t>
        </x:is>
      </x:c>
      <x:c r="F56" s="12" t="inlineStr">
        <x:is>
          <x:t xml:space="preserve">functional-only</x:t>
        </x:is>
      </x:c>
      <x:c r="G56" s="12" t="inlineStr">
        <x:is>
          <x:t xml:space="preserve">US/international</x:t>
        </x:is>
      </x:c>
      <x:c r="H56" s="12" t="inlineStr">
        <x:is>
          <x:t xml:space="preserve">independent nonprofit</x:t>
        </x:is>
      </x:c>
      <x:c r="I56" s="12" t="inlineStr">
        <x:is>
          <x:t xml:space="preserve">27-0359097</x:t>
        </x:is>
      </x:c>
      <x:c r="J56" s="14" t="n">
        <x:v>7781328</x:v>
      </x:c>
      <x:c r="K56" s="14" t="n">
        <x:v>9495045</x:v>
      </x:c>
      <x:c r="L56" s="12" t="n">
        <x:v>49</x:v>
      </x:c>
      <x:c r="M56" s="15" t="n">
        <x:v>86</x:v>
      </x:c>
      <x:c r="N56" s="12" t="inlineStr">
        <x:is>
          <x:t xml:space="preserve">selected quantitative reference organization</x:t>
        </x:is>
      </x:c>
      <x:c r="O56" s="14" t="inlineStr">
        <x:is>
          <x:t xml:space="preserve">yes</x:t>
        </x:is>
      </x:c>
      <x:c r="P56" s="14" t="n">
        <x:v>382061.7763611817</x:v>
      </x:c>
      <x:c r="Q56" s="14" t="n">
        <x:v>481355.0883768576</x:v>
      </x:c>
      <x:c r="R56" s="12" t="inlineStr">
        <x:is>
          <x:t xml:space="preserve">Executive Director</x:t>
        </x:is>
      </x:c>
      <x:c r="S56" s="14" t="n">
        <x:v>2024</x:v>
      </x:c>
      <x:c r="T56" s="16" t="inlineStr">
        <x:is>
          <x:t xml:space="preserve">https://projects.propublica.org/nonprofits/organizations/270359097</x:t>
        </x:is>
      </x:c>
      <x:c r="U56" s="16" t="inlineStr">
        <x:is>
          <x:t xml:space="preserve">https://apps.irs.gov/pub/epostcard/990/xml/2025/202543089349302129_public.xml</x:t>
        </x:is>
      </x:c>
      <x:c r="V56" s="13" t="inlineStr">
        <x:is>
          <x:t xml:space="preserve">Selected under the first expansion protocol before systematic pay review.</x:t>
        </x:is>
      </x:c>
    </x:row>
    <x:row r="57">
      <x:c r="A57" s="12" t="inlineStr">
        <x:is>
          <x:t xml:space="preserve">Institute for Women’s Policy Research</x:t>
        </x:is>
      </x:c>
      <x:c r="B57" s="12" t="inlineStr">
        <x:is>
          <x:t xml:space="preserve">A</x:t>
        </x:is>
      </x:c>
      <x:c r="C57" s="12" t="inlineStr">
        <x:is>
          <x:t xml:space="preserve">Tier A expanded primary</x:t>
        </x:is>
      </x:c>
      <x:c r="D57" s="12" t="inlineStr">
        <x:is>
          <x:t xml:space="preserve">first expansion</x:t>
        </x:is>
      </x:c>
      <x:c r="E57" s="13" t="inlineStr">
        <x:is>
          <x:t xml:space="preserve">Research, evaluation, philanthropy infrastructure, and policy</x:t>
        </x:is>
      </x:c>
      <x:c r="F57" s="12" t="inlineStr">
        <x:is>
          <x:t xml:space="preserve">functional-only</x:t>
        </x:is>
      </x:c>
      <x:c r="G57" s="12" t="inlineStr">
        <x:is>
          <x:t xml:space="preserve">US</x:t>
        </x:is>
      </x:c>
      <x:c r="H57" s="12" t="inlineStr">
        <x:is>
          <x:t xml:space="preserve">independent nonprofit</x:t>
        </x:is>
      </x:c>
      <x:c r="I57" s="12" t="inlineStr">
        <x:is>
          <x:t xml:space="preserve">52-1549572</x:t>
        </x:is>
      </x:c>
      <x:c r="J57" s="14" t="n">
        <x:v>1743371</x:v>
      </x:c>
      <x:c r="K57" s="14" t="n">
        <x:v>7863836</x:v>
      </x:c>
      <x:c r="L57" s="12" t="n">
        <x:v>39</x:v>
      </x:c>
      <x:c r="M57" s="15" t="n">
        <x:v>85</x:v>
      </x:c>
      <x:c r="N57" s="12" t="inlineStr">
        <x:is>
          <x:t xml:space="preserve">selected quantitative reference organization</x:t>
        </x:is>
      </x:c>
      <x:c r="O57" s="14" t="inlineStr">
        <x:is>
          <x:t xml:space="preserve">not collected/clean observation unavailable</x:t>
        </x:is>
      </x:c>
      <x:c r="P57" s="14" t="n"/>
      <x:c r="Q57" s="14" t="n"/>
      <x:c r="R57" s="12" t="n"/>
      <x:c r="S57" s="14" t="n"/>
      <x:c r="T57" s="17" t="n"/>
      <x:c r="U57" s="17" t="n"/>
      <x:c r="V57" s="13" t="inlineStr">
        <x:is>
          <x:t xml:space="preserve">Selected under the first expansion protocol before systematic pay review.</x:t>
        </x:is>
      </x:c>
    </x:row>
    <x:row r="58">
      <x:c r="A58" s="12" t="inlineStr">
        <x:is>
          <x:t xml:space="preserve">Niskanen Center</x:t>
        </x:is>
      </x:c>
      <x:c r="B58" s="12" t="inlineStr">
        <x:is>
          <x:t xml:space="preserve">A</x:t>
        </x:is>
      </x:c>
      <x:c r="C58" s="12" t="inlineStr">
        <x:is>
          <x:t xml:space="preserve">strict_primary</x:t>
        </x:is>
      </x:c>
      <x:c r="D58" s="12" t="inlineStr">
        <x:is>
          <x:t xml:space="preserve">original frozen protocol / legacy bridge</x:t>
        </x:is>
      </x:c>
      <x:c r="E58" s="13" t="inlineStr">
        <x:is>
          <x:t xml:space="preserve">Research, evaluation, policy, or EA-adjacent evidence organization</x:t>
        </x:is>
      </x:c>
      <x:c r="F58" s="12" t="inlineStr">
        <x:is>
          <x:t xml:space="preserve">functional-only</x:t>
        </x:is>
      </x:c>
      <x:c r="G58" s="12" t="inlineStr">
        <x:is>
          <x:t xml:space="preserve">US</x:t>
        </x:is>
      </x:c>
      <x:c r="H58" s="12" t="inlineStr">
        <x:is>
          <x:t xml:space="preserve">independent nonprofit</x:t>
        </x:is>
      </x:c>
      <x:c r="I58" s="12" t="inlineStr">
        <x:is>
          <x:t xml:space="preserve">45-5308952</x:t>
        </x:is>
      </x:c>
      <x:c r="J58" s="14" t="n">
        <x:v>9958495</x:v>
      </x:c>
      <x:c r="K58" s="14" t="n">
        <x:v>10357724</x:v>
      </x:c>
      <x:c r="L58" s="12" t="n"/>
      <x:c r="M58" s="15" t="n">
        <x:v>85</x:v>
      </x:c>
      <x:c r="N58" s="12" t="inlineStr">
        <x:is>
          <x:t xml:space="preserve">selected quantitative reference organization</x:t>
        </x:is>
      </x:c>
      <x:c r="O58" s="14" t="inlineStr">
        <x:is>
          <x:t xml:space="preserve">yes</x:t>
        </x:is>
      </x:c>
      <x:c r="P58" s="14" t="n">
        <x:v>726092.5898116659</x:v>
      </x:c>
      <x:c r="Q58" s="14" t="n">
        <x:v>726978.2438308026</x:v>
      </x:c>
      <x:c r="R58" s="12" t="inlineStr">
        <x:is>
          <x:t xml:space="preserve">President</x:t>
        </x:is>
      </x:c>
      <x:c r="S58" s="14" t="n">
        <x:v>2024</x:v>
      </x:c>
      <x:c r="T58" s="16" t="inlineStr">
        <x:is>
          <x:t xml:space="preserve">https://projects.propublica.org/nonprofits/organizations/455308952</x:t>
        </x:is>
      </x:c>
      <x:c r="U58" s="16" t="inlineStr">
        <x:is>
          <x:t xml:space="preserve">https://apps.irs.gov/pub/epostcard/990/xml/2025/202523179349301947_public.xml</x:t>
        </x:is>
      </x:c>
      <x:c r="V58" s="13" t="inlineStr">
        <x:is>
          <x:t xml:space="preserve">Selected under the original frozen protocol before compensation review; retained as a legacy bridge observation.</x:t>
        </x:is>
      </x:c>
    </x:row>
    <x:row r="59">
      <x:c r="A59" s="12" t="inlineStr">
        <x:is>
          <x:t xml:space="preserve">Social Science Research Council</x:t>
        </x:is>
      </x:c>
      <x:c r="B59" s="12" t="inlineStr">
        <x:is>
          <x:t xml:space="preserve">A</x:t>
        </x:is>
      </x:c>
      <x:c r="C59" s="12" t="inlineStr">
        <x:is>
          <x:t xml:space="preserve">Tier A expanded primary</x:t>
        </x:is>
      </x:c>
      <x:c r="D59" s="12" t="inlineStr">
        <x:is>
          <x:t xml:space="preserve">first expansion</x:t>
        </x:is>
      </x:c>
      <x:c r="E59" s="13" t="inlineStr">
        <x:is>
          <x:t xml:space="preserve">Research, evaluation, philanthropy infrastructure, and policy</x:t>
        </x:is>
      </x:c>
      <x:c r="F59" s="12" t="inlineStr">
        <x:is>
          <x:t xml:space="preserve">functional-only</x:t>
        </x:is>
      </x:c>
      <x:c r="G59" s="12" t="inlineStr">
        <x:is>
          <x:t xml:space="preserve">US/international</x:t>
        </x:is>
      </x:c>
      <x:c r="H59" s="12" t="inlineStr">
        <x:is>
          <x:t xml:space="preserve">independent nonprofit</x:t>
        </x:is>
      </x:c>
      <x:c r="I59" s="12" t="inlineStr">
        <x:is>
          <x:t xml:space="preserve">13-1325070</x:t>
        </x:is>
      </x:c>
      <x:c r="J59" s="14" t="n">
        <x:v>14237307</x:v>
      </x:c>
      <x:c r="K59" s="14" t="n">
        <x:v>15470220</x:v>
      </x:c>
      <x:c r="L59" s="12" t="n">
        <x:v>62</x:v>
      </x:c>
      <x:c r="M59" s="15" t="n">
        <x:v>85</x:v>
      </x:c>
      <x:c r="N59" s="12" t="inlineStr">
        <x:is>
          <x:t xml:space="preserve">selected quantitative reference organization</x:t>
        </x:is>
      </x:c>
      <x:c r="O59" s="14" t="inlineStr">
        <x:is>
          <x:t xml:space="preserve">yes</x:t>
        </x:is>
      </x:c>
      <x:c r="P59" s="14" t="n">
        <x:v>362993.6027496463</x:v>
      </x:c>
      <x:c r="Q59" s="14" t="n">
        <x:v>408049.1219972234</x:v>
      </x:c>
      <x:c r="R59" s="12" t="inlineStr">
        <x:is>
          <x:t xml:space="preserve">President</x:t>
        </x:is>
      </x:c>
      <x:c r="S59" s="14" t="n">
        <x:v>2024</x:v>
      </x:c>
      <x:c r="T59" s="16" t="inlineStr">
        <x:is>
          <x:t xml:space="preserve">https://projects.propublica.org/nonprofits/organizations/131325070</x:t>
        </x:is>
      </x:c>
      <x:c r="U59" s="16" t="inlineStr">
        <x:is>
          <x:t xml:space="preserve">https://apps.irs.gov/pub/epostcard/990/xml/2026/202641339349307834_public.xml</x:t>
        </x:is>
      </x:c>
      <x:c r="V59" s="13" t="inlineStr">
        <x:is>
          <x:t xml:space="preserve">Selected under the first expansion protocol before systematic pay review.</x:t>
        </x:is>
      </x:c>
    </x:row>
    <x:row r="60">
      <x:c r="A60" s="12" t="inlineStr">
        <x:is>
          <x:t xml:space="preserve">Chicago Council on Global Affairs</x:t>
        </x:is>
      </x:c>
      <x:c r="B60" s="12" t="inlineStr">
        <x:is>
          <x:t xml:space="preserve">A</x:t>
        </x:is>
      </x:c>
      <x:c r="C60" s="12" t="inlineStr">
        <x:is>
          <x:t xml:space="preserve">Tier A expanded primary</x:t>
        </x:is>
      </x:c>
      <x:c r="D60" s="12" t="inlineStr">
        <x:is>
          <x:t xml:space="preserve">second expansion / filing verification</x:t>
        </x:is>
      </x:c>
      <x:c r="E60" s="13" t="inlineStr">
        <x:is>
          <x:t xml:space="preserve">Research, evaluation, philanthropy infrastructure, and policy</x:t>
        </x:is>
      </x:c>
      <x:c r="F60" s="12" t="inlineStr">
        <x:is>
          <x:t xml:space="preserve">functional-only</x:t>
        </x:is>
      </x:c>
      <x:c r="G60" s="12" t="inlineStr">
        <x:is>
          <x:t xml:space="preserve">US/international</x:t>
        </x:is>
      </x:c>
      <x:c r="H60" s="12" t="inlineStr">
        <x:is>
          <x:t xml:space="preserve">independent nonprofit</x:t>
        </x:is>
      </x:c>
      <x:c r="I60" s="12" t="inlineStr">
        <x:is>
          <x:t xml:space="preserve">36-2181969</x:t>
        </x:is>
      </x:c>
      <x:c r="J60" s="14" t="n">
        <x:v>7715407</x:v>
      </x:c>
      <x:c r="K60" s="14" t="n">
        <x:v>11944089</x:v>
      </x:c>
      <x:c r="L60" s="12" t="n"/>
      <x:c r="M60" s="15" t="n">
        <x:v>84</x:v>
      </x:c>
      <x:c r="N60" s="12" t="inlineStr">
        <x:is>
          <x:t xml:space="preserve">selected quantitative reference organization</x:t>
        </x:is>
      </x:c>
      <x:c r="O60" s="14" t="inlineStr">
        <x:is>
          <x:t xml:space="preserve">yes</x:t>
        </x:is>
      </x:c>
      <x:c r="P60" s="14" t="n">
        <x:v>513559.0439549172</x:v>
      </x:c>
      <x:c r="Q60" s="14" t="n">
        <x:v>548128.291877354</x:v>
      </x:c>
      <x:c r="R60" s="12" t="inlineStr">
        <x:is>
          <x:t xml:space="preserve">President</x:t>
        </x:is>
      </x:c>
      <x:c r="S60" s="14" t="n">
        <x:v>2024</x:v>
      </x:c>
      <x:c r="T60" s="16" t="inlineStr">
        <x:is>
          <x:t xml:space="preserve">https://projects.propublica.org/nonprofits/organizations/362181969</x:t>
        </x:is>
      </x:c>
      <x:c r="U60" s="16" t="inlineStr">
        <x:is>
          <x:t xml:space="preserve">https://apps.irs.gov/pub/epostcard/990/xml/2025/202543179349309229_public.xml</x:t>
        </x:is>
      </x:c>
      <x:c r="V60" s="13" t="inlineStr">
        <x:is>
          <x:t xml:space="preserve">Added by the second-expansion freeze and retained after role/scale verification; pay did not determine selection.</x:t>
        </x:is>
      </x:c>
    </x:row>
    <x:row r="61">
      <x:c r="A61" s="12" t="inlineStr">
        <x:is>
          <x:t xml:space="preserve">Code for Science &amp; Society</x:t>
        </x:is>
      </x:c>
      <x:c r="B61" s="12" t="inlineStr">
        <x:is>
          <x:t xml:space="preserve">A</x:t>
        </x:is>
      </x:c>
      <x:c r="C61" s="12" t="inlineStr">
        <x:is>
          <x:t xml:space="preserve">Tier A expanded primary</x:t>
        </x:is>
      </x:c>
      <x:c r="D61" s="12" t="inlineStr">
        <x:is>
          <x:t xml:space="preserve">first expansion</x:t>
        </x:is>
      </x:c>
      <x:c r="E61" s="13" t="inlineStr">
        <x:is>
          <x:t xml:space="preserve">Research, evaluation, philanthropy infrastructure, and policy</x:t>
        </x:is>
      </x:c>
      <x:c r="F61" s="12" t="inlineStr">
        <x:is>
          <x:t xml:space="preserve">functional-only</x:t>
        </x:is>
      </x:c>
      <x:c r="G61" s="12" t="inlineStr">
        <x:is>
          <x:t xml:space="preserve">US</x:t>
        </x:is>
      </x:c>
      <x:c r="H61" s="12" t="inlineStr">
        <x:is>
          <x:t xml:space="preserve">independent nonprofit</x:t>
        </x:is>
      </x:c>
      <x:c r="I61" s="12" t="inlineStr">
        <x:is>
          <x:t xml:space="preserve">81-3791683</x:t>
        </x:is>
      </x:c>
      <x:c r="J61" s="14" t="n">
        <x:v>10336769</x:v>
      </x:c>
      <x:c r="K61" s="14" t="n">
        <x:v>18017578</x:v>
      </x:c>
      <x:c r="L61" s="12" t="n">
        <x:v>41</x:v>
      </x:c>
      <x:c r="M61" s="15" t="n">
        <x:v>84</x:v>
      </x:c>
      <x:c r="N61" s="12" t="inlineStr">
        <x:is>
          <x:t xml:space="preserve">selected quantitative reference organization</x:t>
        </x:is>
      </x:c>
      <x:c r="O61" s="14" t="inlineStr">
        <x:is>
          <x:t xml:space="preserve">yes</x:t>
        </x:is>
      </x:c>
      <x:c r="P61" s="14" t="n">
        <x:v>214206.9209986754</x:v>
      </x:c>
      <x:c r="Q61" s="14" t="n">
        <x:v>240713.736780557</x:v>
      </x:c>
      <x:c r="R61" s="12" t="inlineStr">
        <x:is>
          <x:t xml:space="preserve">Executive Director and President</x:t>
        </x:is>
      </x:c>
      <x:c r="S61" s="14" t="n">
        <x:v>2024</x:v>
      </x:c>
      <x:c r="T61" s="16" t="inlineStr">
        <x:is>
          <x:t xml:space="preserve">https://projects.propublica.org/nonprofits/organizations/813791683</x:t>
        </x:is>
      </x:c>
      <x:c r="U61" s="16" t="inlineStr">
        <x:is>
          <x:t xml:space="preserve">https://apps.irs.gov/pub/epostcard/990/xml/2026/202601359349304090_public.xml</x:t>
        </x:is>
      </x:c>
      <x:c r="V61" s="13" t="inlineStr">
        <x:is>
          <x:t xml:space="preserve">Selected under the first expansion protocol before systematic pay review.</x:t>
        </x:is>
      </x:c>
    </x:row>
    <x:row r="62">
      <x:c r="A62" s="12" t="inlineStr">
        <x:is>
          <x:t xml:space="preserve">Independent Sector</x:t>
        </x:is>
      </x:c>
      <x:c r="B62" s="12" t="inlineStr">
        <x:is>
          <x:t xml:space="preserve">A</x:t>
        </x:is>
      </x:c>
      <x:c r="C62" s="12" t="inlineStr">
        <x:is>
          <x:t xml:space="preserve">Tier A expanded primary</x:t>
        </x:is>
      </x:c>
      <x:c r="D62" s="12" t="inlineStr">
        <x:is>
          <x:t xml:space="preserve">first expansion</x:t>
        </x:is>
      </x:c>
      <x:c r="E62" s="13" t="inlineStr">
        <x:is>
          <x:t xml:space="preserve">Research, evaluation, philanthropy infrastructure, and policy</x:t>
        </x:is>
      </x:c>
      <x:c r="F62" s="12" t="inlineStr">
        <x:is>
          <x:t xml:space="preserve">functional-only</x:t>
        </x:is>
      </x:c>
      <x:c r="G62" s="12" t="inlineStr">
        <x:is>
          <x:t xml:space="preserve">US</x:t>
        </x:is>
      </x:c>
      <x:c r="H62" s="12" t="inlineStr">
        <x:is>
          <x:t xml:space="preserve">independent nonprofit</x:t>
        </x:is>
      </x:c>
      <x:c r="I62" s="12" t="inlineStr">
        <x:is>
          <x:t xml:space="preserve">52-1081024</x:t>
        </x:is>
      </x:c>
      <x:c r="J62" s="14" t="n">
        <x:v>9158417</x:v>
      </x:c>
      <x:c r="K62" s="14" t="n">
        <x:v>7756205</x:v>
      </x:c>
      <x:c r="L62" s="12" t="n">
        <x:v>34</x:v>
      </x:c>
      <x:c r="M62" s="15" t="n">
        <x:v>84</x:v>
      </x:c>
      <x:c r="N62" s="12" t="inlineStr">
        <x:is>
          <x:t xml:space="preserve">selected quantitative reference organization</x:t>
        </x:is>
      </x:c>
      <x:c r="O62" s="14" t="inlineStr">
        <x:is>
          <x:t xml:space="preserve">yes</x:t>
        </x:is>
      </x:c>
      <x:c r="P62" s="14" t="n">
        <x:v>630900.7500745166</x:v>
      </x:c>
      <x:c r="Q62" s="14" t="n">
        <x:v>707713.1399385697</x:v>
      </x:c>
      <x:c r="R62" s="12" t="inlineStr">
        <x:is>
          <x:t xml:space="preserve">President &amp; Chief Executive Officer</x:t>
        </x:is>
      </x:c>
      <x:c r="S62" s="14" t="n">
        <x:v>2024</x:v>
      </x:c>
      <x:c r="T62" s="16" t="inlineStr">
        <x:is>
          <x:t xml:space="preserve">https://projects.propublica.org/nonprofits/organizations/521081024</x:t>
        </x:is>
      </x:c>
      <x:c r="U62" s="16" t="inlineStr">
        <x:is>
          <x:t xml:space="preserve">https://apps.irs.gov/pub/epostcard/990/xml/2025/202502349349301110_public.xml</x:t>
        </x:is>
      </x:c>
      <x:c r="V62" s="13" t="inlineStr">
        <x:is>
          <x:t xml:space="preserve">Selected under the first expansion protocol before systematic pay review.</x:t>
        </x:is>
      </x:c>
    </x:row>
    <x:row r="63">
      <x:c r="A63" s="12" t="inlineStr">
        <x:is>
          <x:t xml:space="preserve">Institute for Policy Studies</x:t>
        </x:is>
      </x:c>
      <x:c r="B63" s="12" t="inlineStr">
        <x:is>
          <x:t xml:space="preserve">A</x:t>
        </x:is>
      </x:c>
      <x:c r="C63" s="12" t="inlineStr">
        <x:is>
          <x:t xml:space="preserve">Tier A expanded primary</x:t>
        </x:is>
      </x:c>
      <x:c r="D63" s="12" t="inlineStr">
        <x:is>
          <x:t xml:space="preserve">second expansion / filing verification</x:t>
        </x:is>
      </x:c>
      <x:c r="E63" s="13" t="inlineStr">
        <x:is>
          <x:t xml:space="preserve">Research, evaluation, philanthropy infrastructure, and policy</x:t>
        </x:is>
      </x:c>
      <x:c r="F63" s="12" t="inlineStr">
        <x:is>
          <x:t xml:space="preserve">functional-only</x:t>
        </x:is>
      </x:c>
      <x:c r="G63" s="12" t="inlineStr">
        <x:is>
          <x:t xml:space="preserve">US</x:t>
        </x:is>
      </x:c>
      <x:c r="H63" s="12" t="inlineStr">
        <x:is>
          <x:t xml:space="preserve">independent nonprofit</x:t>
        </x:is>
      </x:c>
      <x:c r="I63" s="12" t="inlineStr">
        <x:is>
          <x:t xml:space="preserve">52-0788947</x:t>
        </x:is>
      </x:c>
      <x:c r="J63" s="14" t="n">
        <x:v>5650996</x:v>
      </x:c>
      <x:c r="K63" s="14" t="n">
        <x:v>5230308</x:v>
      </x:c>
      <x:c r="L63" s="12" t="n"/>
      <x:c r="M63" s="15" t="n">
        <x:v>84</x:v>
      </x:c>
      <x:c r="N63" s="12" t="inlineStr">
        <x:is>
          <x:t xml:space="preserve">selected quantitative reference organization</x:t>
        </x:is>
      </x:c>
      <x:c r="O63" s="14" t="inlineStr">
        <x:is>
          <x:t xml:space="preserve">yes</x:t>
        </x:is>
      </x:c>
      <x:c r="P63" s="14" t="n">
        <x:v>171782.8160964183</x:v>
      </x:c>
      <x:c r="Q63" s="14" t="n">
        <x:v>200857.1769433935</x:v>
      </x:c>
      <x:c r="R63" s="12" t="inlineStr">
        <x:is>
          <x:t xml:space="preserve">Executive Director</x:t>
        </x:is>
      </x:c>
      <x:c r="S63" s="14" t="n">
        <x:v>2024</x:v>
      </x:c>
      <x:c r="T63" s="16" t="inlineStr">
        <x:is>
          <x:t xml:space="preserve">https://projects.propublica.org/nonprofits/organizations/520788947</x:t>
        </x:is>
      </x:c>
      <x:c r="U63" s="16" t="inlineStr">
        <x:is>
          <x:t xml:space="preserve">https://apps.irs.gov/pub/epostcard/990/xml/2025/202513219349302816_public.xml</x:t>
        </x:is>
      </x:c>
      <x:c r="V63" s="13" t="inlineStr">
        <x:is>
          <x:t xml:space="preserve">Added by the second-expansion freeze and retained after role/scale verification; pay did not determine selection.</x:t>
        </x:is>
      </x:c>
    </x:row>
    <x:row r="64">
      <x:c r="A64" s="12" t="inlineStr">
        <x:is>
          <x:t xml:space="preserve">Institute on Taxation and Economic Policy</x:t>
        </x:is>
      </x:c>
      <x:c r="B64" s="12" t="inlineStr">
        <x:is>
          <x:t xml:space="preserve">A</x:t>
        </x:is>
      </x:c>
      <x:c r="C64" s="12" t="inlineStr">
        <x:is>
          <x:t xml:space="preserve">Tier A expanded primary</x:t>
        </x:is>
      </x:c>
      <x:c r="D64" s="12" t="inlineStr">
        <x:is>
          <x:t xml:space="preserve">second expansion / filing verification</x:t>
        </x:is>
      </x:c>
      <x:c r="E64" s="13" t="inlineStr">
        <x:is>
          <x:t xml:space="preserve">Research, evaluation, philanthropy infrastructure, and policy</x:t>
        </x:is>
      </x:c>
      <x:c r="F64" s="12" t="inlineStr">
        <x:is>
          <x:t xml:space="preserve">functional-only</x:t>
        </x:is>
      </x:c>
      <x:c r="G64" s="12" t="inlineStr">
        <x:is>
          <x:t xml:space="preserve">US</x:t>
        </x:is>
      </x:c>
      <x:c r="H64" s="12" t="inlineStr">
        <x:is>
          <x:t xml:space="preserve">independent nonprofit</x:t>
        </x:is>
      </x:c>
      <x:c r="I64" s="12" t="inlineStr">
        <x:is>
          <x:t xml:space="preserve">04-2688165</x:t>
        </x:is>
      </x:c>
      <x:c r="J64" s="14" t="n">
        <x:v>8490036</x:v>
      </x:c>
      <x:c r="K64" s="14" t="n">
        <x:v>4822380</x:v>
      </x:c>
      <x:c r="L64" s="12" t="n"/>
      <x:c r="M64" s="15" t="n">
        <x:v>84</x:v>
      </x:c>
      <x:c r="N64" s="12" t="inlineStr">
        <x:is>
          <x:t xml:space="preserve">selected quantitative reference organization</x:t>
        </x:is>
      </x:c>
      <x:c r="O64" s="14" t="inlineStr">
        <x:is>
          <x:t xml:space="preserve">yes</x:t>
        </x:is>
      </x:c>
      <x:c r="P64" s="14" t="n">
        <x:v>227442.5676222189</x:v>
      </x:c>
      <x:c r="Q64" s="14" t="n">
        <x:v>318642.1769381537</x:v>
      </x:c>
      <x:c r="R64" s="12" t="inlineStr">
        <x:is>
          <x:t xml:space="preserve">Executive Director</x:t>
        </x:is>
      </x:c>
      <x:c r="S64" s="14" t="n">
        <x:v>2025</x:v>
      </x:c>
      <x:c r="T64" s="16" t="inlineStr">
        <x:is>
          <x:t xml:space="preserve">https://projects.propublica.org/nonprofits/organizations/042688165</x:t>
        </x:is>
      </x:c>
      <x:c r="U64" s="16" t="inlineStr">
        <x:is>
          <x:t xml:space="preserve">https://apps.irs.gov/pub/epostcard/990/xml/2026/202611559349300546_public.xml</x:t>
        </x:is>
      </x:c>
      <x:c r="V64" s="13" t="inlineStr">
        <x:is>
          <x:t xml:space="preserve">Added by the second-expansion freeze and retained after role/scale verification; pay did not determine selection.</x:t>
        </x:is>
      </x:c>
    </x:row>
    <x:row r="65">
      <x:c r="A65" s="12" t="inlineStr">
        <x:is>
          <x:t xml:space="preserve">Public Agenda</x:t>
        </x:is>
      </x:c>
      <x:c r="B65" s="12" t="inlineStr">
        <x:is>
          <x:t xml:space="preserve">A</x:t>
        </x:is>
      </x:c>
      <x:c r="C65" s="12" t="inlineStr">
        <x:is>
          <x:t xml:space="preserve">Tier A expanded primary</x:t>
        </x:is>
      </x:c>
      <x:c r="D65" s="12" t="inlineStr">
        <x:is>
          <x:t xml:space="preserve">second expansion / filing verification</x:t>
        </x:is>
      </x:c>
      <x:c r="E65" s="13" t="inlineStr">
        <x:is>
          <x:t xml:space="preserve">Research, evaluation, philanthropy infrastructure, and policy</x:t>
        </x:is>
      </x:c>
      <x:c r="F65" s="12" t="inlineStr">
        <x:is>
          <x:t xml:space="preserve">functional-only</x:t>
        </x:is>
      </x:c>
      <x:c r="G65" s="12" t="inlineStr">
        <x:is>
          <x:t xml:space="preserve">US</x:t>
        </x:is>
      </x:c>
      <x:c r="H65" s="12" t="inlineStr">
        <x:is>
          <x:t xml:space="preserve">independent nonprofit</x:t>
        </x:is>
      </x:c>
      <x:c r="I65" s="12" t="inlineStr">
        <x:is>
          <x:t xml:space="preserve">13-2847587</x:t>
        </x:is>
      </x:c>
      <x:c r="J65" s="14" t="n">
        <x:v>3699693</x:v>
      </x:c>
      <x:c r="K65" s="14" t="n">
        <x:v>3449526</x:v>
      </x:c>
      <x:c r="L65" s="12" t="n"/>
      <x:c r="M65" s="15" t="n">
        <x:v>84</x:v>
      </x:c>
      <x:c r="N65" s="12" t="inlineStr">
        <x:is>
          <x:t xml:space="preserve">selected quantitative reference organization</x:t>
        </x:is>
      </x:c>
      <x:c r="O65" s="14" t="inlineStr">
        <x:is>
          <x:t xml:space="preserve">yes</x:t>
        </x:is>
      </x:c>
      <x:c r="P65" s="14" t="n">
        <x:v>272149.1320198945</x:v>
      </x:c>
      <x:c r="Q65" s="14" t="n">
        <x:v>305213.1939050003</x:v>
      </x:c>
      <x:c r="R65" s="12" t="inlineStr">
        <x:is>
          <x:t xml:space="preserve">President</x:t>
        </x:is>
      </x:c>
      <x:c r="S65" s="14" t="n">
        <x:v>2024</x:v>
      </x:c>
      <x:c r="T65" s="16" t="inlineStr">
        <x:is>
          <x:t xml:space="preserve">https://projects.propublica.org/nonprofits/organizations/132847587</x:t>
        </x:is>
      </x:c>
      <x:c r="U65" s="16" t="inlineStr">
        <x:is>
          <x:t xml:space="preserve">https://apps.irs.gov/pub/epostcard/990/xml/2026/202631029349300503_public.xml</x:t>
        </x:is>
      </x:c>
      <x:c r="V65" s="13" t="inlineStr">
        <x:is>
          <x:t xml:space="preserve">Added by the second-expansion freeze and retained after role/scale verification; pay did not determine selection.</x:t>
        </x:is>
      </x:c>
    </x:row>
    <x:row r="66">
      <x:c r="A66" s="12" t="inlineStr">
        <x:is>
          <x:t xml:space="preserve">Research!America</x:t>
        </x:is>
      </x:c>
      <x:c r="B66" s="12" t="inlineStr">
        <x:is>
          <x:t xml:space="preserve">A</x:t>
        </x:is>
      </x:c>
      <x:c r="C66" s="12" t="inlineStr">
        <x:is>
          <x:t xml:space="preserve">Tier A expanded primary</x:t>
        </x:is>
      </x:c>
      <x:c r="D66" s="12" t="inlineStr">
        <x:is>
          <x:t xml:space="preserve">first expansion</x:t>
        </x:is>
      </x:c>
      <x:c r="E66" s="13" t="inlineStr">
        <x:is>
          <x:t xml:space="preserve">Research, evaluation, philanthropy infrastructure, and policy</x:t>
        </x:is>
      </x:c>
      <x:c r="F66" s="12" t="inlineStr">
        <x:is>
          <x:t xml:space="preserve">functional-only</x:t>
        </x:is>
      </x:c>
      <x:c r="G66" s="12" t="inlineStr">
        <x:is>
          <x:t xml:space="preserve">US</x:t>
        </x:is>
      </x:c>
      <x:c r="H66" s="12" t="inlineStr">
        <x:is>
          <x:t xml:space="preserve">independent nonprofit</x:t>
        </x:is>
      </x:c>
      <x:c r="I66" s="12" t="inlineStr">
        <x:is>
          <x:t xml:space="preserve">52-1609875</x:t>
        </x:is>
      </x:c>
      <x:c r="J66" s="14" t="n">
        <x:v>8914085</x:v>
      </x:c>
      <x:c r="K66" s="14" t="n">
        <x:v>9394184</x:v>
      </x:c>
      <x:c r="L66" s="12" t="n">
        <x:v>41</x:v>
      </x:c>
      <x:c r="M66" s="15" t="n">
        <x:v>84</x:v>
      </x:c>
      <x:c r="N66" s="12" t="inlineStr">
        <x:is>
          <x:t xml:space="preserve">selected quantitative reference organization</x:t>
        </x:is>
      </x:c>
      <x:c r="O66" s="14" t="inlineStr">
        <x:is>
          <x:t xml:space="preserve">yes</x:t>
        </x:is>
      </x:c>
      <x:c r="P66" s="14" t="n">
        <x:v>619848.0514935874</x:v>
      </x:c>
      <x:c r="Q66" s="14" t="n">
        <x:v>677019.3336087444</x:v>
      </x:c>
      <x:c r="R66" s="12" t="inlineStr">
        <x:is>
          <x:t xml:space="preserve">President &amp; Chief Executive Officer</x:t>
        </x:is>
      </x:c>
      <x:c r="S66" s="14" t="n">
        <x:v>2025</x:v>
      </x:c>
      <x:c r="T66" s="16" t="inlineStr">
        <x:is>
          <x:t xml:space="preserve">https://projects.propublica.org/nonprofits/organizations/521609875</x:t>
        </x:is>
      </x:c>
      <x:c r="U66" s="16" t="inlineStr">
        <x:is>
          <x:t xml:space="preserve">https://apps.irs.gov/pub/epostcard/990/xml/2026/202601319349302140_public.xml</x:t>
        </x:is>
      </x:c>
      <x:c r="V66" s="13" t="inlineStr">
        <x:is>
          <x:t xml:space="preserve">Selected under the first expansion protocol before systematic pay review.</x:t>
        </x:is>
      </x:c>
    </x:row>
    <x:row r="67">
      <x:c r="A67" s="12" t="inlineStr">
        <x:is>
          <x:t xml:space="preserve">Roosevelt Institute</x:t>
        </x:is>
      </x:c>
      <x:c r="B67" s="12" t="inlineStr">
        <x:is>
          <x:t xml:space="preserve">A</x:t>
        </x:is>
      </x:c>
      <x:c r="C67" s="12" t="inlineStr">
        <x:is>
          <x:t xml:space="preserve">Tier A expanded primary</x:t>
        </x:is>
      </x:c>
      <x:c r="D67" s="12" t="inlineStr">
        <x:is>
          <x:t xml:space="preserve">second expansion / filing verification</x:t>
        </x:is>
      </x:c>
      <x:c r="E67" s="13" t="inlineStr">
        <x:is>
          <x:t xml:space="preserve">Research, evaluation, philanthropy infrastructure, and policy</x:t>
        </x:is>
      </x:c>
      <x:c r="F67" s="12" t="inlineStr">
        <x:is>
          <x:t xml:space="preserve">functional-only</x:t>
        </x:is>
      </x:c>
      <x:c r="G67" s="12" t="inlineStr">
        <x:is>
          <x:t xml:space="preserve">US</x:t>
        </x:is>
      </x:c>
      <x:c r="H67" s="12" t="inlineStr">
        <x:is>
          <x:t xml:space="preserve">independent nonprofit</x:t>
        </x:is>
      </x:c>
      <x:c r="I67" s="12" t="inlineStr">
        <x:is>
          <x:t xml:space="preserve">23-7213592</x:t>
        </x:is>
      </x:c>
      <x:c r="J67" s="14" t="n">
        <x:v>22836897</x:v>
      </x:c>
      <x:c r="K67" s="14" t="n">
        <x:v>14132654</x:v>
      </x:c>
      <x:c r="L67" s="12" t="n"/>
      <x:c r="M67" s="15" t="n">
        <x:v>84</x:v>
      </x:c>
      <x:c r="N67" s="12" t="inlineStr">
        <x:is>
          <x:t xml:space="preserve">selected quantitative reference organization</x:t>
        </x:is>
      </x:c>
      <x:c r="O67" s="14" t="inlineStr">
        <x:is>
          <x:t xml:space="preserve">yes</x:t>
        </x:is>
      </x:c>
      <x:c r="P67" s="14" t="n">
        <x:v>548978.8177923664</x:v>
      </x:c>
      <x:c r="Q67" s="14" t="n">
        <x:v>603417.7987931778</x:v>
      </x:c>
      <x:c r="R67" s="12" t="inlineStr">
        <x:is>
          <x:t xml:space="preserve">President &amp; CEO</x:t>
        </x:is>
      </x:c>
      <x:c r="S67" s="14" t="n">
        <x:v>2024</x:v>
      </x:c>
      <x:c r="T67" s="16" t="inlineStr">
        <x:is>
          <x:t xml:space="preserve">https://projects.propublica.org/nonprofits/organizations/237213592</x:t>
        </x:is>
      </x:c>
      <x:c r="U67" s="16" t="inlineStr">
        <x:is>
          <x:t xml:space="preserve">https://apps.irs.gov/pub/epostcard/990/xml/2025/202532729349301978_public.xml</x:t>
        </x:is>
      </x:c>
      <x:c r="V67" s="13" t="inlineStr">
        <x:is>
          <x:t xml:space="preserve">Added by the second-expansion freeze and retained after role/scale verification; pay did not determine selection.</x:t>
        </x:is>
      </x:c>
    </x:row>
    <x:row r="68">
      <x:c r="A68" s="12" t="inlineStr">
        <x:is>
          <x:t xml:space="preserve">National Employment Law Project</x:t>
        </x:is>
      </x:c>
      <x:c r="B68" s="12" t="inlineStr">
        <x:is>
          <x:t xml:space="preserve">A</x:t>
        </x:is>
      </x:c>
      <x:c r="C68" s="12" t="inlineStr">
        <x:is>
          <x:t xml:space="preserve">Tier A expanded primary</x:t>
        </x:is>
      </x:c>
      <x:c r="D68" s="12" t="inlineStr">
        <x:is>
          <x:t xml:space="preserve">second expansion / filing verification</x:t>
        </x:is>
      </x:c>
      <x:c r="E68" s="13" t="inlineStr">
        <x:is>
          <x:t xml:space="preserve">Research, evaluation, philanthropy infrastructure, and policy</x:t>
        </x:is>
      </x:c>
      <x:c r="F68" s="12" t="inlineStr">
        <x:is>
          <x:t xml:space="preserve">functional-only</x:t>
        </x:is>
      </x:c>
      <x:c r="G68" s="12" t="inlineStr">
        <x:is>
          <x:t xml:space="preserve">US</x:t>
        </x:is>
      </x:c>
      <x:c r="H68" s="12" t="inlineStr">
        <x:is>
          <x:t xml:space="preserve">independent nonprofit</x:t>
        </x:is>
      </x:c>
      <x:c r="I68" s="12" t="inlineStr">
        <x:is>
          <x:t xml:space="preserve">13-2758558</x:t>
        </x:is>
      </x:c>
      <x:c r="J68" s="14" t="n">
        <x:v>6874119</x:v>
      </x:c>
      <x:c r="K68" s="14" t="n">
        <x:v>13263163</x:v>
      </x:c>
      <x:c r="L68" s="12" t="n"/>
      <x:c r="M68" s="15" t="n">
        <x:v>83</x:v>
      </x:c>
      <x:c r="N68" s="12" t="inlineStr">
        <x:is>
          <x:t xml:space="preserve">selected quantitative reference organization</x:t>
        </x:is>
      </x:c>
      <x:c r="O68" s="14" t="inlineStr">
        <x:is>
          <x:t xml:space="preserve">yes</x:t>
        </x:is>
      </x:c>
      <x:c r="P68" s="14" t="n">
        <x:v>368967.5094268046</x:v>
      </x:c>
      <x:c r="Q68" s="14" t="n">
        <x:v>453116.350612842</x:v>
      </x:c>
      <x:c r="R68" s="12" t="inlineStr">
        <x:is>
          <x:t xml:space="preserve">President &amp; CEO</x:t>
        </x:is>
      </x:c>
      <x:c r="S68" s="14" t="n">
        <x:v>2024</x:v>
      </x:c>
      <x:c r="T68" s="16" t="inlineStr">
        <x:is>
          <x:t xml:space="preserve">https://projects.propublica.org/nonprofits/organizations/132758558</x:t>
        </x:is>
      </x:c>
      <x:c r="U68" s="16" t="inlineStr">
        <x:is>
          <x:t xml:space="preserve">https://apps.irs.gov/pub/epostcard/990/xml/2025/202523089349302957_public.xml</x:t>
        </x:is>
      </x:c>
      <x:c r="V68" s="13" t="inlineStr">
        <x:is>
          <x:t xml:space="preserve">Added by the second-expansion freeze and retained after role/scale verification; pay did not determine selection.</x:t>
        </x:is>
      </x:c>
    </x:row>
    <x:row r="69">
      <x:c r="A69" s="12" t="inlineStr">
        <x:is>
          <x:t xml:space="preserve">Stimson Center</x:t>
        </x:is>
      </x:c>
      <x:c r="B69" s="12" t="inlineStr">
        <x:is>
          <x:t xml:space="preserve">A</x:t>
        </x:is>
      </x:c>
      <x:c r="C69" s="12" t="inlineStr">
        <x:is>
          <x:t xml:space="preserve">Tier A expanded primary</x:t>
        </x:is>
      </x:c>
      <x:c r="D69" s="12" t="inlineStr">
        <x:is>
          <x:t xml:space="preserve">first expansion</x:t>
        </x:is>
      </x:c>
      <x:c r="E69" s="13" t="inlineStr">
        <x:is>
          <x:t xml:space="preserve">Research, evaluation, philanthropy infrastructure, and policy</x:t>
        </x:is>
      </x:c>
      <x:c r="F69" s="12" t="inlineStr">
        <x:is>
          <x:t xml:space="preserve">functional-only</x:t>
        </x:is>
      </x:c>
      <x:c r="G69" s="12" t="inlineStr">
        <x:is>
          <x:t xml:space="preserve">US/international</x:t>
        </x:is>
      </x:c>
      <x:c r="H69" s="12" t="inlineStr">
        <x:is>
          <x:t xml:space="preserve">independent nonprofit</x:t>
        </x:is>
      </x:c>
      <x:c r="I69" s="12" t="inlineStr">
        <x:is>
          <x:t xml:space="preserve">52-1640938</x:t>
        </x:is>
      </x:c>
      <x:c r="J69" s="14" t="n">
        <x:v>14861548</x:v>
      </x:c>
      <x:c r="K69" s="14" t="n">
        <x:v>13743006</x:v>
      </x:c>
      <x:c r="L69" s="12" t="n">
        <x:v>103</x:v>
      </x:c>
      <x:c r="M69" s="15" t="n">
        <x:v>83</x:v>
      </x:c>
      <x:c r="N69" s="12" t="inlineStr">
        <x:is>
          <x:t xml:space="preserve">selected quantitative reference organization</x:t>
        </x:is>
      </x:c>
      <x:c r="O69" s="14" t="inlineStr">
        <x:is>
          <x:t xml:space="preserve">yes</x:t>
        </x:is>
      </x:c>
      <x:c r="P69" s="14" t="n">
        <x:v>424311.3052308206</x:v>
      </x:c>
      <x:c r="Q69" s="14" t="n">
        <x:v>469084.7351573986</x:v>
      </x:c>
      <x:c r="R69" s="12" t="inlineStr">
        <x:is>
          <x:t xml:space="preserve">President &amp; CEO</x:t>
        </x:is>
      </x:c>
      <x:c r="S69" s="14" t="n">
        <x:v>2024</x:v>
      </x:c>
      <x:c r="T69" s="16" t="inlineStr">
        <x:is>
          <x:t xml:space="preserve">https://projects.propublica.org/nonprofits/organizations/521640938</x:t>
        </x:is>
      </x:c>
      <x:c r="U69" s="16" t="inlineStr">
        <x:is>
          <x:t xml:space="preserve">https://apps.irs.gov/pub/epostcard/990/xml/2025/202533169349304988_public.xml</x:t>
        </x:is>
      </x:c>
      <x:c r="V69" s="13" t="inlineStr">
        <x:is>
          <x:t xml:space="preserve">Selected under the first expansion protocol before systematic pay review.</x:t>
        </x:is>
      </x:c>
    </x:row>
    <x:row r="70">
      <x:c r="A70" s="12" t="inlineStr">
        <x:is>
          <x:t xml:space="preserve">The Sentencing Project</x:t>
        </x:is>
      </x:c>
      <x:c r="B70" s="12" t="inlineStr">
        <x:is>
          <x:t xml:space="preserve">A</x:t>
        </x:is>
      </x:c>
      <x:c r="C70" s="12" t="inlineStr">
        <x:is>
          <x:t xml:space="preserve">Tier A expanded primary</x:t>
        </x:is>
      </x:c>
      <x:c r="D70" s="12" t="inlineStr">
        <x:is>
          <x:t xml:space="preserve">second expansion / filing verification</x:t>
        </x:is>
      </x:c>
      <x:c r="E70" s="13" t="inlineStr">
        <x:is>
          <x:t xml:space="preserve">Research, evaluation, philanthropy infrastructure, and policy</x:t>
        </x:is>
      </x:c>
      <x:c r="F70" s="12" t="inlineStr">
        <x:is>
          <x:t xml:space="preserve">functional-only</x:t>
        </x:is>
      </x:c>
      <x:c r="G70" s="12" t="inlineStr">
        <x:is>
          <x:t xml:space="preserve">US</x:t>
        </x:is>
      </x:c>
      <x:c r="H70" s="12" t="inlineStr">
        <x:is>
          <x:t xml:space="preserve">independent nonprofit</x:t>
        </x:is>
      </x:c>
      <x:c r="I70" s="12" t="inlineStr">
        <x:is>
          <x:t xml:space="preserve">52-1472546</x:t>
        </x:is>
      </x:c>
      <x:c r="J70" s="14" t="n">
        <x:v>8346667</x:v>
      </x:c>
      <x:c r="K70" s="14" t="n">
        <x:v>5599399</x:v>
      </x:c>
      <x:c r="L70" s="12" t="n"/>
      <x:c r="M70" s="15" t="n">
        <x:v>83</x:v>
      </x:c>
      <x:c r="N70" s="12" t="inlineStr">
        <x:is>
          <x:t xml:space="preserve">selected quantitative reference organization</x:t>
        </x:is>
      </x:c>
      <x:c r="O70" s="14" t="inlineStr">
        <x:is>
          <x:t xml:space="preserve">yes</x:t>
        </x:is>
      </x:c>
      <x:c r="P70" s="14" t="n">
        <x:v>207575.1607351871</x:v>
      </x:c>
      <x:c r="Q70" s="14" t="n">
        <x:v>235472.1978499925</x:v>
      </x:c>
      <x:c r="R70" s="12" t="inlineStr">
        <x:is>
          <x:t xml:space="preserve">Executive Director</x:t>
        </x:is>
      </x:c>
      <x:c r="S70" s="14" t="n">
        <x:v>2024</x:v>
      </x:c>
      <x:c r="T70" s="16" t="inlineStr">
        <x:is>
          <x:t xml:space="preserve">https://projects.propublica.org/nonprofits/organizations/521472546</x:t>
        </x:is>
      </x:c>
      <x:c r="U70" s="16" t="inlineStr">
        <x:is>
          <x:t xml:space="preserve">https://apps.irs.gov/pub/epostcard/990/xml/2025/202522829349301367_public.xml</x:t>
        </x:is>
      </x:c>
      <x:c r="V70" s="13" t="inlineStr">
        <x:is>
          <x:t xml:space="preserve">Added by the second-expansion freeze and retained after role/scale verification; pay did not determine selection.</x:t>
        </x:is>
      </x:c>
    </x:row>
    <x:row r="71">
      <x:c r="A71" s="12" t="inlineStr">
        <x:is>
          <x:t xml:space="preserve">American Immigration Council</x:t>
        </x:is>
      </x:c>
      <x:c r="B71" s="12" t="inlineStr">
        <x:is>
          <x:t xml:space="preserve">A</x:t>
        </x:is>
      </x:c>
      <x:c r="C71" s="12" t="inlineStr">
        <x:is>
          <x:t xml:space="preserve">Tier A expanded primary</x:t>
        </x:is>
      </x:c>
      <x:c r="D71" s="12" t="inlineStr">
        <x:is>
          <x:t xml:space="preserve">second expansion / filing verification</x:t>
        </x:is>
      </x:c>
      <x:c r="E71" s="13" t="inlineStr">
        <x:is>
          <x:t xml:space="preserve">Research, evaluation, philanthropy infrastructure, and policy</x:t>
        </x:is>
      </x:c>
      <x:c r="F71" s="12" t="inlineStr">
        <x:is>
          <x:t xml:space="preserve">functional-only</x:t>
        </x:is>
      </x:c>
      <x:c r="G71" s="12" t="inlineStr">
        <x:is>
          <x:t xml:space="preserve">US</x:t>
        </x:is>
      </x:c>
      <x:c r="H71" s="12" t="inlineStr">
        <x:is>
          <x:t xml:space="preserve">independent nonprofit</x:t>
        </x:is>
      </x:c>
      <x:c r="I71" s="12" t="inlineStr">
        <x:is>
          <x:t xml:space="preserve">52-1549711</x:t>
        </x:is>
      </x:c>
      <x:c r="J71" s="14" t="n">
        <x:v>11940088</x:v>
      </x:c>
      <x:c r="K71" s="14" t="n">
        <x:v>12429698</x:v>
      </x:c>
      <x:c r="L71" s="12" t="n"/>
      <x:c r="M71" s="15" t="n">
        <x:v>81</x:v>
      </x:c>
      <x:c r="N71" s="12" t="inlineStr">
        <x:is>
          <x:t xml:space="preserve">selected quantitative reference organization</x:t>
        </x:is>
      </x:c>
      <x:c r="O71" s="14" t="inlineStr">
        <x:is>
          <x:t xml:space="preserve">yes</x:t>
        </x:is>
      </x:c>
      <x:c r="P71" s="14" t="n">
        <x:v>349095.6473724227</x:v>
      </x:c>
      <x:c r="Q71" s="14" t="n">
        <x:v>359646.8524657929</x:v>
      </x:c>
      <x:c r="R71" s="12" t="inlineStr">
        <x:is>
          <x:t xml:space="preserve">Executive Director</x:t>
        </x:is>
      </x:c>
      <x:c r="S71" s="14" t="n">
        <x:v>2024</x:v>
      </x:c>
      <x:c r="T71" s="16" t="inlineStr">
        <x:is>
          <x:t xml:space="preserve">https://projects.propublica.org/nonprofits/organizations/521549711</x:t>
        </x:is>
      </x:c>
      <x:c r="U71" s="16" t="inlineStr">
        <x:is>
          <x:t xml:space="preserve">https://apps.irs.gov/pub/epostcard/990/xml/2025/202542979349301509_public.xml</x:t>
        </x:is>
      </x:c>
      <x:c r="V71" s="13" t="inlineStr">
        <x:is>
          <x:t xml:space="preserve">Added by the second-expansion freeze and retained after role/scale verification; pay did not determine selection.</x:t>
        </x:is>
      </x:c>
    </x:row>
    <x:row r="72">
      <x:c r="A72" s="12" t="inlineStr">
        <x:is>
          <x:t xml:space="preserve">Center for Law and Social Policy</x:t>
        </x:is>
      </x:c>
      <x:c r="B72" s="12" t="inlineStr">
        <x:is>
          <x:t xml:space="preserve">A</x:t>
        </x:is>
      </x:c>
      <x:c r="C72" s="12" t="inlineStr">
        <x:is>
          <x:t xml:space="preserve">Tier A expanded primary</x:t>
        </x:is>
      </x:c>
      <x:c r="D72" s="12" t="inlineStr">
        <x:is>
          <x:t xml:space="preserve">first expansion</x:t>
        </x:is>
      </x:c>
      <x:c r="E72" s="13" t="inlineStr">
        <x:is>
          <x:t xml:space="preserve">Research, evaluation, philanthropy infrastructure, and policy</x:t>
        </x:is>
      </x:c>
      <x:c r="F72" s="12" t="inlineStr">
        <x:is>
          <x:t xml:space="preserve">functional-only</x:t>
        </x:is>
      </x:c>
      <x:c r="G72" s="12" t="inlineStr">
        <x:is>
          <x:t xml:space="preserve">US</x:t>
        </x:is>
      </x:c>
      <x:c r="H72" s="12" t="inlineStr">
        <x:is>
          <x:t xml:space="preserve">independent nonprofit</x:t>
        </x:is>
      </x:c>
      <x:c r="I72" s="12" t="inlineStr">
        <x:is>
          <x:t xml:space="preserve">23-7000150</x:t>
        </x:is>
      </x:c>
      <x:c r="J72" s="14" t="n">
        <x:v>9138332</x:v>
      </x:c>
      <x:c r="K72" s="14" t="n">
        <x:v>10108913</x:v>
      </x:c>
      <x:c r="L72" s="12" t="n">
        <x:v>86</x:v>
      </x:c>
      <x:c r="M72" s="15" t="n">
        <x:v>81</x:v>
      </x:c>
      <x:c r="N72" s="12" t="inlineStr">
        <x:is>
          <x:t xml:space="preserve">selected quantitative reference organization</x:t>
        </x:is>
      </x:c>
      <x:c r="O72" s="14" t="inlineStr">
        <x:is>
          <x:t xml:space="preserve">not collected/clean observation unavailable</x:t>
        </x:is>
      </x:c>
      <x:c r="P72" s="14" t="n"/>
      <x:c r="Q72" s="14" t="n"/>
      <x:c r="R72" s="12" t="n"/>
      <x:c r="S72" s="14" t="n"/>
      <x:c r="T72" s="17" t="n"/>
      <x:c r="U72" s="17" t="n"/>
      <x:c r="V72" s="13" t="inlineStr">
        <x:is>
          <x:t xml:space="preserve">Selected under the first expansion protocol before systematic pay review.</x:t>
        </x:is>
      </x:c>
    </x:row>
    <x:row r="73">
      <x:c r="A73" s="12" t="inlineStr">
        <x:is>
          <x:t xml:space="preserve">PEAK Grantmaking</x:t>
        </x:is>
      </x:c>
      <x:c r="B73" s="12" t="inlineStr">
        <x:is>
          <x:t xml:space="preserve">A</x:t>
        </x:is>
      </x:c>
      <x:c r="C73" s="12" t="inlineStr">
        <x:is>
          <x:t xml:space="preserve">Tier A expanded primary</x:t>
        </x:is>
      </x:c>
      <x:c r="D73" s="12" t="inlineStr">
        <x:is>
          <x:t xml:space="preserve">first expansion</x:t>
        </x:is>
      </x:c>
      <x:c r="E73" s="13" t="inlineStr">
        <x:is>
          <x:t xml:space="preserve">Research, evaluation, philanthropy infrastructure, and policy</x:t>
        </x:is>
      </x:c>
      <x:c r="F73" s="12" t="inlineStr">
        <x:is>
          <x:t xml:space="preserve">functional-only</x:t>
        </x:is>
      </x:c>
      <x:c r="G73" s="12" t="inlineStr">
        <x:is>
          <x:t xml:space="preserve">US</x:t>
        </x:is>
      </x:c>
      <x:c r="H73" s="12" t="inlineStr">
        <x:is>
          <x:t xml:space="preserve">independent nonprofit</x:t>
        </x:is>
      </x:c>
      <x:c r="I73" s="12" t="inlineStr">
        <x:is>
          <x:t xml:space="preserve">74-3158155</x:t>
        </x:is>
      </x:c>
      <x:c r="J73" s="14" t="n">
        <x:v>5320383</x:v>
      </x:c>
      <x:c r="K73" s="14" t="n">
        <x:v>7129646</x:v>
      </x:c>
      <x:c r="L73" s="12" t="n">
        <x:v>23</x:v>
      </x:c>
      <x:c r="M73" s="15" t="n">
        <x:v>81</x:v>
      </x:c>
      <x:c r="N73" s="12" t="inlineStr">
        <x:is>
          <x:t xml:space="preserve">selected quantitative reference organization</x:t>
        </x:is>
      </x:c>
      <x:c r="O73" s="14" t="inlineStr">
        <x:is>
          <x:t xml:space="preserve">yes</x:t>
        </x:is>
      </x:c>
      <x:c r="P73" s="14" t="n">
        <x:v>301472.5830597519</x:v>
      </x:c>
      <x:c r="Q73" s="14" t="n">
        <x:v>335312.6566996063</x:v>
      </x:c>
      <x:c r="R73" s="12" t="inlineStr">
        <x:is>
          <x:t xml:space="preserve">President and CEO</x:t>
        </x:is>
      </x:c>
      <x:c r="S73" s="14" t="n">
        <x:v>2024</x:v>
      </x:c>
      <x:c r="T73" s="16" t="inlineStr">
        <x:is>
          <x:t xml:space="preserve">https://projects.propublica.org/nonprofits/organizations/743158155</x:t>
        </x:is>
      </x:c>
      <x:c r="U73" s="16" t="inlineStr">
        <x:is>
          <x:t xml:space="preserve">https://apps.irs.gov/pub/epostcard/990/xml/2025/202511219349301641_public.xml</x:t>
        </x:is>
      </x:c>
      <x:c r="V73" s="13" t="inlineStr">
        <x:is>
          <x:t xml:space="preserve">Selected under the first expansion protocol before systematic pay review.</x:t>
        </x:is>
      </x:c>
    </x:row>
    <x:row r="74">
      <x:c r="A74" s="12" t="inlineStr">
        <x:is>
          <x:t xml:space="preserve">Public Knowledge</x:t>
        </x:is>
      </x:c>
      <x:c r="B74" s="12" t="inlineStr">
        <x:is>
          <x:t xml:space="preserve">A</x:t>
        </x:is>
      </x:c>
      <x:c r="C74" s="12" t="inlineStr">
        <x:is>
          <x:t xml:space="preserve">Tier A expanded primary</x:t>
        </x:is>
      </x:c>
      <x:c r="D74" s="12" t="inlineStr">
        <x:is>
          <x:t xml:space="preserve">first expansion</x:t>
        </x:is>
      </x:c>
      <x:c r="E74" s="13" t="inlineStr">
        <x:is>
          <x:t xml:space="preserve">AI, catastrophic risk, biosecurity, and technology policy</x:t>
        </x:is>
      </x:c>
      <x:c r="F74" s="12" t="inlineStr">
        <x:is>
          <x:t xml:space="preserve">EA-adjacent</x:t>
        </x:is>
      </x:c>
      <x:c r="G74" s="12" t="inlineStr">
        <x:is>
          <x:t xml:space="preserve">US</x:t>
        </x:is>
      </x:c>
      <x:c r="H74" s="12" t="inlineStr">
        <x:is>
          <x:t xml:space="preserve">independent nonprofit</x:t>
        </x:is>
      </x:c>
      <x:c r="I74" s="12" t="inlineStr">
        <x:is>
          <x:t xml:space="preserve">52-2336690</x:t>
        </x:is>
      </x:c>
      <x:c r="J74" s="14" t="n">
        <x:v>2876810</x:v>
      </x:c>
      <x:c r="K74" s="14" t="n">
        <x:v>3654052</x:v>
      </x:c>
      <x:c r="L74" s="12" t="n">
        <x:v>22</x:v>
      </x:c>
      <x:c r="M74" s="15" t="n">
        <x:v>81</x:v>
      </x:c>
      <x:c r="N74" s="12" t="inlineStr">
        <x:is>
          <x:t xml:space="preserve">selected quantitative reference organization</x:t>
        </x:is>
      </x:c>
      <x:c r="O74" s="14" t="inlineStr">
        <x:is>
          <x:t xml:space="preserve">yes</x:t>
        </x:is>
      </x:c>
      <x:c r="P74" s="14" t="n">
        <x:v>268252.0414380918</x:v>
      </x:c>
      <x:c r="Q74" s="14" t="n">
        <x:v>286104.5697493216</x:v>
      </x:c>
      <x:c r="R74" s="12" t="inlineStr">
        <x:is>
          <x:t xml:space="preserve">President/CEO</x:t>
        </x:is>
      </x:c>
      <x:c r="S74" s="14" t="n">
        <x:v>2024</x:v>
      </x:c>
      <x:c r="T74" s="16" t="inlineStr">
        <x:is>
          <x:t xml:space="preserve">https://projects.propublica.org/nonprofits/organizations/522336690</x:t>
        </x:is>
      </x:c>
      <x:c r="U74" s="16" t="inlineStr">
        <x:is>
          <x:t xml:space="preserve">https://apps.irs.gov/pub/epostcard/990/xml/2025/202533149349301903_public.xml</x:t>
        </x:is>
      </x:c>
      <x:c r="V74" s="13" t="inlineStr">
        <x:is>
          <x:t xml:space="preserve">Selected under the first expansion protocol before systematic pay review.</x:t>
        </x:is>
      </x:c>
    </x:row>
    <x:row r="75">
      <x:c r="A75" s="12" t="inlineStr">
        <x:is>
          <x:t xml:space="preserve">VillageReach</x:t>
        </x:is>
      </x:c>
      <x:c r="B75" s="12" t="inlineStr">
        <x:is>
          <x:t xml:space="preserve">A</x:t>
        </x:is>
      </x:c>
      <x:c r="C75" s="12" t="inlineStr">
        <x:is>
          <x:t xml:space="preserve">Tier A expanded primary</x:t>
        </x:is>
      </x:c>
      <x:c r="D75" s="12" t="inlineStr">
        <x:is>
          <x:t xml:space="preserve">first expansion</x:t>
        </x:is>
      </x:c>
      <x:c r="E75" s="12" t="inlineStr">
        <x:is>
          <x:t xml:space="preserve">Global health, development, and evidence</x:t>
        </x:is>
      </x:c>
      <x:c r="F75" s="12" t="inlineStr">
        <x:is>
          <x:t xml:space="preserve">EA-adjacent</x:t>
        </x:is>
      </x:c>
      <x:c r="G75" s="12" t="inlineStr">
        <x:is>
          <x:t xml:space="preserve">US/international</x:t>
        </x:is>
      </x:c>
      <x:c r="H75" s="12" t="inlineStr">
        <x:is>
          <x:t xml:space="preserve">independent nonprofit</x:t>
        </x:is>
      </x:c>
      <x:c r="I75" s="12" t="inlineStr">
        <x:is>
          <x:t xml:space="preserve">91-2083484</x:t>
        </x:is>
      </x:c>
      <x:c r="J75" s="14" t="n">
        <x:v>31514699</x:v>
      </x:c>
      <x:c r="K75" s="14" t="n">
        <x:v>31767757</x:v>
      </x:c>
      <x:c r="L75" s="12" t="n">
        <x:v>62</x:v>
      </x:c>
      <x:c r="M75" s="15" t="n">
        <x:v>81</x:v>
      </x:c>
      <x:c r="N75" s="12" t="inlineStr">
        <x:is>
          <x:t xml:space="preserve">selected quantitative reference organization</x:t>
        </x:is>
      </x:c>
      <x:c r="O75" s="14" t="inlineStr">
        <x:is>
          <x:t xml:space="preserve">yes</x:t>
        </x:is>
      </x:c>
      <x:c r="P75" s="14" t="n">
        <x:v>250554.4583681466</x:v>
      </x:c>
      <x:c r="Q75" s="14" t="n">
        <x:v>266579.5897789614</x:v>
      </x:c>
      <x:c r="R75" s="12" t="inlineStr">
        <x:is>
          <x:t xml:space="preserve">President</x:t>
        </x:is>
      </x:c>
      <x:c r="S75" s="14" t="n">
        <x:v>2023</x:v>
      </x:c>
      <x:c r="T75" s="16" t="inlineStr">
        <x:is>
          <x:t xml:space="preserve">https://projects.propublica.org/nonprofits/organizations/912083484</x:t>
        </x:is>
      </x:c>
      <x:c r="U75" s="16" t="inlineStr">
        <x:is>
          <x:t xml:space="preserve">https://apps.irs.gov/pub/epostcard/990/xml/2025/202512199349301336_public.xml</x:t>
        </x:is>
      </x:c>
      <x:c r="V75" s="13" t="inlineStr">
        <x:is>
          <x:t xml:space="preserve">Selected under the first expansion protocol before systematic pay review.</x:t>
        </x:is>
      </x:c>
    </x:row>
    <x:row r="76">
      <x:c r="A76" s="12" t="inlineStr">
        <x:is>
          <x:t xml:space="preserve">Bulletin of the Atomic Scientists</x:t>
        </x:is>
      </x:c>
      <x:c r="B76" s="12" t="inlineStr">
        <x:is>
          <x:t xml:space="preserve">A</x:t>
        </x:is>
      </x:c>
      <x:c r="C76" s="12" t="inlineStr">
        <x:is>
          <x:t xml:space="preserve">Tier A expanded primary</x:t>
        </x:is>
      </x:c>
      <x:c r="D76" s="12" t="inlineStr">
        <x:is>
          <x:t xml:space="preserve">first expansion</x:t>
        </x:is>
      </x:c>
      <x:c r="E76" s="13" t="inlineStr">
        <x:is>
          <x:t xml:space="preserve">AI, catastrophic risk, biosecurity, and technology policy</x:t>
        </x:is>
      </x:c>
      <x:c r="F76" s="12" t="inlineStr">
        <x:is>
          <x:t xml:space="preserve">EA-adjacent</x:t>
        </x:is>
      </x:c>
      <x:c r="G76" s="12" t="inlineStr">
        <x:is>
          <x:t xml:space="preserve">US</x:t>
        </x:is>
      </x:c>
      <x:c r="H76" s="12" t="inlineStr">
        <x:is>
          <x:t xml:space="preserve">independent nonprofit</x:t>
        </x:is>
      </x:c>
      <x:c r="I76" s="12" t="inlineStr">
        <x:is>
          <x:t xml:space="preserve">36-2136497</x:t>
        </x:is>
      </x:c>
      <x:c r="J76" s="14" t="n">
        <x:v>2782626</x:v>
      </x:c>
      <x:c r="K76" s="14" t="n">
        <x:v>3533371</x:v>
      </x:c>
      <x:c r="L76" s="12" t="n">
        <x:v>21</x:v>
      </x:c>
      <x:c r="M76" s="15" t="n">
        <x:v>80</x:v>
      </x:c>
      <x:c r="N76" s="12" t="inlineStr">
        <x:is>
          <x:t xml:space="preserve">selected quantitative reference organization</x:t>
        </x:is>
      </x:c>
      <x:c r="O76" s="14" t="inlineStr">
        <x:is>
          <x:t xml:space="preserve">yes</x:t>
        </x:is>
      </x:c>
      <x:c r="P76" s="14" t="n">
        <x:v>223542.48079174</x:v>
      </x:c>
      <x:c r="Q76" s="14" t="n">
        <x:v>230248.7552154922</x:v>
      </x:c>
      <x:c r="R76" s="12" t="inlineStr">
        <x:is>
          <x:t xml:space="preserve">CEO</x:t>
        </x:is>
      </x:c>
      <x:c r="S76" s="14" t="n">
        <x:v>2024</x:v>
      </x:c>
      <x:c r="T76" s="16" t="inlineStr">
        <x:is>
          <x:t xml:space="preserve">https://projects.propublica.org/nonprofits/organizations/362136497</x:t>
        </x:is>
      </x:c>
      <x:c r="U76" s="16" t="inlineStr">
        <x:is>
          <x:t xml:space="preserve">https://apps.irs.gov/pub/epostcard/990/xml/2026/202610149349301801_public.xml</x:t>
        </x:is>
      </x:c>
      <x:c r="V76" s="13" t="inlineStr">
        <x:is>
          <x:t xml:space="preserve">Selected under the first expansion protocol before systematic pay review.</x:t>
        </x:is>
      </x:c>
    </x:row>
    <x:row r="77">
      <x:c r="A77" s="12" t="inlineStr">
        <x:is>
          <x:t xml:space="preserve">Electronic Frontier Foundation</x:t>
        </x:is>
      </x:c>
      <x:c r="B77" s="12" t="inlineStr">
        <x:is>
          <x:t xml:space="preserve">A</x:t>
        </x:is>
      </x:c>
      <x:c r="C77" s="12" t="inlineStr">
        <x:is>
          <x:t xml:space="preserve">Tier A expanded primary</x:t>
        </x:is>
      </x:c>
      <x:c r="D77" s="12" t="inlineStr">
        <x:is>
          <x:t xml:space="preserve">first expansion</x:t>
        </x:is>
      </x:c>
      <x:c r="E77" s="13" t="inlineStr">
        <x:is>
          <x:t xml:space="preserve">AI, catastrophic risk, biosecurity, and technology policy</x:t>
        </x:is>
      </x:c>
      <x:c r="F77" s="12" t="inlineStr">
        <x:is>
          <x:t xml:space="preserve">EA-adjacent</x:t>
        </x:is>
      </x:c>
      <x:c r="G77" s="12" t="inlineStr">
        <x:is>
          <x:t xml:space="preserve">US</x:t>
        </x:is>
      </x:c>
      <x:c r="H77" s="12" t="inlineStr">
        <x:is>
          <x:t xml:space="preserve">independent nonprofit</x:t>
        </x:is>
      </x:c>
      <x:c r="I77" s="12" t="inlineStr">
        <x:is>
          <x:t xml:space="preserve">04-3091431</x:t>
        </x:is>
      </x:c>
      <x:c r="J77" s="14" t="n">
        <x:v>21592581</x:v>
      </x:c>
      <x:c r="K77" s="14" t="n">
        <x:v>25771066</x:v>
      </x:c>
      <x:c r="L77" s="12" t="n">
        <x:v>121</x:v>
      </x:c>
      <x:c r="M77" s="15" t="n">
        <x:v>79</x:v>
      </x:c>
      <x:c r="N77" s="12" t="inlineStr">
        <x:is>
          <x:t xml:space="preserve">selected quantitative reference organization</x:t>
        </x:is>
      </x:c>
      <x:c r="O77" s="14" t="inlineStr">
        <x:is>
          <x:t xml:space="preserve">yes</x:t>
        </x:is>
      </x:c>
      <x:c r="P77" s="14" t="n">
        <x:v>374741.2923592541</x:v>
      </x:c>
      <x:c r="Q77" s="14" t="n">
        <x:v>400424.1944262175</x:v>
      </x:c>
      <x:c r="R77" s="12" t="inlineStr">
        <x:is>
          <x:t xml:space="preserve">Executive Director</x:t>
        </x:is>
      </x:c>
      <x:c r="S77" s="14" t="n">
        <x:v>2024</x:v>
      </x:c>
      <x:c r="T77" s="16" t="inlineStr">
        <x:is>
          <x:t xml:space="preserve">https://projects.propublica.org/nonprofits/organizations/43091431</x:t>
        </x:is>
      </x:c>
      <x:c r="U77" s="16" t="inlineStr">
        <x:is>
          <x:t xml:space="preserve">https://apps.irs.gov/pub/epostcard/990/xml/2026/202610989349301676_public.xml</x:t>
        </x:is>
      </x:c>
      <x:c r="V77" s="13" t="inlineStr">
        <x:is>
          <x:t xml:space="preserve">Selected under the first expansion protocol before systematic pay review.</x:t>
        </x:is>
      </x:c>
    </x:row>
    <x:row r="78">
      <x:c r="A78" s="12" t="inlineStr">
        <x:is>
          <x:t xml:space="preserve">Federation of American Scientists</x:t>
        </x:is>
      </x:c>
      <x:c r="B78" s="12" t="inlineStr">
        <x:is>
          <x:t xml:space="preserve">A</x:t>
        </x:is>
      </x:c>
      <x:c r="C78" s="12" t="inlineStr">
        <x:is>
          <x:t xml:space="preserve">Tier A expanded primary</x:t>
        </x:is>
      </x:c>
      <x:c r="D78" s="12" t="inlineStr">
        <x:is>
          <x:t xml:space="preserve">first expansion</x:t>
        </x:is>
      </x:c>
      <x:c r="E78" s="13" t="inlineStr">
        <x:is>
          <x:t xml:space="preserve">AI, catastrophic risk, biosecurity, and technology policy</x:t>
        </x:is>
      </x:c>
      <x:c r="F78" s="12" t="inlineStr">
        <x:is>
          <x:t xml:space="preserve">EA-adjacent</x:t>
        </x:is>
      </x:c>
      <x:c r="G78" s="12" t="inlineStr">
        <x:is>
          <x:t xml:space="preserve">US</x:t>
        </x:is>
      </x:c>
      <x:c r="H78" s="12" t="inlineStr">
        <x:is>
          <x:t xml:space="preserve">independent nonprofit</x:t>
        </x:is>
      </x:c>
      <x:c r="I78" s="12" t="inlineStr">
        <x:is>
          <x:t xml:space="preserve">23-7185827</x:t>
        </x:is>
      </x:c>
      <x:c r="J78" s="14" t="n">
        <x:v>35602788</x:v>
      </x:c>
      <x:c r="K78" s="14" t="n">
        <x:v>36430648</x:v>
      </x:c>
      <x:c r="L78" s="12" t="n">
        <x:v>116</x:v>
      </x:c>
      <x:c r="M78" s="15" t="n">
        <x:v>76</x:v>
      </x:c>
      <x:c r="N78" s="12" t="inlineStr">
        <x:is>
          <x:t xml:space="preserve">selected quantitative reference organization</x:t>
        </x:is>
      </x:c>
      <x:c r="O78" s="14" t="inlineStr">
        <x:is>
          <x:t xml:space="preserve">yes</x:t>
        </x:is>
      </x:c>
      <x:c r="P78" s="14" t="n">
        <x:v>727547.7449128197</x:v>
      </x:c>
      <x:c r="Q78" s="14" t="n">
        <x:v>829739.6577627618</x:v>
      </x:c>
      <x:c r="R78" s="12" t="inlineStr">
        <x:is>
          <x:t xml:space="preserve">Chief Executive Officer</x:t>
        </x:is>
      </x:c>
      <x:c r="S78" s="14" t="n">
        <x:v>2024</x:v>
      </x:c>
      <x:c r="T78" s="16" t="inlineStr">
        <x:is>
          <x:t xml:space="preserve">https://projects.propublica.org/nonprofits/organizations/237185827</x:t>
        </x:is>
      </x:c>
      <x:c r="U78" s="16" t="inlineStr">
        <x:is>
          <x:t xml:space="preserve">https://apps.irs.gov/pub/epostcard/990/xml/2026/202620939349300837_public.xml</x:t>
        </x:is>
      </x:c>
      <x:c r="V78" s="13" t="inlineStr">
        <x:is>
          <x:t xml:space="preserve">Selected under the first expansion protocol before systematic pay review.</x:t>
        </x:is>
      </x:c>
    </x:row>
    <x:row r="79">
      <x:c r="A79" s="12" t="inlineStr">
        <x:is>
          <x:t xml:space="preserve">Good Food Institute</x:t>
        </x:is>
      </x:c>
      <x:c r="B79" s="12" t="inlineStr">
        <x:is>
          <x:t xml:space="preserve">A</x:t>
        </x:is>
      </x:c>
      <x:c r="C79" s="12" t="inlineStr">
        <x:is>
          <x:t xml:space="preserve">Tier A expanded primary</x:t>
        </x:is>
      </x:c>
      <x:c r="D79" s="12" t="inlineStr">
        <x:is>
          <x:t xml:space="preserve">first expansion</x:t>
        </x:is>
      </x:c>
      <x:c r="E79" s="12" t="inlineStr">
        <x:is>
          <x:t xml:space="preserve">Animal welfare and food systems</x:t>
        </x:is>
      </x:c>
      <x:c r="F79" s="12" t="inlineStr">
        <x:is>
          <x:t xml:space="preserve">EA-adjacent</x:t>
        </x:is>
      </x:c>
      <x:c r="G79" s="12" t="inlineStr">
        <x:is>
          <x:t xml:space="preserve">US/international</x:t>
        </x:is>
      </x:c>
      <x:c r="H79" s="12" t="inlineStr">
        <x:is>
          <x:t xml:space="preserve">independent nonprofit</x:t>
        </x:is>
      </x:c>
      <x:c r="I79" s="12" t="inlineStr">
        <x:is>
          <x:t xml:space="preserve">81-0840578</x:t>
        </x:is>
      </x:c>
      <x:c r="J79" s="14" t="n">
        <x:v>28143912</x:v>
      </x:c>
      <x:c r="K79" s="14" t="n">
        <x:v>35420353</x:v>
      </x:c>
      <x:c r="L79" s="12" t="n">
        <x:v>132</x:v>
      </x:c>
      <x:c r="M79" s="15" t="n">
        <x:v>76</x:v>
      </x:c>
      <x:c r="N79" s="12" t="inlineStr">
        <x:is>
          <x:t xml:space="preserve">selected quantitative reference organization</x:t>
        </x:is>
      </x:c>
      <x:c r="O79" s="14" t="inlineStr">
        <x:is>
          <x:t xml:space="preserve">yes</x:t>
        </x:is>
      </x:c>
      <x:c r="P79" s="14" t="n">
        <x:v>240494.4522517803</x:v>
      </x:c>
      <x:c r="Q79" s="14" t="n">
        <x:v>264418.8201365154</x:v>
      </x:c>
      <x:c r="R79" s="12" t="inlineStr">
        <x:is>
          <x:t xml:space="preserve">CEO</x:t>
        </x:is>
      </x:c>
      <x:c r="S79" s="14" t="n">
        <x:v>2024</x:v>
      </x:c>
      <x:c r="T79" s="16" t="inlineStr">
        <x:is>
          <x:t xml:space="preserve">https://projects.propublica.org/nonprofits/organizations/810840578</x:t>
        </x:is>
      </x:c>
      <x:c r="U79" s="16" t="inlineStr">
        <x:is>
          <x:t xml:space="preserve">https://apps.irs.gov/pub/epostcard/990/xml/2025/202543189349301719_public.xml</x:t>
        </x:is>
      </x:c>
      <x:c r="V79" s="13" t="inlineStr">
        <x:is>
          <x:t xml:space="preserve">Selected under the first expansion protocol before systematic pay review.</x:t>
        </x:is>
      </x:c>
    </x:row>
    <x:row r="80">
      <x:c r="A80" s="13" t="inlineStr">
        <x:is>
          <x:t xml:space="preserve">National Committee for Responsive Philanthropy</x:t>
        </x:is>
      </x:c>
      <x:c r="B80" s="12" t="inlineStr">
        <x:is>
          <x:t xml:space="preserve">A</x:t>
        </x:is>
      </x:c>
      <x:c r="C80" s="12" t="inlineStr">
        <x:is>
          <x:t xml:space="preserve">Tier A expanded primary</x:t>
        </x:is>
      </x:c>
      <x:c r="D80" s="12" t="inlineStr">
        <x:is>
          <x:t xml:space="preserve">first expansion</x:t>
        </x:is>
      </x:c>
      <x:c r="E80" s="13" t="inlineStr">
        <x:is>
          <x:t xml:space="preserve">Research, evaluation, philanthropy infrastructure, and policy</x:t>
        </x:is>
      </x:c>
      <x:c r="F80" s="12" t="inlineStr">
        <x:is>
          <x:t xml:space="preserve">functional-only</x:t>
        </x:is>
      </x:c>
      <x:c r="G80" s="12" t="inlineStr">
        <x:is>
          <x:t xml:space="preserve">US</x:t>
        </x:is>
      </x:c>
      <x:c r="H80" s="12" t="inlineStr">
        <x:is>
          <x:t xml:space="preserve">independent nonprofit</x:t>
        </x:is>
      </x:c>
      <x:c r="I80" s="12" t="inlineStr">
        <x:is>
          <x:t xml:space="preserve">52-1072749</x:t>
        </x:is>
      </x:c>
      <x:c r="J80" s="14" t="n">
        <x:v>3680502</x:v>
      </x:c>
      <x:c r="K80" s="14" t="n">
        <x:v>4098025</x:v>
      </x:c>
      <x:c r="L80" s="12" t="n">
        <x:v>27</x:v>
      </x:c>
      <x:c r="M80" s="15" t="n">
        <x:v>76</x:v>
      </x:c>
      <x:c r="N80" s="12" t="inlineStr">
        <x:is>
          <x:t xml:space="preserve">selected quantitative reference organization</x:t>
        </x:is>
      </x:c>
      <x:c r="O80" s="14" t="inlineStr">
        <x:is>
          <x:t xml:space="preserve">yes</x:t>
        </x:is>
      </x:c>
      <x:c r="P80" s="14" t="n">
        <x:v>341956.126331136</x:v>
      </x:c>
      <x:c r="Q80" s="14" t="n">
        <x:v>397599.0432642114</x:v>
      </x:c>
      <x:c r="R80" s="12" t="inlineStr">
        <x:is>
          <x:t xml:space="preserve">CEO</x:t>
        </x:is>
      </x:c>
      <x:c r="S80" s="14" t="n">
        <x:v>2024</x:v>
      </x:c>
      <x:c r="T80" s="16" t="inlineStr">
        <x:is>
          <x:t xml:space="preserve">https://projects.propublica.org/nonprofits/organizations/521072749</x:t>
        </x:is>
      </x:c>
      <x:c r="U80" s="16" t="inlineStr">
        <x:is>
          <x:t xml:space="preserve">https://apps.irs.gov/pub/epostcard/990/xml/2026/202610449349300906_public.xml</x:t>
        </x:is>
      </x:c>
      <x:c r="V80" s="13" t="inlineStr">
        <x:is>
          <x:t xml:space="preserve">Selected under the first expansion protocol before systematic pay review.</x:t>
        </x:is>
      </x:c>
    </x:row>
    <x:row r="81">
      <x:c r="A81" s="12" t="inlineStr">
        <x:is>
          <x:t xml:space="preserve">Physicians Committee for Responsible Medicine</x:t>
        </x:is>
      </x:c>
      <x:c r="B81" s="12" t="inlineStr">
        <x:is>
          <x:t xml:space="preserve">A</x:t>
        </x:is>
      </x:c>
      <x:c r="C81" s="12" t="inlineStr">
        <x:is>
          <x:t xml:space="preserve">Tier A expanded primary</x:t>
        </x:is>
      </x:c>
      <x:c r="D81" s="12" t="inlineStr">
        <x:is>
          <x:t xml:space="preserve">first expansion</x:t>
        </x:is>
      </x:c>
      <x:c r="E81" s="12" t="inlineStr">
        <x:is>
          <x:t xml:space="preserve">Animal welfare and food systems</x:t>
        </x:is>
      </x:c>
      <x:c r="F81" s="12" t="inlineStr">
        <x:is>
          <x:t xml:space="preserve">EA-adjacent</x:t>
        </x:is>
      </x:c>
      <x:c r="G81" s="12" t="inlineStr">
        <x:is>
          <x:t xml:space="preserve">US</x:t>
        </x:is>
      </x:c>
      <x:c r="H81" s="12" t="inlineStr">
        <x:is>
          <x:t xml:space="preserve">independent nonprofit</x:t>
        </x:is>
      </x:c>
      <x:c r="I81" s="12" t="inlineStr">
        <x:is>
          <x:t xml:space="preserve">52-1394893</x:t>
        </x:is>
      </x:c>
      <x:c r="J81" s="14" t="n">
        <x:v>21391471</x:v>
      </x:c>
      <x:c r="K81" s="14" t="n">
        <x:v>23901833</x:v>
      </x:c>
      <x:c r="L81" s="12" t="n">
        <x:v>110</x:v>
      </x:c>
      <x:c r="M81" s="15" t="n">
        <x:v>76</x:v>
      </x:c>
      <x:c r="N81" s="12" t="inlineStr">
        <x:is>
          <x:t xml:space="preserve">selected quantitative reference organization</x:t>
        </x:is>
      </x:c>
      <x:c r="O81" s="14" t="inlineStr">
        <x:is>
          <x:t xml:space="preserve">not collected/clean observation unavailable</x:t>
        </x:is>
      </x:c>
      <x:c r="P81" s="14" t="n"/>
      <x:c r="Q81" s="14" t="n"/>
      <x:c r="R81" s="12" t="n"/>
      <x:c r="S81" s="14" t="n"/>
      <x:c r="T81" s="17" t="n"/>
      <x:c r="U81" s="17" t="n"/>
      <x:c r="V81" s="13" t="inlineStr">
        <x:is>
          <x:t xml:space="preserve">Selected under the first expansion protocol before systematic pay review.</x:t>
        </x:is>
      </x:c>
    </x:row>
    <x:row r="82">
      <x:c r="A82" s="12" t="inlineStr">
        <x:is>
          <x:t xml:space="preserve">Precision Development</x:t>
        </x:is>
      </x:c>
      <x:c r="B82" s="12" t="inlineStr">
        <x:is>
          <x:t xml:space="preserve">A</x:t>
        </x:is>
      </x:c>
      <x:c r="C82" s="12" t="inlineStr">
        <x:is>
          <x:t xml:space="preserve">Tier A expanded primary</x:t>
        </x:is>
      </x:c>
      <x:c r="D82" s="12" t="inlineStr">
        <x:is>
          <x:t xml:space="preserve">first expansion</x:t>
        </x:is>
      </x:c>
      <x:c r="E82" s="12" t="inlineStr">
        <x:is>
          <x:t xml:space="preserve">Global health, development, and evidence</x:t>
        </x:is>
      </x:c>
      <x:c r="F82" s="12" t="inlineStr">
        <x:is>
          <x:t xml:space="preserve">EA-adjacent</x:t>
        </x:is>
      </x:c>
      <x:c r="G82" s="12" t="inlineStr">
        <x:is>
          <x:t xml:space="preserve">US/international</x:t>
        </x:is>
      </x:c>
      <x:c r="H82" s="12" t="inlineStr">
        <x:is>
          <x:t xml:space="preserve">independent nonprofit</x:t>
        </x:is>
      </x:c>
      <x:c r="I82" s="12" t="inlineStr">
        <x:is>
          <x:t xml:space="preserve">81-0779400</x:t>
        </x:is>
      </x:c>
      <x:c r="J82" s="14" t="n">
        <x:v>9120743</x:v>
      </x:c>
      <x:c r="K82" s="14" t="n">
        <x:v>4706238</x:v>
      </x:c>
      <x:c r="L82" s="12" t="n">
        <x:v>12</x:v>
      </x:c>
      <x:c r="M82" s="15" t="n">
        <x:v>76</x:v>
      </x:c>
      <x:c r="N82" s="12" t="inlineStr">
        <x:is>
          <x:t xml:space="preserve">selected quantitative reference organization</x:t>
        </x:is>
      </x:c>
      <x:c r="O82" s="14" t="inlineStr">
        <x:is>
          <x:t xml:space="preserve">yes</x:t>
        </x:is>
      </x:c>
      <x:c r="P82" s="14" t="n">
        <x:v>246494.203162165</x:v>
      </x:c>
      <x:c r="Q82" s="14" t="n">
        <x:v>271261.2119759798</x:v>
      </x:c>
      <x:c r="R82" s="12" t="inlineStr">
        <x:is>
          <x:t xml:space="preserve">Chief Executive Officer</x:t>
        </x:is>
      </x:c>
      <x:c r="S82" s="14" t="n">
        <x:v>2023</x:v>
      </x:c>
      <x:c r="T82" s="16" t="inlineStr">
        <x:is>
          <x:t xml:space="preserve">https://projects.propublica.org/nonprofits/organizations/810779400</x:t>
        </x:is>
      </x:c>
      <x:c r="U82" s="16" t="inlineStr">
        <x:is>
          <x:t xml:space="preserve">https://apps.irs.gov/pub/epostcard/990/xml/2024/202433199349302193_public.xml</x:t>
        </x:is>
      </x:c>
      <x:c r="V82" s="13" t="inlineStr">
        <x:is>
          <x:t xml:space="preserve">Selected under the first expansion protocol before systematic pay review.</x:t>
        </x:is>
      </x:c>
    </x:row>
    <x:row r="83">
      <x:c r="A83" s="12" t="inlineStr">
        <x:is>
          <x:t xml:space="preserve">Results for Development</x:t>
        </x:is>
      </x:c>
      <x:c r="B83" s="12" t="inlineStr">
        <x:is>
          <x:t xml:space="preserve">A</x:t>
        </x:is>
      </x:c>
      <x:c r="C83" s="12" t="inlineStr">
        <x:is>
          <x:t xml:space="preserve">Tier A expanded primary</x:t>
        </x:is>
      </x:c>
      <x:c r="D83" s="12" t="inlineStr">
        <x:is>
          <x:t xml:space="preserve">first expansion</x:t>
        </x:is>
      </x:c>
      <x:c r="E83" s="12" t="inlineStr">
        <x:is>
          <x:t xml:space="preserve">Global health, development, and evidence</x:t>
        </x:is>
      </x:c>
      <x:c r="F83" s="12" t="inlineStr">
        <x:is>
          <x:t xml:space="preserve">EA-adjacent</x:t>
        </x:is>
      </x:c>
      <x:c r="G83" s="12" t="inlineStr">
        <x:is>
          <x:t xml:space="preserve">US/international</x:t>
        </x:is>
      </x:c>
      <x:c r="H83" s="12" t="inlineStr">
        <x:is>
          <x:t xml:space="preserve">independent nonprofit</x:t>
        </x:is>
      </x:c>
      <x:c r="I83" s="12" t="inlineStr">
        <x:is>
          <x:t xml:space="preserve">20-8530747</x:t>
        </x:is>
      </x:c>
      <x:c r="J83" s="14" t="n">
        <x:v>49137699</x:v>
      </x:c>
      <x:c r="K83" s="14" t="n">
        <x:v>48542325</x:v>
      </x:c>
      <x:c r="L83" s="12" t="n">
        <x:v>140</x:v>
      </x:c>
      <x:c r="M83" s="15" t="n">
        <x:v>76</x:v>
      </x:c>
      <x:c r="N83" s="12" t="inlineStr">
        <x:is>
          <x:t xml:space="preserve">selected quantitative reference organization</x:t>
        </x:is>
      </x:c>
      <x:c r="O83" s="14" t="inlineStr">
        <x:is>
          <x:t xml:space="preserve">yes</x:t>
        </x:is>
      </x:c>
      <x:c r="P83" s="14" t="n">
        <x:v>408852.8104400699</x:v>
      </x:c>
      <x:c r="Q83" s="14" t="n">
        <x:v>423542.7448920985</x:v>
      </x:c>
      <x:c r="R83" s="12" t="inlineStr">
        <x:is>
          <x:t xml:space="preserve">President &amp; CEO</x:t>
        </x:is>
      </x:c>
      <x:c r="S83" s="14" t="n">
        <x:v>2024</x:v>
      </x:c>
      <x:c r="T83" s="16" t="inlineStr">
        <x:is>
          <x:t xml:space="preserve">https://projects.propublica.org/nonprofits/organizations/208530747</x:t>
        </x:is>
      </x:c>
      <x:c r="U83" s="16" t="inlineStr">
        <x:is>
          <x:t xml:space="preserve">https://apps.irs.gov/pub/epostcard/990/xml/2025/202512739349302306_public.xml</x:t>
        </x:is>
      </x:c>
      <x:c r="V83" s="13" t="inlineStr">
        <x:is>
          <x:t xml:space="preserve">Selected under the first expansion protocol before systematic pay review.</x:t>
        </x:is>
      </x:c>
    </x:row>
    <x:row r="84">
      <x:c r="A84" s="12" t="inlineStr">
        <x:is>
          <x:t xml:space="preserve">Creative Commons</x:t>
        </x:is>
      </x:c>
      <x:c r="B84" s="12" t="inlineStr">
        <x:is>
          <x:t xml:space="preserve">B</x:t>
        </x:is>
      </x:c>
      <x:c r="C84" s="12" t="inlineStr">
        <x:is>
          <x:t xml:space="preserve">Tier B weighted secondary</x:t>
        </x:is>
      </x:c>
      <x:c r="D84" s="12" t="inlineStr">
        <x:is>
          <x:t xml:space="preserve">second expansion / filing verification</x:t>
        </x:is>
      </x:c>
      <x:c r="E84" s="13" t="inlineStr">
        <x:is>
          <x:t xml:space="preserve">Open science, research infrastructure, and knowledge dissemination</x:t>
        </x:is>
      </x:c>
      <x:c r="F84" s="12" t="inlineStr">
        <x:is>
          <x:t xml:space="preserve">EA-adjacent</x:t>
        </x:is>
      </x:c>
      <x:c r="G84" s="12" t="inlineStr">
        <x:is>
          <x:t xml:space="preserve">US/international</x:t>
        </x:is>
      </x:c>
      <x:c r="H84" s="12" t="inlineStr">
        <x:is>
          <x:t xml:space="preserve">independent nonprofit</x:t>
        </x:is>
      </x:c>
      <x:c r="I84" s="12" t="inlineStr">
        <x:is>
          <x:t xml:space="preserve">04-3585301</x:t>
        </x:is>
      </x:c>
      <x:c r="J84" s="14" t="n">
        <x:v>2439364</x:v>
      </x:c>
      <x:c r="K84" s="14" t="n">
        <x:v>3912384</x:v>
      </x:c>
      <x:c r="L84" s="12" t="n"/>
      <x:c r="M84" s="15" t="n">
        <x:v>88</x:v>
      </x:c>
      <x:c r="N84" s="12" t="inlineStr">
        <x:is>
          <x:t xml:space="preserve">selected quantitative reference organization</x:t>
        </x:is>
      </x:c>
      <x:c r="O84" s="14" t="inlineStr">
        <x:is>
          <x:t xml:space="preserve">yes</x:t>
        </x:is>
      </x:c>
      <x:c r="P84" s="14" t="n">
        <x:v>244832.2408671438</x:v>
      </x:c>
      <x:c r="Q84" s="14" t="n">
        <x:v>270838.7472872534</x:v>
      </x:c>
      <x:c r="R84" s="12" t="inlineStr">
        <x:is>
          <x:t xml:space="preserve">Chief Executive Officer</x:t>
        </x:is>
      </x:c>
      <x:c r="S84" s="14" t="n">
        <x:v>2024</x:v>
      </x:c>
      <x:c r="T84" s="16" t="inlineStr">
        <x:is>
          <x:t xml:space="preserve">https://projects.propublica.org/nonprofits/organizations/043585301</x:t>
        </x:is>
      </x:c>
      <x:c r="U84" s="16" t="inlineStr">
        <x:is>
          <x:t xml:space="preserve">https://apps.irs.gov/pub/epostcard/990/xml/2025/202543179349306294_public.xml</x:t>
        </x:is>
      </x:c>
      <x:c r="V84" s="13" t="inlineStr">
        <x:is>
          <x:t xml:space="preserve">Added by the second-expansion freeze and retained after role/scale verification; pay did not determine selection.</x:t>
        </x:is>
      </x:c>
    </x:row>
    <x:row r="85">
      <x:c r="A85" s="12" t="inlineStr">
        <x:is>
          <x:t xml:space="preserve">TechCongress</x:t>
        </x:is>
      </x:c>
      <x:c r="B85" s="12" t="inlineStr">
        <x:is>
          <x:t xml:space="preserve">B</x:t>
        </x:is>
      </x:c>
      <x:c r="C85" s="12" t="inlineStr">
        <x:is>
          <x:t xml:space="preserve">Tier B weighted secondary</x:t>
        </x:is>
      </x:c>
      <x:c r="D85" s="12" t="inlineStr">
        <x:is>
          <x:t xml:space="preserve">third expansion / filing verification</x:t>
        </x:is>
      </x:c>
      <x:c r="E85" s="12" t="inlineStr">
        <x:is>
          <x:t xml:space="preserve">technology policy and talent</x:t>
        </x:is>
      </x:c>
      <x:c r="F85" s="12" t="inlineStr">
        <x:is>
          <x:t xml:space="preserve">EA-adjacent</x:t>
        </x:is>
      </x:c>
      <x:c r="G85" s="12" t="inlineStr">
        <x:is>
          <x:t xml:space="preserve">US</x:t>
        </x:is>
      </x:c>
      <x:c r="H85" s="12" t="inlineStr">
        <x:is>
          <x:t xml:space="preserve">independent nonprofit</x:t>
        </x:is>
      </x:c>
      <x:c r="I85" s="12" t="inlineStr">
        <x:is>
          <x:t xml:space="preserve">81-1839685</x:t>
        </x:is>
      </x:c>
      <x:c r="J85" s="14" t="n">
        <x:v>7320089</x:v>
      </x:c>
      <x:c r="K85" s="14" t="n">
        <x:v>3725264</x:v>
      </x:c>
      <x:c r="L85" s="12" t="n"/>
      <x:c r="M85" s="15" t="n">
        <x:v>87</x:v>
      </x:c>
      <x:c r="N85" s="12" t="inlineStr">
        <x:is>
          <x:t xml:space="preserve">selected quantitative reference organization</x:t>
        </x:is>
      </x:c>
      <x:c r="O85" s="14" t="inlineStr">
        <x:is>
          <x:t xml:space="preserve">yes</x:t>
        </x:is>
      </x:c>
      <x:c r="P85" s="14" t="n">
        <x:v>267279.1925651436</x:v>
      </x:c>
      <x:c r="Q85" s="14" t="n">
        <x:v>304837.0978403009</x:v>
      </x:c>
      <x:c r="R85" s="12" t="inlineStr">
        <x:is>
          <x:t xml:space="preserve">Executive Director / Board Secretary</x:t>
        </x:is>
      </x:c>
      <x:c r="S85" s="14" t="n">
        <x:v>2025</x:v>
      </x:c>
      <x:c r="T85" s="16" t="inlineStr">
        <x:is>
          <x:t xml:space="preserve">https://projects.propublica.org/nonprofits/organizations/811839685</x:t>
        </x:is>
      </x:c>
      <x:c r="U85" s="16" t="inlineStr">
        <x:is>
          <x:t xml:space="preserve">https://apps.irs.gov/pub/epostcard/990/xml/2026/202621959349301032_public.xml</x:t>
        </x:is>
      </x:c>
      <x:c r="V85" s="13" t="inlineStr">
        <x:is>
          <x:t xml:space="preserve">Added by the third-expansion freeze and retained after role/scale/title verification; pay did not determine selection.</x:t>
        </x:is>
      </x:c>
    </x:row>
    <x:row r="86">
      <x:c r="A86" s="12" t="inlineStr">
        <x:is>
          <x:t xml:space="preserve">Economic Innovation Group</x:t>
        </x:is>
      </x:c>
      <x:c r="B86" s="12" t="inlineStr">
        <x:is>
          <x:t xml:space="preserve">B</x:t>
        </x:is>
      </x:c>
      <x:c r="C86" s="12" t="inlineStr">
        <x:is>
          <x:t xml:space="preserve">Tier B weighted secondary</x:t>
        </x:is>
      </x:c>
      <x:c r="D86" s="12" t="inlineStr">
        <x:is>
          <x:t xml:space="preserve">third expansion / filing verification</x:t>
        </x:is>
      </x:c>
      <x:c r="E86" s="12" t="inlineStr">
        <x:is>
          <x:t xml:space="preserve">policy and evidence</x:t>
        </x:is>
      </x:c>
      <x:c r="F86" s="12" t="inlineStr">
        <x:is>
          <x:t xml:space="preserve">functional-only</x:t>
        </x:is>
      </x:c>
      <x:c r="G86" s="12" t="inlineStr">
        <x:is>
          <x:t xml:space="preserve">US</x:t>
        </x:is>
      </x:c>
      <x:c r="H86" s="12" t="inlineStr">
        <x:is>
          <x:t xml:space="preserve">independent nonprofit</x:t>
        </x:is>
      </x:c>
      <x:c r="I86" s="12" t="inlineStr">
        <x:is>
          <x:t xml:space="preserve">46-2450336</x:t>
        </x:is>
      </x:c>
      <x:c r="J86" s="14" t="n">
        <x:v>5679893</x:v>
      </x:c>
      <x:c r="K86" s="14" t="n">
        <x:v>5806034</x:v>
      </x:c>
      <x:c r="L86" s="12" t="n"/>
      <x:c r="M86" s="15" t="n">
        <x:v>86</x:v>
      </x:c>
      <x:c r="N86" s="12" t="inlineStr">
        <x:is>
          <x:t xml:space="preserve">selected quantitative reference organization</x:t>
        </x:is>
      </x:c>
      <x:c r="O86" s="14" t="inlineStr">
        <x:is>
          <x:t xml:space="preserve">yes</x:t>
        </x:is>
      </x:c>
      <x:c r="P86" s="14" t="n">
        <x:v>510654.0561926283</x:v>
      </x:c>
      <x:c r="Q86" s="14" t="n">
        <x:v>569827.8798342095</x:v>
      </x:c>
      <x:c r="R86" s="12" t="inlineStr">
        <x:is>
          <x:t xml:space="preserve">President and CEO</x:t>
        </x:is>
      </x:c>
      <x:c r="S86" s="14" t="n">
        <x:v>2024</x:v>
      </x:c>
      <x:c r="T86" s="16" t="inlineStr">
        <x:is>
          <x:t xml:space="preserve">https://projects.propublica.org/nonprofits/organizations/462450336</x:t>
        </x:is>
      </x:c>
      <x:c r="U86" s="16" t="inlineStr">
        <x:is>
          <x:t xml:space="preserve">https://apps.irs.gov/pub/epostcard/990/xml/2025/202513219349307891_public.xml</x:t>
        </x:is>
      </x:c>
      <x:c r="V86" s="13" t="inlineStr">
        <x:is>
          <x:t xml:space="preserve">Added by the third-expansion freeze and retained after role/scale/title verification; pay did not determine selection.</x:t>
        </x:is>
      </x:c>
    </x:row>
    <x:row r="87">
      <x:c r="A87" s="12" t="inlineStr">
        <x:is>
          <x:t xml:space="preserve">Institute for Security and Technology</x:t>
        </x:is>
      </x:c>
      <x:c r="B87" s="12" t="inlineStr">
        <x:is>
          <x:t xml:space="preserve">B</x:t>
        </x:is>
      </x:c>
      <x:c r="C87" s="12" t="inlineStr">
        <x:is>
          <x:t xml:space="preserve">Tier B weighted secondary</x:t>
        </x:is>
      </x:c>
      <x:c r="D87" s="12" t="inlineStr">
        <x:is>
          <x:t xml:space="preserve">second expansion / filing verification</x:t>
        </x:is>
      </x:c>
      <x:c r="E87" s="13" t="inlineStr">
        <x:is>
          <x:t xml:space="preserve">AI, catastrophic risk, biosecurity, and technology policy</x:t>
        </x:is>
      </x:c>
      <x:c r="F87" s="12" t="inlineStr">
        <x:is>
          <x:t xml:space="preserve">EA-adjacent</x:t>
        </x:is>
      </x:c>
      <x:c r="G87" s="12" t="inlineStr">
        <x:is>
          <x:t xml:space="preserve">US</x:t>
        </x:is>
      </x:c>
      <x:c r="H87" s="12" t="inlineStr">
        <x:is>
          <x:t xml:space="preserve">independent nonprofit</x:t>
        </x:is>
      </x:c>
      <x:c r="I87" s="12" t="inlineStr">
        <x:is>
          <x:t xml:space="preserve">47-5677755</x:t>
        </x:is>
      </x:c>
      <x:c r="J87" s="14" t="n">
        <x:v>3587978</x:v>
      </x:c>
      <x:c r="K87" s="14" t="n">
        <x:v>4436894</x:v>
      </x:c>
      <x:c r="L87" s="12" t="n"/>
      <x:c r="M87" s="15" t="n">
        <x:v>86</x:v>
      </x:c>
      <x:c r="N87" s="12" t="inlineStr">
        <x:is>
          <x:t xml:space="preserve">selected quantitative reference organization</x:t>
        </x:is>
      </x:c>
      <x:c r="O87" s="14" t="inlineStr">
        <x:is>
          <x:t xml:space="preserve">yes</x:t>
        </x:is>
      </x:c>
      <x:c r="P87" s="14" t="n">
        <x:v>345558.3537358944</x:v>
      </x:c>
      <x:c r="Q87" s="14" t="n">
        <x:v>390055.0167814921</x:v>
      </x:c>
      <x:c r="R87" s="12" t="inlineStr">
        <x:is>
          <x:t xml:space="preserve">CEO</x:t>
        </x:is>
      </x:c>
      <x:c r="S87" s="14" t="n">
        <x:v>2024</x:v>
      </x:c>
      <x:c r="T87" s="16" t="inlineStr">
        <x:is>
          <x:t xml:space="preserve">https://projects.propublica.org/nonprofits/organizations/475677755</x:t>
        </x:is>
      </x:c>
      <x:c r="U87" s="16" t="inlineStr">
        <x:is>
          <x:t xml:space="preserve">https://apps.irs.gov/pub/epostcard/990/xml/2025/202523219349310552_public.xml</x:t>
        </x:is>
      </x:c>
      <x:c r="V87" s="13" t="inlineStr">
        <x:is>
          <x:t xml:space="preserve">Added by the second-expansion freeze and retained after role/scale verification; pay did not determine selection.</x:t>
        </x:is>
      </x:c>
    </x:row>
    <x:row r="88">
      <x:c r="A88" s="12" t="inlineStr">
        <x:is>
          <x:t xml:space="preserve">Software Freedom Conservancy</x:t>
        </x:is>
      </x:c>
      <x:c r="B88" s="12" t="inlineStr">
        <x:is>
          <x:t xml:space="preserve">B</x:t>
        </x:is>
      </x:c>
      <x:c r="C88" s="12" t="inlineStr">
        <x:is>
          <x:t xml:space="preserve">Tier B weighted secondary</x:t>
        </x:is>
      </x:c>
      <x:c r="D88" s="12" t="inlineStr">
        <x:is>
          <x:t xml:space="preserve">third expansion / filing verification</x:t>
        </x:is>
      </x:c>
      <x:c r="E88" s="12" t="inlineStr">
        <x:is>
          <x:t xml:space="preserve">open technology infrastructure</x:t>
        </x:is>
      </x:c>
      <x:c r="F88" s="12" t="inlineStr">
        <x:is>
          <x:t xml:space="preserve">EA-adjacent</x:t>
        </x:is>
      </x:c>
      <x:c r="G88" s="12" t="inlineStr">
        <x:is>
          <x:t xml:space="preserve">US/international</x:t>
        </x:is>
      </x:c>
      <x:c r="H88" s="12" t="inlineStr">
        <x:is>
          <x:t xml:space="preserve">fiscal sponsor / membership nonprofit</x:t>
        </x:is>
      </x:c>
      <x:c r="I88" s="12" t="inlineStr">
        <x:is>
          <x:t xml:space="preserve">41-2203632</x:t>
        </x:is>
      </x:c>
      <x:c r="J88" s="14" t="n">
        <x:v>3214723</x:v>
      </x:c>
      <x:c r="K88" s="14" t="n">
        <x:v>3805350</x:v>
      </x:c>
      <x:c r="L88" s="12" t="n"/>
      <x:c r="M88" s="15" t="n">
        <x:v>85</x:v>
      </x:c>
      <x:c r="N88" s="12" t="inlineStr">
        <x:is>
          <x:t xml:space="preserve">selected quantitative reference organization</x:t>
        </x:is>
      </x:c>
      <x:c r="O88" s="14" t="inlineStr">
        <x:is>
          <x:t xml:space="preserve">yes</x:t>
        </x:is>
      </x:c>
      <x:c r="P88" s="14" t="n">
        <x:v>190384.7439623024</x:v>
      </x:c>
      <x:c r="Q88" s="14" t="n">
        <x:v>256692.7662051513</x:v>
      </x:c>
      <x:c r="R88" s="12" t="inlineStr">
        <x:is>
          <x:t xml:space="preserve">President and Executive Director</x:t>
        </x:is>
      </x:c>
      <x:c r="S88" s="14" t="n">
        <x:v>2024</x:v>
      </x:c>
      <x:c r="T88" s="16" t="inlineStr">
        <x:is>
          <x:t xml:space="preserve">https://projects.propublica.org/nonprofits/organizations/412203632</x:t>
        </x:is>
      </x:c>
      <x:c r="U88" s="16" t="inlineStr">
        <x:is>
          <x:t xml:space="preserve">https://apps.irs.gov/pub/epostcard/990/xml/2026/202640169349300604_public.xml</x:t>
        </x:is>
      </x:c>
      <x:c r="V88" s="13" t="inlineStr">
        <x:is>
          <x:t xml:space="preserve">Added by the third-expansion freeze and retained after role/scale/title verification; pay did not determine selection.</x:t>
        </x:is>
      </x:c>
    </x:row>
    <x:row r="89">
      <x:c r="A89" s="12" t="inlineStr">
        <x:is>
          <x:t xml:space="preserve">Center for Public Integrity</x:t>
        </x:is>
      </x:c>
      <x:c r="B89" s="12" t="inlineStr">
        <x:is>
          <x:t xml:space="preserve">B</x:t>
        </x:is>
      </x:c>
      <x:c r="C89" s="12" t="inlineStr">
        <x:is>
          <x:t xml:space="preserve">Tier B weighted secondary</x:t>
        </x:is>
      </x:c>
      <x:c r="D89" s="12" t="inlineStr">
        <x:is>
          <x:t xml:space="preserve">second expansion / filing verification</x:t>
        </x:is>
      </x:c>
      <x:c r="E89" s="13" t="inlineStr">
        <x:is>
          <x:t xml:space="preserve">Research, evaluation, philanthropy infrastructure, and policy</x:t>
        </x:is>
      </x:c>
      <x:c r="F89" s="12" t="inlineStr">
        <x:is>
          <x:t xml:space="preserve">EA-adjacent</x:t>
        </x:is>
      </x:c>
      <x:c r="G89" s="12" t="inlineStr">
        <x:is>
          <x:t xml:space="preserve">US</x:t>
        </x:is>
      </x:c>
      <x:c r="H89" s="12" t="inlineStr">
        <x:is>
          <x:t xml:space="preserve">independent nonprofit</x:t>
        </x:is>
      </x:c>
      <x:c r="I89" s="12" t="inlineStr">
        <x:is>
          <x:t xml:space="preserve">54-1512177</x:t>
        </x:is>
      </x:c>
      <x:c r="J89" s="14" t="n">
        <x:v>3834099</x:v>
      </x:c>
      <x:c r="K89" s="14" t="n">
        <x:v>6141454</x:v>
      </x:c>
      <x:c r="L89" s="12" t="n"/>
      <x:c r="M89" s="15" t="n">
        <x:v>84</x:v>
      </x:c>
      <x:c r="N89" s="12" t="inlineStr">
        <x:is>
          <x:t xml:space="preserve">selected quantitative reference organization</x:t>
        </x:is>
      </x:c>
      <x:c r="O89" s="14" t="inlineStr">
        <x:is>
          <x:t xml:space="preserve">yes</x:t>
        </x:is>
      </x:c>
      <x:c r="P89" s="14" t="n">
        <x:v>336340.3632329884</x:v>
      </x:c>
      <x:c r="Q89" s="14" t="n">
        <x:v>367092.0019199113</x:v>
      </x:c>
      <x:c r="R89" s="12" t="inlineStr">
        <x:is>
          <x:t xml:space="preserve">Chief Executive Officer</x:t>
        </x:is>
      </x:c>
      <x:c r="S89" s="14" t="n">
        <x:v>2023</x:v>
      </x:c>
      <x:c r="T89" s="16" t="inlineStr">
        <x:is>
          <x:t xml:space="preserve">https://projects.propublica.org/nonprofits/organizations/541512177</x:t>
        </x:is>
      </x:c>
      <x:c r="U89" s="16" t="inlineStr">
        <x:is>
          <x:t xml:space="preserve">https://apps.irs.gov/pub/epostcard/990/xml/2024/202412399349300756_public.xml</x:t>
        </x:is>
      </x:c>
      <x:c r="V89" s="13" t="inlineStr">
        <x:is>
          <x:t xml:space="preserve">Added by the second-expansion freeze and retained after role/scale verification; pay did not determine selection.</x:t>
        </x:is>
      </x:c>
    </x:row>
    <x:row r="90">
      <x:c r="A90" s="12" t="inlineStr">
        <x:is>
          <x:t xml:space="preserve">Grantmakers for Education</x:t>
        </x:is>
      </x:c>
      <x:c r="B90" s="12" t="inlineStr">
        <x:is>
          <x:t xml:space="preserve">B</x:t>
        </x:is>
      </x:c>
      <x:c r="C90" s="12" t="inlineStr">
        <x:is>
          <x:t xml:space="preserve">Tier B weighted secondary</x:t>
        </x:is>
      </x:c>
      <x:c r="D90" s="12" t="inlineStr">
        <x:is>
          <x:t xml:space="preserve">third expansion / filing verification</x:t>
        </x:is>
      </x:c>
      <x:c r="E90" s="12" t="inlineStr">
        <x:is>
          <x:t xml:space="preserve">philanthropy infrastructure</x:t>
        </x:is>
      </x:c>
      <x:c r="F90" s="12" t="inlineStr">
        <x:is>
          <x:t xml:space="preserve">functional-only</x:t>
        </x:is>
      </x:c>
      <x:c r="G90" s="12" t="inlineStr">
        <x:is>
          <x:t xml:space="preserve">US</x:t>
        </x:is>
      </x:c>
      <x:c r="H90" s="12" t="inlineStr">
        <x:is>
          <x:t xml:space="preserve">membership nonprofit</x:t>
        </x:is>
      </x:c>
      <x:c r="I90" s="12" t="inlineStr">
        <x:is>
          <x:t xml:space="preserve">33-0919329</x:t>
        </x:is>
      </x:c>
      <x:c r="J90" s="14" t="n">
        <x:v>3389406</x:v>
      </x:c>
      <x:c r="K90" s="14" t="n">
        <x:v>3206947</x:v>
      </x:c>
      <x:c r="L90" s="12" t="n"/>
      <x:c r="M90" s="15" t="n">
        <x:v>84</x:v>
      </x:c>
      <x:c r="N90" s="12" t="inlineStr">
        <x:is>
          <x:t xml:space="preserve">selected quantitative reference organization</x:t>
        </x:is>
      </x:c>
      <x:c r="O90" s="14" t="inlineStr">
        <x:is>
          <x:t xml:space="preserve">yes</x:t>
        </x:is>
      </x:c>
      <x:c r="P90" s="14" t="n">
        <x:v>250437.8346949977</x:v>
      </x:c>
      <x:c r="Q90" s="14" t="n">
        <x:v>300201.5843832503</x:v>
      </x:c>
      <x:c r="R90" s="12" t="inlineStr">
        <x:is>
          <x:t xml:space="preserve">Executive Director</x:t>
        </x:is>
      </x:c>
      <x:c r="S90" s="14" t="n">
        <x:v>2024</x:v>
      </x:c>
      <x:c r="T90" s="16" t="inlineStr">
        <x:is>
          <x:t xml:space="preserve">https://projects.propublica.org/nonprofits/organizations/330919329</x:t>
        </x:is>
      </x:c>
      <x:c r="U90" s="16" t="inlineStr">
        <x:is>
          <x:t xml:space="preserve">https://apps.irs.gov/pub/epostcard/990/xml/2025/202543079349303299_public.xml</x:t>
        </x:is>
      </x:c>
      <x:c r="V90" s="13" t="inlineStr">
        <x:is>
          <x:t xml:space="preserve">Added by the third-expansion freeze and retained after role/scale/title verification; pay did not determine selection.</x:t>
        </x:is>
      </x:c>
    </x:row>
    <x:row r="91">
      <x:c r="A91" s="12" t="inlineStr">
        <x:is>
          <x:t xml:space="preserve">OpenSecrets</x:t>
        </x:is>
      </x:c>
      <x:c r="B91" s="12" t="inlineStr">
        <x:is>
          <x:t xml:space="preserve">B</x:t>
        </x:is>
      </x:c>
      <x:c r="C91" s="12" t="inlineStr">
        <x:is>
          <x:t xml:space="preserve">Tier B weighted secondary</x:t>
        </x:is>
      </x:c>
      <x:c r="D91" s="12" t="inlineStr">
        <x:is>
          <x:t xml:space="preserve">third expansion / filing verification</x:t>
        </x:is>
      </x:c>
      <x:c r="E91" s="12" t="inlineStr">
        <x:is>
          <x:t xml:space="preserve">open knowledge and policy data</x:t>
        </x:is>
      </x:c>
      <x:c r="F91" s="12" t="inlineStr">
        <x:is>
          <x:t xml:space="preserve">functional-only</x:t>
        </x:is>
      </x:c>
      <x:c r="G91" s="12" t="inlineStr">
        <x:is>
          <x:t xml:space="preserve">US</x:t>
        </x:is>
      </x:c>
      <x:c r="H91" s="12" t="inlineStr">
        <x:is>
          <x:t xml:space="preserve">independent nonprofit</x:t>
        </x:is>
      </x:c>
      <x:c r="I91" s="12" t="inlineStr">
        <x:is>
          <x:t xml:space="preserve">52-1275227</x:t>
        </x:is>
      </x:c>
      <x:c r="J91" s="14" t="n">
        <x:v>4281039</x:v>
      </x:c>
      <x:c r="K91" s="14" t="n">
        <x:v>3374050</x:v>
      </x:c>
      <x:c r="L91" s="12" t="n"/>
      <x:c r="M91" s="15" t="n">
        <x:v>84</x:v>
      </x:c>
      <x:c r="N91" s="12" t="inlineStr">
        <x:is>
          <x:t xml:space="preserve">selected quantitative reference organization</x:t>
        </x:is>
      </x:c>
      <x:c r="O91" s="14" t="inlineStr">
        <x:is>
          <x:t xml:space="preserve">yes</x:t>
        </x:is>
      </x:c>
      <x:c r="P91" s="14" t="n">
        <x:v>230773.0040597249</x:v>
      </x:c>
      <x:c r="Q91" s="14" t="n">
        <x:v>244035.6296363021</x:v>
      </x:c>
      <x:c r="R91" s="12" t="inlineStr">
        <x:is>
          <x:t xml:space="preserve">Executive Director</x:t>
        </x:is>
      </x:c>
      <x:c r="S91" s="14" t="n">
        <x:v>2025</x:v>
      </x:c>
      <x:c r="T91" s="16" t="inlineStr">
        <x:is>
          <x:t xml:space="preserve">https://projects.propublica.org/nonprofits/organizations/521275227</x:t>
        </x:is>
      </x:c>
      <x:c r="U91" s="16" t="inlineStr">
        <x:is>
          <x:t xml:space="preserve">https://apps.irs.gov/pub/epostcard/990/xml/2026/202631979349301803_public.xml</x:t>
        </x:is>
      </x:c>
      <x:c r="V91" s="13" t="inlineStr">
        <x:is>
          <x:t xml:space="preserve">Added by the third-expansion freeze and retained after role/scale/title verification; pay did not determine selection.</x:t>
        </x:is>
      </x:c>
    </x:row>
    <x:row r="92">
      <x:c r="A92" s="12" t="inlineStr">
        <x:is>
          <x:t xml:space="preserve">Project Healthy Children</x:t>
        </x:is>
      </x:c>
      <x:c r="B92" s="12" t="inlineStr">
        <x:is>
          <x:t xml:space="preserve">B</x:t>
        </x:is>
      </x:c>
      <x:c r="C92" s="12" t="inlineStr">
        <x:is>
          <x:t xml:space="preserve">Tier B weighted secondary</x:t>
        </x:is>
      </x:c>
      <x:c r="D92" s="12" t="inlineStr">
        <x:is>
          <x:t xml:space="preserve">second expansion / filing verification</x:t>
        </x:is>
      </x:c>
      <x:c r="E92" s="12" t="inlineStr">
        <x:is>
          <x:t xml:space="preserve">Global health, development, and evidence</x:t>
        </x:is>
      </x:c>
      <x:c r="F92" s="12" t="inlineStr">
        <x:is>
          <x:t xml:space="preserve">EA-adjacent</x:t>
        </x:is>
      </x:c>
      <x:c r="G92" s="12" t="inlineStr">
        <x:is>
          <x:t xml:space="preserve">US/international</x:t>
        </x:is>
      </x:c>
      <x:c r="H92" s="12" t="inlineStr">
        <x:is>
          <x:t xml:space="preserve">independent nonprofit</x:t>
        </x:is>
      </x:c>
      <x:c r="I92" s="12" t="inlineStr">
        <x:is>
          <x:t xml:space="preserve">83-0396815</x:t>
        </x:is>
      </x:c>
      <x:c r="J92" s="14" t="n">
        <x:v>6440940</x:v>
      </x:c>
      <x:c r="K92" s="14" t="n">
        <x:v>9122441</x:v>
      </x:c>
      <x:c r="L92" s="12" t="n"/>
      <x:c r="M92" s="15" t="n">
        <x:v>83</x:v>
      </x:c>
      <x:c r="N92" s="12" t="inlineStr">
        <x:is>
          <x:t xml:space="preserve">selected quantitative reference organization</x:t>
        </x:is>
      </x:c>
      <x:c r="O92" s="14" t="inlineStr">
        <x:is>
          <x:t xml:space="preserve">yes</x:t>
        </x:is>
      </x:c>
      <x:c r="P92" s="14" t="n">
        <x:v>111749.0865353403</x:v>
      </x:c>
      <x:c r="Q92" s="14" t="n">
        <x:v>242448.9651705934</x:v>
      </x:c>
      <x:c r="R92" s="12" t="inlineStr">
        <x:is>
          <x:t xml:space="preserve">President and Chief Executive Officer</x:t>
        </x:is>
      </x:c>
      <x:c r="S92" s="14" t="n">
        <x:v>2022</x:v>
      </x:c>
      <x:c r="T92" s="16" t="inlineStr">
        <x:is>
          <x:t xml:space="preserve">https://projects.propublica.org/nonprofits/organizations/830396815</x:t>
        </x:is>
      </x:c>
      <x:c r="U92" s="16" t="inlineStr">
        <x:is>
          <x:t xml:space="preserve">https://apps.irs.gov/pub/epostcard/990/xml/2024/202422259349302007_public.xml</x:t>
        </x:is>
      </x:c>
      <x:c r="V92" s="13" t="inlineStr">
        <x:is>
          <x:t xml:space="preserve">Added by the second-expansion freeze and retained after role/scale verification; pay did not determine selection.</x:t>
        </x:is>
      </x:c>
    </x:row>
    <x:row r="93">
      <x:c r="A93" s="12" t="inlineStr">
        <x:is>
          <x:t xml:space="preserve">Energy for Growth Hub</x:t>
        </x:is>
      </x:c>
      <x:c r="B93" s="12" t="inlineStr">
        <x:is>
          <x:t xml:space="preserve">B</x:t>
        </x:is>
      </x:c>
      <x:c r="C93" s="12" t="inlineStr">
        <x:is>
          <x:t xml:space="preserve">Tier B weighted secondary</x:t>
        </x:is>
      </x:c>
      <x:c r="D93" s="12" t="inlineStr">
        <x:is>
          <x:t xml:space="preserve">third expansion / filing verification</x:t>
        </x:is>
      </x:c>
      <x:c r="E93" s="12" t="inlineStr">
        <x:is>
          <x:t xml:space="preserve">global development and climate</x:t>
        </x:is>
      </x:c>
      <x:c r="F93" s="12" t="inlineStr">
        <x:is>
          <x:t xml:space="preserve">EA-adjacent</x:t>
        </x:is>
      </x:c>
      <x:c r="G93" s="12" t="inlineStr">
        <x:is>
          <x:t xml:space="preserve">US/international</x:t>
        </x:is>
      </x:c>
      <x:c r="H93" s="12" t="inlineStr">
        <x:is>
          <x:t xml:space="preserve">independent nonprofit</x:t>
        </x:is>
      </x:c>
      <x:c r="I93" s="12" t="inlineStr">
        <x:is>
          <x:t xml:space="preserve">83-1609680</x:t>
        </x:is>
      </x:c>
      <x:c r="J93" s="14" t="n">
        <x:v>2561222</x:v>
      </x:c>
      <x:c r="K93" s="14" t="n">
        <x:v>2824520</x:v>
      </x:c>
      <x:c r="L93" s="12" t="n"/>
      <x:c r="M93" s="15" t="n">
        <x:v>82</x:v>
      </x:c>
      <x:c r="N93" s="12" t="inlineStr">
        <x:is>
          <x:t xml:space="preserve">selected quantitative reference organization</x:t>
        </x:is>
      </x:c>
      <x:c r="O93" s="14" t="inlineStr">
        <x:is>
          <x:t xml:space="preserve">yes</x:t>
        </x:is>
      </x:c>
      <x:c r="P93" s="14" t="n">
        <x:v>447084.9615834801</x:v>
      </x:c>
      <x:c r="Q93" s="14" t="n">
        <x:v>530770.7504878774</x:v>
      </x:c>
      <x:c r="R93" s="12" t="inlineStr">
        <x:is>
          <x:t xml:space="preserve">Executive Director</x:t>
        </x:is>
      </x:c>
      <x:c r="S93" s="14" t="n">
        <x:v>2024</x:v>
      </x:c>
      <x:c r="T93" s="16" t="inlineStr">
        <x:is>
          <x:t xml:space="preserve">https://projects.propublica.org/nonprofits/organizations/831609680</x:t>
        </x:is>
      </x:c>
      <x:c r="U93" s="16" t="inlineStr">
        <x:is>
          <x:t xml:space="preserve">https://apps.irs.gov/pub/epostcard/990/xml/2025/202513219349322806_public.xml</x:t>
        </x:is>
      </x:c>
      <x:c r="V93" s="13" t="inlineStr">
        <x:is>
          <x:t xml:space="preserve">Added by the third-expansion freeze and retained after role/scale/title verification; pay did not determine selection.</x:t>
        </x:is>
      </x:c>
    </x:row>
    <x:row r="94">
      <x:c r="A94" s="12" t="inlineStr">
        <x:is>
          <x:t xml:space="preserve">MuckRock Foundation</x:t>
        </x:is>
      </x:c>
      <x:c r="B94" s="12" t="inlineStr">
        <x:is>
          <x:t xml:space="preserve">B</x:t>
        </x:is>
      </x:c>
      <x:c r="C94" s="12" t="inlineStr">
        <x:is>
          <x:t xml:space="preserve">Tier B weighted secondary</x:t>
        </x:is>
      </x:c>
      <x:c r="D94" s="12" t="inlineStr">
        <x:is>
          <x:t xml:space="preserve">third expansion / filing verification</x:t>
        </x:is>
      </x:c>
      <x:c r="E94" s="12" t="inlineStr">
        <x:is>
          <x:t xml:space="preserve">open knowledge and journalism</x:t>
        </x:is>
      </x:c>
      <x:c r="F94" s="12" t="inlineStr">
        <x:is>
          <x:t xml:space="preserve">functional-only</x:t>
        </x:is>
      </x:c>
      <x:c r="G94" s="12" t="inlineStr">
        <x:is>
          <x:t xml:space="preserve">US</x:t>
        </x:is>
      </x:c>
      <x:c r="H94" s="12" t="inlineStr">
        <x:is>
          <x:t xml:space="preserve">independent nonprofit</x:t>
        </x:is>
      </x:c>
      <x:c r="I94" s="12" t="inlineStr">
        <x:is>
          <x:t xml:space="preserve">81-1485228</x:t>
        </x:is>
      </x:c>
      <x:c r="J94" s="14" t="n">
        <x:v>3776685</x:v>
      </x:c>
      <x:c r="K94" s="14" t="n">
        <x:v>3231701</x:v>
      </x:c>
      <x:c r="L94" s="12" t="n"/>
      <x:c r="M94" s="15" t="n">
        <x:v>82</x:v>
      </x:c>
      <x:c r="N94" s="12" t="inlineStr">
        <x:is>
          <x:t xml:space="preserve">selected quantitative reference organization</x:t>
        </x:is>
      </x:c>
      <x:c r="O94" s="14" t="inlineStr">
        <x:is>
          <x:t xml:space="preserve">yes</x:t>
        </x:is>
      </x:c>
      <x:c r="P94" s="14" t="n">
        <x:v>138337.9907346505</x:v>
      </x:c>
      <x:c r="Q94" s="14" t="n">
        <x:v>138337.9907346505</x:v>
      </x:c>
      <x:c r="R94" s="12" t="inlineStr">
        <x:is>
          <x:t xml:space="preserve">Executive Director</x:t>
        </x:is>
      </x:c>
      <x:c r="S94" s="14" t="n">
        <x:v>2023</x:v>
      </x:c>
      <x:c r="T94" s="16" t="inlineStr">
        <x:is>
          <x:t xml:space="preserve">https://projects.propublica.org/nonprofits/organizations/811485228</x:t>
        </x:is>
      </x:c>
      <x:c r="U94" s="16" t="inlineStr">
        <x:is>
          <x:t xml:space="preserve">https://apps.irs.gov/pub/epostcard/990/xml/2024/202403119349300920_public.xml</x:t>
        </x:is>
      </x:c>
      <x:c r="V94" s="13" t="inlineStr">
        <x:is>
          <x:t xml:space="preserve">Added by the third-expansion freeze and retained after role/scale/title verification; pay did not determine selection.</x:t>
        </x:is>
      </x:c>
    </x:row>
    <x:row r="95">
      <x:c r="A95" s="12" t="inlineStr">
        <x:is>
          <x:t xml:space="preserve">Sightline Institute</x:t>
        </x:is>
      </x:c>
      <x:c r="B95" s="12" t="inlineStr">
        <x:is>
          <x:t xml:space="preserve">B</x:t>
        </x:is>
      </x:c>
      <x:c r="C95" s="12" t="inlineStr">
        <x:is>
          <x:t xml:space="preserve">Tier B weighted secondary</x:t>
        </x:is>
      </x:c>
      <x:c r="D95" s="12" t="inlineStr">
        <x:is>
          <x:t xml:space="preserve">second expansion / filing verification</x:t>
        </x:is>
      </x:c>
      <x:c r="E95" s="12" t="inlineStr">
        <x:is>
          <x:t xml:space="preserve">Climate, environment, and evidence</x:t>
        </x:is>
      </x:c>
      <x:c r="F95" s="12" t="inlineStr">
        <x:is>
          <x:t xml:space="preserve">functional-only</x:t>
        </x:is>
      </x:c>
      <x:c r="G95" s="12" t="inlineStr">
        <x:is>
          <x:t xml:space="preserve">US</x:t>
        </x:is>
      </x:c>
      <x:c r="H95" s="12" t="inlineStr">
        <x:is>
          <x:t xml:space="preserve">independent nonprofit</x:t>
        </x:is>
      </x:c>
      <x:c r="I95" s="12" t="inlineStr">
        <x:is>
          <x:t xml:space="preserve">52-1833599</x:t>
        </x:is>
      </x:c>
      <x:c r="J95" s="14" t="n">
        <x:v>2520867</x:v>
      </x:c>
      <x:c r="K95" s="14" t="n">
        <x:v>3249823</x:v>
      </x:c>
      <x:c r="L95" s="12" t="n"/>
      <x:c r="M95" s="15" t="n">
        <x:v>82</x:v>
      </x:c>
      <x:c r="N95" s="12" t="inlineStr">
        <x:is>
          <x:t xml:space="preserve">selected quantitative reference organization</x:t>
        </x:is>
      </x:c>
      <x:c r="O95" s="14" t="inlineStr">
        <x:is>
          <x:t xml:space="preserve">yes</x:t>
        </x:is>
      </x:c>
      <x:c r="P95" s="14" t="n">
        <x:v>211351.9641725638</x:v>
      </x:c>
      <x:c r="Q95" s="14" t="n">
        <x:v>242645.7825073999</x:v>
      </x:c>
      <x:c r="R95" s="12" t="inlineStr">
        <x:is>
          <x:t xml:space="preserve">Executive Director</x:t>
        </x:is>
      </x:c>
      <x:c r="S95" s="14" t="n">
        <x:v>2024</x:v>
      </x:c>
      <x:c r="T95" s="16" t="inlineStr">
        <x:is>
          <x:t xml:space="preserve">https://projects.propublica.org/nonprofits/organizations/521833599</x:t>
        </x:is>
      </x:c>
      <x:c r="U95" s="16" t="inlineStr">
        <x:is>
          <x:t xml:space="preserve">https://apps.irs.gov/pub/epostcard/990/xml/2025/202522249349300332_public.xml</x:t>
        </x:is>
      </x:c>
      <x:c r="V95" s="13" t="inlineStr">
        <x:is>
          <x:t xml:space="preserve">Added by the second-expansion freeze and retained after role/scale verification; pay did not determine selection.</x:t>
        </x:is>
      </x:c>
    </x:row>
    <x:row r="96">
      <x:c r="A96" s="12" t="inlineStr">
        <x:is>
          <x:t xml:space="preserve">Animal Equality</x:t>
        </x:is>
      </x:c>
      <x:c r="B96" s="12" t="inlineStr">
        <x:is>
          <x:t xml:space="preserve">B</x:t>
        </x:is>
      </x:c>
      <x:c r="C96" s="12" t="inlineStr">
        <x:is>
          <x:t xml:space="preserve">Tier B weighted secondary</x:t>
        </x:is>
      </x:c>
      <x:c r="D96" s="12" t="inlineStr">
        <x:is>
          <x:t xml:space="preserve">first expansion</x:t>
        </x:is>
      </x:c>
      <x:c r="E96" s="12" t="inlineStr">
        <x:is>
          <x:t xml:space="preserve">Animal welfare and food systems</x:t>
        </x:is>
      </x:c>
      <x:c r="F96" s="12" t="inlineStr">
        <x:is>
          <x:t xml:space="preserve">EA-adjacent</x:t>
        </x:is>
      </x:c>
      <x:c r="G96" s="12" t="inlineStr">
        <x:is>
          <x:t xml:space="preserve">US/international</x:t>
        </x:is>
      </x:c>
      <x:c r="H96" s="12" t="inlineStr">
        <x:is>
          <x:t xml:space="preserve">independent nonprofit</x:t>
        </x:is>
      </x:c>
      <x:c r="I96" s="12" t="inlineStr">
        <x:is>
          <x:t xml:space="preserve">47-2420444</x:t>
        </x:is>
      </x:c>
      <x:c r="J96" s="14" t="n">
        <x:v>4411463</x:v>
      </x:c>
      <x:c r="K96" s="14" t="n">
        <x:v>5192778</x:v>
      </x:c>
      <x:c r="L96" s="12" t="n">
        <x:v>27</x:v>
      </x:c>
      <x:c r="M96" s="15" t="n">
        <x:v>80</x:v>
      </x:c>
      <x:c r="N96" s="12" t="inlineStr">
        <x:is>
          <x:t xml:space="preserve">selected quantitative reference organization</x:t>
        </x:is>
      </x:c>
      <x:c r="O96" s="14" t="inlineStr">
        <x:is>
          <x:t xml:space="preserve">not collected/clean observation unavailable</x:t>
        </x:is>
      </x:c>
      <x:c r="P96" s="14" t="n"/>
      <x:c r="Q96" s="14" t="n"/>
      <x:c r="R96" s="12" t="n"/>
      <x:c r="S96" s="14" t="n"/>
      <x:c r="T96" s="17" t="n"/>
      <x:c r="U96" s="17" t="n"/>
      <x:c r="V96" s="13" t="inlineStr">
        <x:is>
          <x:t xml:space="preserve">Selected under the first expansion protocol before systematic pay review.</x:t>
        </x:is>
      </x:c>
    </x:row>
    <x:row r="97">
      <x:c r="A97" s="12" t="inlineStr">
        <x:is>
          <x:t xml:space="preserve">Global Health Corps</x:t>
        </x:is>
      </x:c>
      <x:c r="B97" s="12" t="inlineStr">
        <x:is>
          <x:t xml:space="preserve">B</x:t>
        </x:is>
      </x:c>
      <x:c r="C97" s="12" t="inlineStr">
        <x:is>
          <x:t xml:space="preserve">Tier B weighted secondary</x:t>
        </x:is>
      </x:c>
      <x:c r="D97" s="12" t="inlineStr">
        <x:is>
          <x:t xml:space="preserve">third expansion / filing verification</x:t>
        </x:is>
      </x:c>
      <x:c r="E97" s="12" t="inlineStr">
        <x:is>
          <x:t xml:space="preserve">global health and development</x:t>
        </x:is>
      </x:c>
      <x:c r="F97" s="12" t="inlineStr">
        <x:is>
          <x:t xml:space="preserve">EA-adjacent</x:t>
        </x:is>
      </x:c>
      <x:c r="G97" s="12" t="inlineStr">
        <x:is>
          <x:t xml:space="preserve">US/international</x:t>
        </x:is>
      </x:c>
      <x:c r="H97" s="12" t="inlineStr">
        <x:is>
          <x:t xml:space="preserve">independent nonprofit</x:t>
        </x:is>
      </x:c>
      <x:c r="I97" s="12" t="inlineStr">
        <x:is>
          <x:t xml:space="preserve">80-0512336</x:t>
        </x:is>
      </x:c>
      <x:c r="J97" s="14" t="n">
        <x:v>3224553</x:v>
      </x:c>
      <x:c r="K97" s="14" t="n">
        <x:v>3112237</x:v>
      </x:c>
      <x:c r="L97" s="12" t="n"/>
      <x:c r="M97" s="15" t="n">
        <x:v>80</x:v>
      </x:c>
      <x:c r="N97" s="12" t="inlineStr">
        <x:is>
          <x:t xml:space="preserve">selected quantitative reference organization</x:t>
        </x:is>
      </x:c>
      <x:c r="O97" s="14" t="inlineStr">
        <x:is>
          <x:t xml:space="preserve">yes</x:t>
        </x:is>
      </x:c>
      <x:c r="P97" s="14" t="n">
        <x:v>248849.6185933725</x:v>
      </x:c>
      <x:c r="Q97" s="14" t="n">
        <x:v>257929.7012655322</x:v>
      </x:c>
      <x:c r="R97" s="12" t="inlineStr">
        <x:is>
          <x:t xml:space="preserve">Chief Executive Officer</x:t>
        </x:is>
      </x:c>
      <x:c r="S97" s="14" t="n">
        <x:v>2024</x:v>
      </x:c>
      <x:c r="T97" s="16" t="inlineStr">
        <x:is>
          <x:t xml:space="preserve">https://projects.propublica.org/nonprofits/organizations/800512336</x:t>
        </x:is>
      </x:c>
      <x:c r="U97" s="16" t="inlineStr">
        <x:is>
          <x:t xml:space="preserve">https://apps.irs.gov/pub/epostcard/990/xml/2026/202600139349300115_public.xml</x:t>
        </x:is>
      </x:c>
      <x:c r="V97" s="13" t="inlineStr">
        <x:is>
          <x:t xml:space="preserve">Added by the third-expansion freeze and retained after role/scale/title verification; pay did not determine selection.</x:t>
        </x:is>
      </x:c>
    </x:row>
    <x:row r="98">
      <x:c r="A98" s="12" t="inlineStr">
        <x:is>
          <x:t xml:space="preserve">Last Mile Health</x:t>
        </x:is>
      </x:c>
      <x:c r="B98" s="12" t="inlineStr">
        <x:is>
          <x:t xml:space="preserve">B</x:t>
        </x:is>
      </x:c>
      <x:c r="C98" s="12" t="inlineStr">
        <x:is>
          <x:t xml:space="preserve">Tier B weighted secondary</x:t>
        </x:is>
      </x:c>
      <x:c r="D98" s="12" t="inlineStr">
        <x:is>
          <x:t xml:space="preserve">first expansion</x:t>
        </x:is>
      </x:c>
      <x:c r="E98" s="12" t="inlineStr">
        <x:is>
          <x:t xml:space="preserve">Global health, development, and evidence</x:t>
        </x:is>
      </x:c>
      <x:c r="F98" s="12" t="inlineStr">
        <x:is>
          <x:t xml:space="preserve">EA-adjacent</x:t>
        </x:is>
      </x:c>
      <x:c r="G98" s="12" t="inlineStr">
        <x:is>
          <x:t xml:space="preserve">US/international</x:t>
        </x:is>
      </x:c>
      <x:c r="H98" s="12" t="inlineStr">
        <x:is>
          <x:t xml:space="preserve">independent nonprofit</x:t>
        </x:is>
      </x:c>
      <x:c r="I98" s="12" t="inlineStr">
        <x:is>
          <x:t xml:space="preserve">26-1401736</x:t>
        </x:is>
      </x:c>
      <x:c r="J98" s="14" t="n">
        <x:v>21567118</x:v>
      </x:c>
      <x:c r="K98" s="14" t="n">
        <x:v>26962344</x:v>
      </x:c>
      <x:c r="L98" s="12" t="n">
        <x:v>55</x:v>
      </x:c>
      <x:c r="M98" s="15" t="n">
        <x:v>78</x:v>
      </x:c>
      <x:c r="N98" s="12" t="inlineStr">
        <x:is>
          <x:t xml:space="preserve">selected quantitative reference organization</x:t>
        </x:is>
      </x:c>
      <x:c r="O98" s="14" t="inlineStr">
        <x:is>
          <x:t xml:space="preserve">yes</x:t>
        </x:is>
      </x:c>
      <x:c r="P98" s="14" t="n">
        <x:v>265066.0288428076</x:v>
      </x:c>
      <x:c r="Q98" s="14" t="n">
        <x:v>272692.0209018172</x:v>
      </x:c>
      <x:c r="R98" s="12" t="inlineStr">
        <x:is>
          <x:t xml:space="preserve">Chief Executive Officer</x:t>
        </x:is>
      </x:c>
      <x:c r="S98" s="14" t="n">
        <x:v>2024</x:v>
      </x:c>
      <x:c r="T98" s="16" t="inlineStr">
        <x:is>
          <x:t xml:space="preserve">https://projects.propublica.org/nonprofits/organizations/261401736</x:t>
        </x:is>
      </x:c>
      <x:c r="U98" s="16" t="inlineStr">
        <x:is>
          <x:t xml:space="preserve">https://apps.irs.gov/pub/epostcard/990/xml/2026/202631359349305343_public.xml</x:t>
        </x:is>
      </x:c>
      <x:c r="V98" s="13" t="inlineStr">
        <x:is>
          <x:t xml:space="preserve">Selected under the first expansion protocol before systematic pay review.</x:t>
        </x:is>
      </x:c>
    </x:row>
    <x:row r="99">
      <x:c r="A99" s="12" t="inlineStr">
        <x:is>
          <x:t xml:space="preserve">Open Markets Institute</x:t>
        </x:is>
      </x:c>
      <x:c r="B99" s="12" t="inlineStr">
        <x:is>
          <x:t xml:space="preserve">B</x:t>
        </x:is>
      </x:c>
      <x:c r="C99" s="12" t="inlineStr">
        <x:is>
          <x:t xml:space="preserve">Tier B weighted secondary</x:t>
        </x:is>
      </x:c>
      <x:c r="D99" s="12" t="inlineStr">
        <x:is>
          <x:t xml:space="preserve">second expansion / filing verification</x:t>
        </x:is>
      </x:c>
      <x:c r="E99" s="13" t="inlineStr">
        <x:is>
          <x:t xml:space="preserve">Research, evaluation, philanthropy infrastructure, and policy</x:t>
        </x:is>
      </x:c>
      <x:c r="F99" s="12" t="inlineStr">
        <x:is>
          <x:t xml:space="preserve">functional-only</x:t>
        </x:is>
      </x:c>
      <x:c r="G99" s="12" t="inlineStr">
        <x:is>
          <x:t xml:space="preserve">US</x:t>
        </x:is>
      </x:c>
      <x:c r="H99" s="12" t="inlineStr">
        <x:is>
          <x:t xml:space="preserve">independent nonprofit</x:t>
        </x:is>
      </x:c>
      <x:c r="I99" s="12" t="inlineStr">
        <x:is>
          <x:t xml:space="preserve">82-2529375</x:t>
        </x:is>
      </x:c>
      <x:c r="J99" s="14" t="n">
        <x:v>2871589</x:v>
      </x:c>
      <x:c r="K99" s="14" t="n">
        <x:v>3918043</x:v>
      </x:c>
      <x:c r="L99" s="12" t="n"/>
      <x:c r="M99" s="15" t="n">
        <x:v>78</x:v>
      </x:c>
      <x:c r="N99" s="12" t="inlineStr">
        <x:is>
          <x:t xml:space="preserve">selected quantitative reference organization</x:t>
        </x:is>
      </x:c>
      <x:c r="O99" s="14" t="inlineStr">
        <x:is>
          <x:t xml:space="preserve">yes</x:t>
        </x:is>
      </x:c>
      <x:c r="P99" s="14" t="n">
        <x:v>196762.0915928896</x:v>
      </x:c>
      <x:c r="Q99" s="14" t="n">
        <x:v>233072.8418894945</x:v>
      </x:c>
      <x:c r="R99" s="12" t="inlineStr">
        <x:is>
          <x:t xml:space="preserve">Executive Director</x:t>
        </x:is>
      </x:c>
      <x:c r="S99" s="14" t="n">
        <x:v>2024</x:v>
      </x:c>
      <x:c r="T99" s="16" t="inlineStr">
        <x:is>
          <x:t xml:space="preserve">https://projects.propublica.org/nonprofits/organizations/822529375</x:t>
        </x:is>
      </x:c>
      <x:c r="U99" s="16" t="inlineStr">
        <x:is>
          <x:t xml:space="preserve">https://apps.irs.gov/pub/epostcard/990/xml/2025/202533209349300548_public.xml</x:t>
        </x:is>
      </x:c>
      <x:c r="V99" s="13" t="inlineStr">
        <x:is>
          <x:t xml:space="preserve">Added by the second-expansion freeze and retained after role/scale verification; pay did not determine selection.</x:t>
        </x:is>
      </x:c>
    </x:row>
    <x:row r="100">
      <x:c r="A100" s="12" t="inlineStr">
        <x:is>
          <x:t xml:space="preserve">StrongMinds</x:t>
        </x:is>
      </x:c>
      <x:c r="B100" s="12" t="inlineStr">
        <x:is>
          <x:t xml:space="preserve">B</x:t>
        </x:is>
      </x:c>
      <x:c r="C100" s="12" t="inlineStr">
        <x:is>
          <x:t xml:space="preserve">Tier B weighted secondary</x:t>
        </x:is>
      </x:c>
      <x:c r="D100" s="12" t="inlineStr">
        <x:is>
          <x:t xml:space="preserve">first expansion</x:t>
        </x:is>
      </x:c>
      <x:c r="E100" s="12" t="inlineStr">
        <x:is>
          <x:t xml:space="preserve">Global health, development, and evidence</x:t>
        </x:is>
      </x:c>
      <x:c r="F100" s="12" t="inlineStr">
        <x:is>
          <x:t xml:space="preserve">EA-adjacent</x:t>
        </x:is>
      </x:c>
      <x:c r="G100" s="12" t="inlineStr">
        <x:is>
          <x:t xml:space="preserve">US/international</x:t>
        </x:is>
      </x:c>
      <x:c r="H100" s="12" t="inlineStr">
        <x:is>
          <x:t xml:space="preserve">independent nonprofit</x:t>
        </x:is>
      </x:c>
      <x:c r="I100" s="12" t="inlineStr">
        <x:is>
          <x:t xml:space="preserve">46-2090059</x:t>
        </x:is>
      </x:c>
      <x:c r="J100" s="14" t="n">
        <x:v>9289461</x:v>
      </x:c>
      <x:c r="K100" s="14" t="n">
        <x:v>9651790</x:v>
      </x:c>
      <x:c r="L100" s="12" t="n">
        <x:v>25</x:v>
      </x:c>
      <x:c r="M100" s="15" t="n">
        <x:v>78</x:v>
      </x:c>
      <x:c r="N100" s="12" t="inlineStr">
        <x:is>
          <x:t xml:space="preserve">selected quantitative reference organization</x:t>
        </x:is>
      </x:c>
      <x:c r="O100" s="14" t="inlineStr">
        <x:is>
          <x:t xml:space="preserve">yes</x:t>
        </x:is>
      </x:c>
      <x:c r="P100" s="14" t="n">
        <x:v>255493.0882249023</x:v>
      </x:c>
      <x:c r="Q100" s="14" t="n">
        <x:v>263426.7173170015</x:v>
      </x:c>
      <x:c r="R100" s="12" t="inlineStr">
        <x:is>
          <x:t xml:space="preserve">Chief Executive Officer</x:t>
        </x:is>
      </x:c>
      <x:c r="S100" s="14" t="n">
        <x:v>2024</x:v>
      </x:c>
      <x:c r="T100" s="16" t="inlineStr">
        <x:is>
          <x:t xml:space="preserve">https://projects.propublica.org/nonprofits/organizations/462090059</x:t>
        </x:is>
      </x:c>
      <x:c r="U100" s="16" t="inlineStr">
        <x:is>
          <x:t xml:space="preserve">https://apps.irs.gov/pub/epostcard/990/xml/2025/202511719349300036_public.xml</x:t>
        </x:is>
      </x:c>
      <x:c r="V100" s="13" t="inlineStr">
        <x:is>
          <x:t xml:space="preserve">Selected under the first expansion protocol before systematic pay review.</x:t>
        </x:is>
      </x:c>
    </x:row>
    <x:row r="101">
      <x:c r="A101" s="12" t="inlineStr">
        <x:is>
          <x:t xml:space="preserve">New America</x:t>
        </x:is>
      </x:c>
      <x:c r="B101" s="12" t="inlineStr">
        <x:is>
          <x:t xml:space="preserve">B</x:t>
        </x:is>
      </x:c>
      <x:c r="C101" s="12" t="inlineStr">
        <x:is>
          <x:t xml:space="preserve">Tier B weighted secondary</x:t>
        </x:is>
      </x:c>
      <x:c r="D101" s="12" t="inlineStr">
        <x:is>
          <x:t xml:space="preserve">second expansion / filing verification</x:t>
        </x:is>
      </x:c>
      <x:c r="E101" s="13" t="inlineStr">
        <x:is>
          <x:t xml:space="preserve">Research, evaluation, philanthropy infrastructure, and policy</x:t>
        </x:is>
      </x:c>
      <x:c r="F101" s="12" t="inlineStr">
        <x:is>
          <x:t xml:space="preserve">functional-only</x:t>
        </x:is>
      </x:c>
      <x:c r="G101" s="12" t="inlineStr">
        <x:is>
          <x:t xml:space="preserve">US</x:t>
        </x:is>
      </x:c>
      <x:c r="H101" s="12" t="inlineStr">
        <x:is>
          <x:t xml:space="preserve">independent nonprofit</x:t>
        </x:is>
      </x:c>
      <x:c r="I101" s="12" t="inlineStr">
        <x:is>
          <x:t xml:space="preserve">52-2096845</x:t>
        </x:is>
      </x:c>
      <x:c r="J101" s="14" t="n">
        <x:v>37233867</x:v>
      </x:c>
      <x:c r="K101" s="14" t="n">
        <x:v>41339553</x:v>
      </x:c>
      <x:c r="L101" s="12" t="n"/>
      <x:c r="M101" s="15" t="n">
        <x:v>77</x:v>
      </x:c>
      <x:c r="N101" s="12" t="inlineStr">
        <x:is>
          <x:t xml:space="preserve">selected quantitative reference organization</x:t>
        </x:is>
      </x:c>
      <x:c r="O101" s="14" t="inlineStr">
        <x:is>
          <x:t xml:space="preserve">yes</x:t>
        </x:is>
      </x:c>
      <x:c r="P101" s="14" t="n">
        <x:v>607512.8841436817</x:v>
      </x:c>
      <x:c r="Q101" s="14" t="n">
        <x:v>649188.6539792884</x:v>
      </x:c>
      <x:c r="R101" s="12" t="inlineStr">
        <x:is>
          <x:t xml:space="preserve">CEO</x:t>
        </x:is>
      </x:c>
      <x:c r="S101" s="14" t="n">
        <x:v>2024</x:v>
      </x:c>
      <x:c r="T101" s="16" t="inlineStr">
        <x:is>
          <x:t xml:space="preserve">https://projects.propublica.org/nonprofits/organizations/522096845</x:t>
        </x:is>
      </x:c>
      <x:c r="U101" s="16" t="inlineStr">
        <x:is>
          <x:t xml:space="preserve">https://apps.irs.gov/pub/epostcard/990/xml/2025/202513109349304131_public.xml</x:t>
        </x:is>
      </x:c>
      <x:c r="V101" s="13" t="inlineStr">
        <x:is>
          <x:t xml:space="preserve">Added by the second-expansion freeze and retained after role/scale verification; pay did not determine selection.</x:t>
        </x:is>
      </x:c>
    </x:row>
    <x:row r="102">
      <x:c r="A102" s="12" t="inlineStr">
        <x:is>
          <x:t xml:space="preserve">Third Way Institute</x:t>
        </x:is>
      </x:c>
      <x:c r="B102" s="12" t="inlineStr">
        <x:is>
          <x:t xml:space="preserve">B</x:t>
        </x:is>
      </x:c>
      <x:c r="C102" s="12" t="inlineStr">
        <x:is>
          <x:t xml:space="preserve">Tier B weighted secondary</x:t>
        </x:is>
      </x:c>
      <x:c r="D102" s="12" t="inlineStr">
        <x:is>
          <x:t xml:space="preserve">second expansion / filing verification</x:t>
        </x:is>
      </x:c>
      <x:c r="E102" s="13" t="inlineStr">
        <x:is>
          <x:t xml:space="preserve">Research, evaluation, philanthropy infrastructure, and policy</x:t>
        </x:is>
      </x:c>
      <x:c r="F102" s="12" t="inlineStr">
        <x:is>
          <x:t xml:space="preserve">functional-only</x:t>
        </x:is>
      </x:c>
      <x:c r="G102" s="12" t="inlineStr">
        <x:is>
          <x:t xml:space="preserve">US</x:t>
        </x:is>
      </x:c>
      <x:c r="H102" s="12" t="inlineStr">
        <x:is>
          <x:t xml:space="preserve">independent nonprofit</x:t>
        </x:is>
      </x:c>
      <x:c r="I102" s="12" t="inlineStr">
        <x:is>
          <x:t xml:space="preserve">26-0535276</x:t>
        </x:is>
      </x:c>
      <x:c r="J102" s="14" t="n">
        <x:v>19278889</x:v>
      </x:c>
      <x:c r="K102" s="14" t="n">
        <x:v>22331511</x:v>
      </x:c>
      <x:c r="L102" s="12" t="n"/>
      <x:c r="M102" s="15" t="n">
        <x:v>76</x:v>
      </x:c>
      <x:c r="N102" s="12" t="inlineStr">
        <x:is>
          <x:t xml:space="preserve">selected quantitative reference organization</x:t>
        </x:is>
      </x:c>
      <x:c r="O102" s="14" t="inlineStr">
        <x:is>
          <x:t xml:space="preserve">yes</x:t>
        </x:is>
      </x:c>
      <x:c r="P102" s="14" t="n">
        <x:v>439759.1551415336</x:v>
      </x:c>
      <x:c r="Q102" s="14" t="n">
        <x:v>483903.4726578834</x:v>
      </x:c>
      <x:c r="R102" s="12" t="inlineStr">
        <x:is>
          <x:t xml:space="preserve">President</x:t>
        </x:is>
      </x:c>
      <x:c r="S102" s="14" t="n">
        <x:v>2024</x:v>
      </x:c>
      <x:c r="T102" s="16" t="inlineStr">
        <x:is>
          <x:t xml:space="preserve">https://projects.propublica.org/nonprofits/organizations/260535276</x:t>
        </x:is>
      </x:c>
      <x:c r="U102" s="16" t="inlineStr">
        <x:is>
          <x:t xml:space="preserve">https://apps.irs.gov/pub/epostcard/990/xml/2025/202543159349301669_public.xml</x:t>
        </x:is>
      </x:c>
      <x:c r="V102" s="13" t="inlineStr">
        <x:is>
          <x:t xml:space="preserve">Added by the second-expansion freeze and retained after role/scale verification; pay did not determine selection.</x:t>
        </x:is>
      </x:c>
    </x:row>
    <x:row r="103">
      <x:c r="A103" s="12" t="inlineStr">
        <x:is>
          <x:t xml:space="preserve">Animal Legal Defense Fund</x:t>
        </x:is>
      </x:c>
      <x:c r="B103" s="12" t="inlineStr">
        <x:is>
          <x:t xml:space="preserve">B</x:t>
        </x:is>
      </x:c>
      <x:c r="C103" s="12" t="inlineStr">
        <x:is>
          <x:t xml:space="preserve">Tier B weighted secondary</x:t>
        </x:is>
      </x:c>
      <x:c r="D103" s="12" t="inlineStr">
        <x:is>
          <x:t xml:space="preserve">first expansion</x:t>
        </x:is>
      </x:c>
      <x:c r="E103" s="12" t="inlineStr">
        <x:is>
          <x:t xml:space="preserve">Animal welfare and food systems</x:t>
        </x:is>
      </x:c>
      <x:c r="F103" s="12" t="inlineStr">
        <x:is>
          <x:t xml:space="preserve">EA-adjacent</x:t>
        </x:is>
      </x:c>
      <x:c r="G103" s="12" t="inlineStr">
        <x:is>
          <x:t xml:space="preserve">US</x:t>
        </x:is>
      </x:c>
      <x:c r="H103" s="12" t="inlineStr">
        <x:is>
          <x:t xml:space="preserve">independent nonprofit</x:t>
        </x:is>
      </x:c>
      <x:c r="I103" s="12" t="inlineStr">
        <x:is>
          <x:t xml:space="preserve">94-2681680</x:t>
        </x:is>
      </x:c>
      <x:c r="J103" s="14" t="n">
        <x:v>19716926</x:v>
      </x:c>
      <x:c r="K103" s="14" t="n">
        <x:v>17525202</x:v>
      </x:c>
      <x:c r="L103" s="12" t="n">
        <x:v>109</x:v>
      </x:c>
      <x:c r="M103" s="15" t="n">
        <x:v>75</x:v>
      </x:c>
      <x:c r="N103" s="12" t="inlineStr">
        <x:is>
          <x:t xml:space="preserve">selected quantitative reference organization</x:t>
        </x:is>
      </x:c>
      <x:c r="O103" s="14" t="inlineStr">
        <x:is>
          <x:t xml:space="preserve">yes</x:t>
        </x:is>
      </x:c>
      <x:c r="P103" s="14" t="n">
        <x:v>305616.6348584293</x:v>
      </x:c>
      <x:c r="Q103" s="14" t="n">
        <x:v>337350.0867388224</x:v>
      </x:c>
      <x:c r="R103" s="12" t="inlineStr">
        <x:is>
          <x:t xml:space="preserve">Executive Director</x:t>
        </x:is>
      </x:c>
      <x:c r="S103" s="14" t="n">
        <x:v>2024</x:v>
      </x:c>
      <x:c r="T103" s="16" t="inlineStr">
        <x:is>
          <x:t xml:space="preserve">https://projects.propublica.org/nonprofits/organizations/942681680</x:t>
        </x:is>
      </x:c>
      <x:c r="U103" s="16" t="inlineStr">
        <x:is>
          <x:t xml:space="preserve">https://apps.irs.gov/pub/epostcard/990/xml/2026/202631249349301878_public.xml</x:t>
        </x:is>
      </x:c>
      <x:c r="V103" s="13" t="inlineStr">
        <x:is>
          <x:t xml:space="preserve">Selected under the first expansion protocol before systematic pay review.</x:t>
        </x:is>
      </x:c>
    </x:row>
    <x:row r="104">
      <x:c r="A104" s="12" t="inlineStr">
        <x:is>
          <x:t xml:space="preserve">Bipartisan Policy Center</x:t>
        </x:is>
      </x:c>
      <x:c r="B104" s="12" t="inlineStr">
        <x:is>
          <x:t xml:space="preserve">B</x:t>
        </x:is>
      </x:c>
      <x:c r="C104" s="12" t="inlineStr">
        <x:is>
          <x:t xml:space="preserve">Tier B weighted secondary</x:t>
        </x:is>
      </x:c>
      <x:c r="D104" s="12" t="inlineStr">
        <x:is>
          <x:t xml:space="preserve">second expansion / filing verification</x:t>
        </x:is>
      </x:c>
      <x:c r="E104" s="13" t="inlineStr">
        <x:is>
          <x:t xml:space="preserve">Research, evaluation, philanthropy infrastructure, and policy</x:t>
        </x:is>
      </x:c>
      <x:c r="F104" s="12" t="inlineStr">
        <x:is>
          <x:t xml:space="preserve">functional-only</x:t>
        </x:is>
      </x:c>
      <x:c r="G104" s="12" t="inlineStr">
        <x:is>
          <x:t xml:space="preserve">US</x:t>
        </x:is>
      </x:c>
      <x:c r="H104" s="12" t="inlineStr">
        <x:is>
          <x:t xml:space="preserve">independent nonprofit</x:t>
        </x:is>
      </x:c>
      <x:c r="I104" s="12" t="inlineStr">
        <x:is>
          <x:t xml:space="preserve">73-1628382</x:t>
        </x:is>
      </x:c>
      <x:c r="J104" s="14" t="n">
        <x:v>37835818</x:v>
      </x:c>
      <x:c r="K104" s="14" t="n">
        <x:v>35378989</x:v>
      </x:c>
      <x:c r="L104" s="12" t="n"/>
      <x:c r="M104" s="15" t="n">
        <x:v>75</x:v>
      </x:c>
      <x:c r="N104" s="12" t="inlineStr">
        <x:is>
          <x:t xml:space="preserve">selected quantitative reference organization</x:t>
        </x:is>
      </x:c>
      <x:c r="O104" s="14" t="inlineStr">
        <x:is>
          <x:t xml:space="preserve">yes</x:t>
        </x:is>
      </x:c>
      <x:c r="P104" s="14" t="n">
        <x:v>1039871.718683005</x:v>
      </x:c>
      <x:c r="Q104" s="14" t="n">
        <x:v>1089044.677529165</x:v>
      </x:c>
      <x:c r="R104" s="12" t="inlineStr">
        <x:is>
          <x:t xml:space="preserve">President &amp; CEO</x:t>
        </x:is>
      </x:c>
      <x:c r="S104" s="14" t="n">
        <x:v>2024</x:v>
      </x:c>
      <x:c r="T104" s="16" t="inlineStr">
        <x:is>
          <x:t xml:space="preserve">https://projects.propublica.org/nonprofits/organizations/731628382</x:t>
        </x:is>
      </x:c>
      <x:c r="U104" s="16" t="inlineStr">
        <x:is>
          <x:t xml:space="preserve">https://apps.irs.gov/pub/epostcard/990/xml/2025/202513109349302561_public.xml</x:t>
        </x:is>
      </x:c>
      <x:c r="V104" s="13" t="inlineStr">
        <x:is>
          <x:t xml:space="preserve">Added by the second-expansion freeze and retained after role/scale verification; pay did not determine selection.</x:t>
        </x:is>
      </x:c>
    </x:row>
    <x:row r="105">
      <x:c r="A105" s="12" t="inlineStr">
        <x:is>
          <x:t xml:space="preserve">Exponent Philanthropy</x:t>
        </x:is>
      </x:c>
      <x:c r="B105" s="12" t="inlineStr">
        <x:is>
          <x:t xml:space="preserve">B</x:t>
        </x:is>
      </x:c>
      <x:c r="C105" s="12" t="inlineStr">
        <x:is>
          <x:t xml:space="preserve">Tier B weighted secondary</x:t>
        </x:is>
      </x:c>
      <x:c r="D105" s="12" t="inlineStr">
        <x:is>
          <x:t xml:space="preserve">first expansion</x:t>
        </x:is>
      </x:c>
      <x:c r="E105" s="13" t="inlineStr">
        <x:is>
          <x:t xml:space="preserve">Research, evaluation, philanthropy infrastructure, and policy</x:t>
        </x:is>
      </x:c>
      <x:c r="F105" s="12" t="inlineStr">
        <x:is>
          <x:t xml:space="preserve">functional-only</x:t>
        </x:is>
      </x:c>
      <x:c r="G105" s="12" t="inlineStr">
        <x:is>
          <x:t xml:space="preserve">US</x:t>
        </x:is>
      </x:c>
      <x:c r="H105" s="12" t="inlineStr">
        <x:is>
          <x:t xml:space="preserve">independent nonprofit</x:t>
        </x:is>
      </x:c>
      <x:c r="I105" s="12" t="inlineStr">
        <x:is>
          <x:t xml:space="preserve">65-0617866</x:t>
        </x:is>
      </x:c>
      <x:c r="J105" s="14" t="n">
        <x:v>3267087</x:v>
      </x:c>
      <x:c r="K105" s="14" t="n">
        <x:v>3343665</x:v>
      </x:c>
      <x:c r="L105" s="12" t="n">
        <x:v>19</x:v>
      </x:c>
      <x:c r="M105" s="15" t="n">
        <x:v>74</x:v>
      </x:c>
      <x:c r="N105" s="12" t="inlineStr">
        <x:is>
          <x:t xml:space="preserve">selected quantitative reference organization</x:t>
        </x:is>
      </x:c>
      <x:c r="O105" s="14" t="inlineStr">
        <x:is>
          <x:t xml:space="preserve">yes</x:t>
        </x:is>
      </x:c>
      <x:c r="P105" s="14" t="n">
        <x:v>308486.990653625</x:v>
      </x:c>
      <x:c r="Q105" s="14" t="n">
        <x:v>363769.5388065589</x:v>
      </x:c>
      <x:c r="R105" s="12" t="inlineStr">
        <x:is>
          <x:t xml:space="preserve">Chief Executive Officer</x:t>
        </x:is>
      </x:c>
      <x:c r="S105" s="14" t="n">
        <x:v>2025</x:v>
      </x:c>
      <x:c r="T105" s="16" t="inlineStr">
        <x:is>
          <x:t xml:space="preserve">https://projects.propublica.org/nonprofits/organizations/650617866</x:t>
        </x:is>
      </x:c>
      <x:c r="U105" s="16" t="inlineStr">
        <x:is>
          <x:t xml:space="preserve">https://apps.irs.gov/pub/epostcard/990/xml/2026/202621699349300132_public.xml</x:t>
        </x:is>
      </x:c>
      <x:c r="V105" s="13" t="inlineStr">
        <x:is>
          <x:t xml:space="preserve">Selected under the first expansion protocol before systematic pay review.</x:t>
        </x:is>
      </x:c>
    </x:row>
    <x:row r="106">
      <x:c r="A106" s="12" t="inlineStr">
        <x:is>
          <x:t xml:space="preserve">Results for America</x:t>
        </x:is>
      </x:c>
      <x:c r="B106" s="12" t="inlineStr">
        <x:is>
          <x:t xml:space="preserve">B</x:t>
        </x:is>
      </x:c>
      <x:c r="C106" s="12" t="inlineStr">
        <x:is>
          <x:t xml:space="preserve">secondary</x:t>
        </x:is>
      </x:c>
      <x:c r="D106" s="12" t="inlineStr">
        <x:is>
          <x:t xml:space="preserve">original frozen protocol / legacy bridge</x:t>
        </x:is>
      </x:c>
      <x:c r="E106" s="13" t="inlineStr">
        <x:is>
          <x:t xml:space="preserve">Research, evaluation, policy, or EA-adjacent evidence organization</x:t>
        </x:is>
      </x:c>
      <x:c r="F106" s="12" t="inlineStr">
        <x:is>
          <x:t xml:space="preserve">functional-only</x:t>
        </x:is>
      </x:c>
      <x:c r="G106" s="12" t="inlineStr">
        <x:is>
          <x:t xml:space="preserve">US</x:t>
        </x:is>
      </x:c>
      <x:c r="H106" s="12" t="inlineStr">
        <x:is>
          <x:t xml:space="preserve">independent nonprofit</x:t>
        </x:is>
      </x:c>
      <x:c r="I106" s="12" t="inlineStr">
        <x:is>
          <x:t xml:space="preserve">81-2709681</x:t>
        </x:is>
      </x:c>
      <x:c r="J106" s="14" t="n">
        <x:v>16801077</x:v>
      </x:c>
      <x:c r="K106" s="14" t="n">
        <x:v>24594265</x:v>
      </x:c>
      <x:c r="L106" s="12" t="n"/>
      <x:c r="M106" s="15" t="n">
        <x:v>74</x:v>
      </x:c>
      <x:c r="N106" s="12" t="inlineStr">
        <x:is>
          <x:t xml:space="preserve">selected quantitative reference organization</x:t>
        </x:is>
      </x:c>
      <x:c r="O106" s="14" t="inlineStr">
        <x:is>
          <x:t xml:space="preserve">yes</x:t>
        </x:is>
      </x:c>
      <x:c r="P106" s="14" t="n">
        <x:v>331430.4689498564</x:v>
      </x:c>
      <x:c r="Q106" s="14" t="n">
        <x:v>339069.2348649112</x:v>
      </x:c>
      <x:c r="R106" s="12" t="inlineStr">
        <x:is>
          <x:t xml:space="preserve">President &amp; CEO</x:t>
        </x:is>
      </x:c>
      <x:c r="S106" s="14" t="n">
        <x:v>2024</x:v>
      </x:c>
      <x:c r="T106" s="16" t="inlineStr">
        <x:is>
          <x:t xml:space="preserve">https://projects.propublica.org/nonprofits/organizations/812709681</x:t>
        </x:is>
      </x:c>
      <x:c r="U106" s="16" t="inlineStr">
        <x:is>
          <x:t xml:space="preserve">https://apps.irs.gov/pub/epostcard/990/xml/2025/202513179349309376_public.xml</x:t>
        </x:is>
      </x:c>
      <x:c r="V106" s="13" t="inlineStr">
        <x:is>
          <x:t xml:space="preserve">Selected under the original frozen protocol before compensation review; retained as a legacy bridge observation.</x:t>
        </x:is>
      </x:c>
    </x:row>
    <x:row r="107">
      <x:c r="A107" s="12" t="inlineStr">
        <x:is>
          <x:t xml:space="preserve">Compassion in World Farming USA</x:t>
        </x:is>
      </x:c>
      <x:c r="B107" s="12" t="inlineStr">
        <x:is>
          <x:t xml:space="preserve">B</x:t>
        </x:is>
      </x:c>
      <x:c r="C107" s="12" t="inlineStr">
        <x:is>
          <x:t xml:space="preserve">Tier B weighted secondary</x:t>
        </x:is>
      </x:c>
      <x:c r="D107" s="12" t="inlineStr">
        <x:is>
          <x:t xml:space="preserve">first expansion</x:t>
        </x:is>
      </x:c>
      <x:c r="E107" s="12" t="inlineStr">
        <x:is>
          <x:t xml:space="preserve">Animal welfare and food systems</x:t>
        </x:is>
      </x:c>
      <x:c r="F107" s="12" t="inlineStr">
        <x:is>
          <x:t xml:space="preserve">EA-adjacent</x:t>
        </x:is>
      </x:c>
      <x:c r="G107" s="12" t="inlineStr">
        <x:is>
          <x:t xml:space="preserve">US/international</x:t>
        </x:is>
      </x:c>
      <x:c r="H107" s="12" t="inlineStr">
        <x:is>
          <x:t xml:space="preserve">international nonprofit affiliate</x:t>
        </x:is>
      </x:c>
      <x:c r="I107" s="12" t="inlineStr">
        <x:is>
          <x:t xml:space="preserve">46-1822635</x:t>
        </x:is>
      </x:c>
      <x:c r="J107" s="14" t="n">
        <x:v>5182145</x:v>
      </x:c>
      <x:c r="K107" s="14" t="n">
        <x:v>3732086</x:v>
      </x:c>
      <x:c r="L107" s="12" t="n">
        <x:v>19</x:v>
      </x:c>
      <x:c r="M107" s="15" t="n">
        <x:v>73</x:v>
      </x:c>
      <x:c r="N107" s="12" t="inlineStr">
        <x:is>
          <x:t xml:space="preserve">selected quantitative reference organization</x:t>
        </x:is>
      </x:c>
      <x:c r="O107" s="14" t="inlineStr">
        <x:is>
          <x:t xml:space="preserve">not collected/clean observation unavailable</x:t>
        </x:is>
      </x:c>
      <x:c r="P107" s="14" t="n"/>
      <x:c r="Q107" s="14" t="n"/>
      <x:c r="R107" s="12" t="n"/>
      <x:c r="S107" s="14" t="n"/>
      <x:c r="T107" s="17" t="n"/>
      <x:c r="U107" s="17" t="n"/>
      <x:c r="V107" s="13" t="inlineStr">
        <x:is>
          <x:t xml:space="preserve">Selected under the first expansion protocol before systematic pay review.</x:t>
        </x:is>
      </x:c>
    </x:row>
    <x:row r="108">
      <x:c r="A108" s="12" t="inlineStr">
        <x:is>
          <x:t xml:space="preserve">Living Goods</x:t>
        </x:is>
      </x:c>
      <x:c r="B108" s="12" t="inlineStr">
        <x:is>
          <x:t xml:space="preserve">B</x:t>
        </x:is>
      </x:c>
      <x:c r="C108" s="12" t="inlineStr">
        <x:is>
          <x:t xml:space="preserve">Tier B weighted secondary</x:t>
        </x:is>
      </x:c>
      <x:c r="D108" s="12" t="inlineStr">
        <x:is>
          <x:t xml:space="preserve">first expansion</x:t>
        </x:is>
      </x:c>
      <x:c r="E108" s="12" t="inlineStr">
        <x:is>
          <x:t xml:space="preserve">Global health, development, and evidence</x:t>
        </x:is>
      </x:c>
      <x:c r="F108" s="12" t="inlineStr">
        <x:is>
          <x:t xml:space="preserve">EA-adjacent</x:t>
        </x:is>
      </x:c>
      <x:c r="G108" s="12" t="inlineStr">
        <x:is>
          <x:t xml:space="preserve">US/international</x:t>
        </x:is>
      </x:c>
      <x:c r="H108" s="12" t="inlineStr">
        <x:is>
          <x:t xml:space="preserve">independent nonprofit</x:t>
        </x:is>
      </x:c>
      <x:c r="I108" s="12" t="inlineStr">
        <x:is>
          <x:t xml:space="preserve">20-5010527</x:t>
        </x:is>
      </x:c>
      <x:c r="J108" s="14" t="n">
        <x:v>23777495</x:v>
      </x:c>
      <x:c r="K108" s="14" t="n">
        <x:v>25995769</x:v>
      </x:c>
      <x:c r="L108" s="12" t="n">
        <x:v>17</x:v>
      </x:c>
      <x:c r="M108" s="15" t="n">
        <x:v>73</x:v>
      </x:c>
      <x:c r="N108" s="12" t="inlineStr">
        <x:is>
          <x:t xml:space="preserve">selected quantitative reference organization</x:t>
        </x:is>
      </x:c>
      <x:c r="O108" s="14" t="inlineStr">
        <x:is>
          <x:t xml:space="preserve">yes</x:t>
        </x:is>
      </x:c>
      <x:c r="P108" s="14" t="n">
        <x:v>271231.6230716447</x:v>
      </x:c>
      <x:c r="Q108" s="14" t="n">
        <x:v>271231.6230716447</x:v>
      </x:c>
      <x:c r="R108" s="12" t="inlineStr">
        <x:is>
          <x:t xml:space="preserve">CEO/Officer</x:t>
        </x:is>
      </x:c>
      <x:c r="S108" s="14" t="n">
        <x:v>2023</x:v>
      </x:c>
      <x:c r="T108" s="16" t="inlineStr">
        <x:is>
          <x:t xml:space="preserve">https://projects.propublica.org/nonprofits/organizations/205010527</x:t>
        </x:is>
      </x:c>
      <x:c r="U108" s="16" t="inlineStr">
        <x:is>
          <x:t xml:space="preserve">https://apps.irs.gov/pub/epostcard/990/xml/2024/202433199349307518_public.xml</x:t>
        </x:is>
      </x:c>
      <x:c r="V108" s="13" t="inlineStr">
        <x:is>
          <x:t xml:space="preserve">Selected under the first expansion protocol before systematic pay review.</x:t>
        </x:is>
      </x:c>
    </x:row>
    <x:row r="109">
      <x:c r="A109" s="12" t="inlineStr">
        <x:is>
          <x:t xml:space="preserve">The Humane League</x:t>
        </x:is>
      </x:c>
      <x:c r="B109" s="12" t="inlineStr">
        <x:is>
          <x:t xml:space="preserve">B</x:t>
        </x:is>
      </x:c>
      <x:c r="C109" s="12" t="inlineStr">
        <x:is>
          <x:t xml:space="preserve">Tier B weighted secondary</x:t>
        </x:is>
      </x:c>
      <x:c r="D109" s="12" t="inlineStr">
        <x:is>
          <x:t xml:space="preserve">first expansion</x:t>
        </x:is>
      </x:c>
      <x:c r="E109" s="12" t="inlineStr">
        <x:is>
          <x:t xml:space="preserve">Animal welfare and food systems</x:t>
        </x:is>
      </x:c>
      <x:c r="F109" s="12" t="inlineStr">
        <x:is>
          <x:t xml:space="preserve">EA-adjacent</x:t>
        </x:is>
      </x:c>
      <x:c r="G109" s="12" t="inlineStr">
        <x:is>
          <x:t xml:space="preserve">US/international</x:t>
        </x:is>
      </x:c>
      <x:c r="H109" s="12" t="inlineStr">
        <x:is>
          <x:t xml:space="preserve">independent nonprofit</x:t>
        </x:is>
      </x:c>
      <x:c r="I109" s="12" t="inlineStr">
        <x:is>
          <x:t xml:space="preserve">04-3817491</x:t>
        </x:is>
      </x:c>
      <x:c r="J109" s="14" t="n">
        <x:v>22145897</x:v>
      </x:c>
      <x:c r="K109" s="14" t="n">
        <x:v>21682964</x:v>
      </x:c>
      <x:c r="L109" s="12" t="n">
        <x:v>112</x:v>
      </x:c>
      <x:c r="M109" s="15" t="n">
        <x:v>73</x:v>
      </x:c>
      <x:c r="N109" s="12" t="inlineStr">
        <x:is>
          <x:t xml:space="preserve">selected quantitative reference organization</x:t>
        </x:is>
      </x:c>
      <x:c r="O109" s="14" t="inlineStr">
        <x:is>
          <x:t xml:space="preserve">yes</x:t>
        </x:is>
      </x:c>
      <x:c r="P109" s="14" t="n">
        <x:v>237413.8239688694</x:v>
      </x:c>
      <x:c r="Q109" s="14" t="n">
        <x:v>261927.9182076931</x:v>
      </x:c>
      <x:c r="R109" s="12" t="inlineStr">
        <x:is>
          <x:t xml:space="preserve">President</x:t>
        </x:is>
      </x:c>
      <x:c r="S109" s="14" t="n">
        <x:v>2024</x:v>
      </x:c>
      <x:c r="T109" s="16" t="inlineStr">
        <x:is>
          <x:t xml:space="preserve">https://projects.propublica.org/nonprofits/organizations/043817491</x:t>
        </x:is>
      </x:c>
      <x:c r="U109" s="16" t="inlineStr">
        <x:is>
          <x:t xml:space="preserve">https://apps.irs.gov/pub/epostcard/990/xml/2025/202512489349301801_public.xml</x:t>
        </x:is>
      </x:c>
      <x:c r="V109" s="13" t="inlineStr">
        <x:is>
          <x:t xml:space="preserve">Selected under the first expansion protocol before systematic pay review.</x:t>
        </x:is>
      </x:c>
    </x:row>
    <x:row r="110">
      <x:c r="A110" s="12" t="inlineStr">
        <x:is>
          <x:t xml:space="preserve">Legal Priorities Project</x:t>
        </x:is>
      </x:c>
      <x:c r="B110" s="12" t="inlineStr">
        <x:is>
          <x:t xml:space="preserve">B</x:t>
        </x:is>
      </x:c>
      <x:c r="C110" s="12" t="inlineStr">
        <x:is>
          <x:t xml:space="preserve">Tier B weighted secondary</x:t>
        </x:is>
      </x:c>
      <x:c r="D110" s="12" t="inlineStr">
        <x:is>
          <x:t xml:space="preserve">first expansion</x:t>
        </x:is>
      </x:c>
      <x:c r="E110" s="13" t="inlineStr">
        <x:is>
          <x:t xml:space="preserve">AI, catastrophic risk, biosecurity, and technology policy</x:t>
        </x:is>
      </x:c>
      <x:c r="F110" s="12" t="inlineStr">
        <x:is>
          <x:t xml:space="preserve">EA-adjacent</x:t>
        </x:is>
      </x:c>
      <x:c r="G110" s="12" t="inlineStr">
        <x:is>
          <x:t xml:space="preserve">US/international</x:t>
        </x:is>
      </x:c>
      <x:c r="H110" s="12" t="inlineStr">
        <x:is>
          <x:t xml:space="preserve">nonprofit/project</x:t>
        </x:is>
      </x:c>
      <x:c r="I110" s="12" t="inlineStr">
        <x:is>
          <x:t xml:space="preserve">85-1024198</x:t>
        </x:is>
      </x:c>
      <x:c r="J110" s="14" t="n">
        <x:v>7852814</x:v>
      </x:c>
      <x:c r="K110" s="14" t="n">
        <x:v>2055293</x:v>
      </x:c>
      <x:c r="L110" s="12" t="n">
        <x:v>10</x:v>
      </x:c>
      <x:c r="M110" s="15" t="n">
        <x:v>72</x:v>
      </x:c>
      <x:c r="N110" s="12" t="inlineStr">
        <x:is>
          <x:t xml:space="preserve">selected quantitative reference organization</x:t>
        </x:is>
      </x:c>
      <x:c r="O110" s="14" t="inlineStr">
        <x:is>
          <x:t xml:space="preserve">not collected/clean observation unavailable</x:t>
        </x:is>
      </x:c>
      <x:c r="P110" s="14" t="n"/>
      <x:c r="Q110" s="14" t="n"/>
      <x:c r="R110" s="12" t="n"/>
      <x:c r="S110" s="14" t="n"/>
      <x:c r="T110" s="17" t="n"/>
      <x:c r="U110" s="17" t="n"/>
      <x:c r="V110" s="13" t="inlineStr">
        <x:is>
          <x:t xml:space="preserve">Selected under the first expansion protocol before systematic pay review.</x:t>
        </x:is>
      </x:c>
    </x:row>
    <x:row r="111">
      <x:c r="A111" s="12" t="inlineStr">
        <x:is>
          <x:t xml:space="preserve">Mercy For Animals</x:t>
        </x:is>
      </x:c>
      <x:c r="B111" s="12" t="inlineStr">
        <x:is>
          <x:t xml:space="preserve">B</x:t>
        </x:is>
      </x:c>
      <x:c r="C111" s="12" t="inlineStr">
        <x:is>
          <x:t xml:space="preserve">Tier B weighted secondary</x:t>
        </x:is>
      </x:c>
      <x:c r="D111" s="12" t="inlineStr">
        <x:is>
          <x:t xml:space="preserve">first expansion</x:t>
        </x:is>
      </x:c>
      <x:c r="E111" s="12" t="inlineStr">
        <x:is>
          <x:t xml:space="preserve">Animal welfare and food systems</x:t>
        </x:is>
      </x:c>
      <x:c r="F111" s="12" t="inlineStr">
        <x:is>
          <x:t xml:space="preserve">EA-adjacent</x:t>
        </x:is>
      </x:c>
      <x:c r="G111" s="12" t="inlineStr">
        <x:is>
          <x:t xml:space="preserve">US/international</x:t>
        </x:is>
      </x:c>
      <x:c r="H111" s="12" t="inlineStr">
        <x:is>
          <x:t xml:space="preserve">independent nonprofit</x:t>
        </x:is>
      </x:c>
      <x:c r="I111" s="12" t="inlineStr">
        <x:is>
          <x:t xml:space="preserve">54-2076145</x:t>
        </x:is>
      </x:c>
      <x:c r="J111" s="14" t="n">
        <x:v>23344663</x:v>
      </x:c>
      <x:c r="K111" s="14" t="n">
        <x:v>23908480</x:v>
      </x:c>
      <x:c r="L111" s="12" t="n">
        <x:v>133</x:v>
      </x:c>
      <x:c r="M111" s="15" t="n">
        <x:v>72</x:v>
      </x:c>
      <x:c r="N111" s="12" t="inlineStr">
        <x:is>
          <x:t xml:space="preserve">selected quantitative reference organization</x:t>
        </x:is>
      </x:c>
      <x:c r="O111" s="14" t="inlineStr">
        <x:is>
          <x:t xml:space="preserve">yes</x:t>
        </x:is>
      </x:c>
      <x:c r="P111" s="14" t="n">
        <x:v>207659.255287485</x:v>
      </x:c>
      <x:c r="Q111" s="14" t="n">
        <x:v>215410.8569309396</x:v>
      </x:c>
      <x:c r="R111" s="12" t="inlineStr">
        <x:is>
          <x:t xml:space="preserve">Chief Executive Officer</x:t>
        </x:is>
      </x:c>
      <x:c r="S111" s="14" t="n">
        <x:v>2024</x:v>
      </x:c>
      <x:c r="T111" s="16" t="inlineStr">
        <x:is>
          <x:t xml:space="preserve">https://projects.propublica.org/nonprofits/organizations/542076145</x:t>
        </x:is>
      </x:c>
      <x:c r="U111" s="16" t="inlineStr">
        <x:is>
          <x:t xml:space="preserve">https://apps.irs.gov/pub/epostcard/990/xml/2025/202502259349301135_public.xml</x:t>
        </x:is>
      </x:c>
      <x:c r="V111" s="13" t="inlineStr">
        <x:is>
          <x:t xml:space="preserve">Selected under the first expansion protocol before systematic pay review.</x:t>
        </x:is>
      </x:c>
    </x:row>
    <x:row r="112">
      <x:c r="A112" s="12" t="inlineStr">
        <x:is>
          <x:t xml:space="preserve">Village Enterprise</x:t>
        </x:is>
      </x:c>
      <x:c r="B112" s="12" t="inlineStr">
        <x:is>
          <x:t xml:space="preserve">B</x:t>
        </x:is>
      </x:c>
      <x:c r="C112" s="12" t="inlineStr">
        <x:is>
          <x:t xml:space="preserve">Tier B weighted secondary</x:t>
        </x:is>
      </x:c>
      <x:c r="D112" s="12" t="inlineStr">
        <x:is>
          <x:t xml:space="preserve">first expansion</x:t>
        </x:is>
      </x:c>
      <x:c r="E112" s="12" t="inlineStr">
        <x:is>
          <x:t xml:space="preserve">Global health, development, and evidence</x:t>
        </x:is>
      </x:c>
      <x:c r="F112" s="12" t="inlineStr">
        <x:is>
          <x:t xml:space="preserve">EA-adjacent</x:t>
        </x:is>
      </x:c>
      <x:c r="G112" s="12" t="inlineStr">
        <x:is>
          <x:t xml:space="preserve">US/international</x:t>
        </x:is>
      </x:c>
      <x:c r="H112" s="12" t="inlineStr">
        <x:is>
          <x:t xml:space="preserve">independent nonprofit</x:t>
        </x:is>
      </x:c>
      <x:c r="I112" s="12" t="inlineStr">
        <x:is>
          <x:t xml:space="preserve">22-2852248</x:t>
        </x:is>
      </x:c>
      <x:c r="J112" s="14" t="n">
        <x:v>21517758</x:v>
      </x:c>
      <x:c r="K112" s="14" t="n">
        <x:v>20984394</x:v>
      </x:c>
      <x:c r="L112" s="12" t="n">
        <x:v>19</x:v>
      </x:c>
      <x:c r="M112" s="15" t="n">
        <x:v>72</x:v>
      </x:c>
      <x:c r="N112" s="12" t="inlineStr">
        <x:is>
          <x:t xml:space="preserve">selected quantitative reference organization</x:t>
        </x:is>
      </x:c>
      <x:c r="O112" s="14" t="inlineStr">
        <x:is>
          <x:t xml:space="preserve">yes</x:t>
        </x:is>
      </x:c>
      <x:c r="P112" s="14" t="n">
        <x:v>291523.8781765157</x:v>
      </x:c>
      <x:c r="Q112" s="14" t="n">
        <x:v>321857.5283319511</x:v>
      </x:c>
      <x:c r="R112" s="12" t="inlineStr">
        <x:is>
          <x:t xml:space="preserve">CEO</x:t>
        </x:is>
      </x:c>
      <x:c r="S112" s="14" t="n">
        <x:v>2024</x:v>
      </x:c>
      <x:c r="T112" s="16" t="inlineStr">
        <x:is>
          <x:t xml:space="preserve">https://projects.propublica.org/nonprofits/organizations/222852248</x:t>
        </x:is>
      </x:c>
      <x:c r="U112" s="16" t="inlineStr">
        <x:is>
          <x:t xml:space="preserve">https://apps.irs.gov/pub/epostcard/990/xml/2026/202631359349301128_public.xml</x:t>
        </x:is>
      </x:c>
      <x:c r="V112" s="13" t="inlineStr">
        <x:is>
          <x:t xml:space="preserve">Selected under the first expansion protocol before systematic pay review.</x:t>
        </x:is>
      </x:c>
    </x:row>
    <x:row r="113">
      <x:c r="A113" s="12" t="inlineStr">
        <x:is>
          <x:t xml:space="preserve">Farm Sanctuary</x:t>
        </x:is>
      </x:c>
      <x:c r="B113" s="12" t="inlineStr">
        <x:is>
          <x:t xml:space="preserve">B</x:t>
        </x:is>
      </x:c>
      <x:c r="C113" s="12" t="inlineStr">
        <x:is>
          <x:t xml:space="preserve">Tier B weighted secondary</x:t>
        </x:is>
      </x:c>
      <x:c r="D113" s="12" t="inlineStr">
        <x:is>
          <x:t xml:space="preserve">first expansion</x:t>
        </x:is>
      </x:c>
      <x:c r="E113" s="12" t="inlineStr">
        <x:is>
          <x:t xml:space="preserve">Animal welfare and food systems</x:t>
        </x:is>
      </x:c>
      <x:c r="F113" s="12" t="inlineStr">
        <x:is>
          <x:t xml:space="preserve">EA-adjacent</x:t>
        </x:is>
      </x:c>
      <x:c r="G113" s="12" t="inlineStr">
        <x:is>
          <x:t xml:space="preserve">US</x:t>
        </x:is>
      </x:c>
      <x:c r="H113" s="12" t="inlineStr">
        <x:is>
          <x:t xml:space="preserve">independent nonprofit</x:t>
        </x:is>
      </x:c>
      <x:c r="I113" s="12" t="inlineStr">
        <x:is>
          <x:t xml:space="preserve">51-0292919</x:t>
        </x:is>
      </x:c>
      <x:c r="J113" s="14" t="n">
        <x:v>15439898</x:v>
      </x:c>
      <x:c r="K113" s="14" t="n">
        <x:v>15664603</x:v>
      </x:c>
      <x:c r="L113" s="12" t="n">
        <x:v>126</x:v>
      </x:c>
      <x:c r="M113" s="15" t="n">
        <x:v>71</x:v>
      </x:c>
      <x:c r="N113" s="12" t="inlineStr">
        <x:is>
          <x:t xml:space="preserve">selected quantitative reference organization</x:t>
        </x:is>
      </x:c>
      <x:c r="O113" s="14" t="inlineStr">
        <x:is>
          <x:t xml:space="preserve">yes</x:t>
        </x:is>
      </x:c>
      <x:c r="P113" s="14" t="n">
        <x:v>223326.0910677907</x:v>
      </x:c>
      <x:c r="Q113" s="14" t="n">
        <x:v>237253.6979268514</x:v>
      </x:c>
      <x:c r="R113" s="12" t="inlineStr">
        <x:is>
          <x:t xml:space="preserve">CEO</x:t>
        </x:is>
      </x:c>
      <x:c r="S113" s="14" t="n">
        <x:v>2023</x:v>
      </x:c>
      <x:c r="T113" s="16" t="inlineStr">
        <x:is>
          <x:t xml:space="preserve">https://projects.propublica.org/nonprofits/organizations/510292919</x:t>
        </x:is>
      </x:c>
      <x:c r="U113" s="16" t="inlineStr">
        <x:is>
          <x:t xml:space="preserve">https://apps.irs.gov/pub/epostcard/990/xml/2024/202422699349301652_public.xml</x:t>
        </x:is>
      </x:c>
      <x:c r="V113" s="13" t="inlineStr">
        <x:is>
          <x:t xml:space="preserve">Selected under the first expansion protocol before systematic pay review.</x:t>
        </x:is>
      </x:c>
    </x:row>
    <x:row r="114">
      <x:c r="A114" s="12" t="inlineStr">
        <x:is>
          <x:t xml:space="preserve">New Roots Institute</x:t>
        </x:is>
      </x:c>
      <x:c r="B114" s="12" t="inlineStr">
        <x:is>
          <x:t xml:space="preserve">B</x:t>
        </x:is>
      </x:c>
      <x:c r="C114" s="12" t="inlineStr">
        <x:is>
          <x:t xml:space="preserve">Tier B weighted secondary</x:t>
        </x:is>
      </x:c>
      <x:c r="D114" s="12" t="inlineStr">
        <x:is>
          <x:t xml:space="preserve">first expansion</x:t>
        </x:is>
      </x:c>
      <x:c r="E114" s="12" t="inlineStr">
        <x:is>
          <x:t xml:space="preserve">Animal welfare and food systems</x:t>
        </x:is>
      </x:c>
      <x:c r="F114" s="12" t="inlineStr">
        <x:is>
          <x:t xml:space="preserve">EA-adjacent</x:t>
        </x:is>
      </x:c>
      <x:c r="G114" s="12" t="inlineStr">
        <x:is>
          <x:t xml:space="preserve">US</x:t>
        </x:is>
      </x:c>
      <x:c r="H114" s="12" t="inlineStr">
        <x:is>
          <x:t xml:space="preserve">independent nonprofit</x:t>
        </x:is>
      </x:c>
      <x:c r="I114" s="12" t="inlineStr">
        <x:is>
          <x:t xml:space="preserve">82-4594246</x:t>
        </x:is>
      </x:c>
      <x:c r="J114" s="14" t="n">
        <x:v>3509009</x:v>
      </x:c>
      <x:c r="K114" s="14" t="n">
        <x:v>2260435</x:v>
      </x:c>
      <x:c r="L114" s="12" t="n">
        <x:v>36</x:v>
      </x:c>
      <x:c r="M114" s="15" t="n">
        <x:v>71</x:v>
      </x:c>
      <x:c r="N114" s="12" t="inlineStr">
        <x:is>
          <x:t xml:space="preserve">selected quantitative reference organization</x:t>
        </x:is>
      </x:c>
      <x:c r="O114" s="14" t="inlineStr">
        <x:is>
          <x:t xml:space="preserve">yes</x:t>
        </x:is>
      </x:c>
      <x:c r="P114" s="14" t="n">
        <x:v>94680.88549533959</x:v>
      </x:c>
      <x:c r="Q114" s="14" t="n">
        <x:v>101479.7703754198</x:v>
      </x:c>
      <x:c r="R114" s="12" t="inlineStr">
        <x:is>
          <x:t xml:space="preserve">Executive Director</x:t>
        </x:is>
      </x:c>
      <x:c r="S114" s="14" t="n">
        <x:v>2024</x:v>
      </x:c>
      <x:c r="T114" s="16" t="inlineStr">
        <x:is>
          <x:t xml:space="preserve">https://projects.propublica.org/nonprofits/organizations/824594246</x:t>
        </x:is>
      </x:c>
      <x:c r="U114" s="16" t="inlineStr">
        <x:is>
          <x:t xml:space="preserve">https://apps.irs.gov/pub/epostcard/990/xml/2025/202523519349301637_public.xml</x:t>
        </x:is>
      </x:c>
      <x:c r="V114" s="13" t="inlineStr">
        <x:is>
          <x:t xml:space="preserve">Selected under the first expansion protocol before systematic pay review.</x:t>
        </x:is>
      </x:c>
    </x:row>
    <x:row r="115">
      <x:c r="A115" s="12" t="inlineStr">
        <x:is>
          <x:t xml:space="preserve">Innovations for Poverty Action</x:t>
        </x:is>
      </x:c>
      <x:c r="B115" s="12" t="inlineStr">
        <x:is>
          <x:t xml:space="preserve">B</x:t>
        </x:is>
      </x:c>
      <x:c r="C115" s="12" t="inlineStr">
        <x:is>
          <x:t xml:space="preserve">Tier B weighted secondary</x:t>
        </x:is>
      </x:c>
      <x:c r="D115" s="12" t="inlineStr">
        <x:is>
          <x:t xml:space="preserve">first expansion</x:t>
        </x:is>
      </x:c>
      <x:c r="E115" s="12" t="inlineStr">
        <x:is>
          <x:t xml:space="preserve">Global health, development, and evidence</x:t>
        </x:is>
      </x:c>
      <x:c r="F115" s="12" t="inlineStr">
        <x:is>
          <x:t xml:space="preserve">EA-adjacent</x:t>
        </x:is>
      </x:c>
      <x:c r="G115" s="12" t="inlineStr">
        <x:is>
          <x:t xml:space="preserve">US/international</x:t>
        </x:is>
      </x:c>
      <x:c r="H115" s="12" t="inlineStr">
        <x:is>
          <x:t xml:space="preserve">independent nonprofit</x:t>
        </x:is>
      </x:c>
      <x:c r="I115" s="12" t="inlineStr">
        <x:is>
          <x:t xml:space="preserve">06-1660068</x:t>
        </x:is>
      </x:c>
      <x:c r="J115" s="14" t="n">
        <x:v>52795464</x:v>
      </x:c>
      <x:c r="K115" s="14" t="n">
        <x:v>57894421</x:v>
      </x:c>
      <x:c r="L115" s="12" t="n">
        <x:v>110</x:v>
      </x:c>
      <x:c r="M115" s="15" t="n">
        <x:v>70</x:v>
      </x:c>
      <x:c r="N115" s="12" t="inlineStr">
        <x:is>
          <x:t xml:space="preserve">selected quantitative reference organization</x:t>
        </x:is>
      </x:c>
      <x:c r="O115" s="14" t="inlineStr">
        <x:is>
          <x:t xml:space="preserve">yes</x:t>
        </x:is>
      </x:c>
      <x:c r="P115" s="14" t="n">
        <x:v>265288.5068355956</x:v>
      </x:c>
      <x:c r="Q115" s="14" t="n">
        <x:v>335746.9678051445</x:v>
      </x:c>
      <x:c r="R115" s="12" t="inlineStr">
        <x:is>
          <x:t xml:space="preserve">Executive Director</x:t>
        </x:is>
      </x:c>
      <x:c r="S115" s="14" t="n">
        <x:v>2024</x:v>
      </x:c>
      <x:c r="T115" s="16" t="inlineStr">
        <x:is>
          <x:t xml:space="preserve">https://projects.propublica.org/nonprofits/organizations/061660068</x:t>
        </x:is>
      </x:c>
      <x:c r="U115" s="16" t="inlineStr">
        <x:is>
          <x:t xml:space="preserve">https://apps.irs.gov/pub/epostcard/990/xml/2025/202513169349300641_public.xml</x:t>
        </x:is>
      </x:c>
      <x:c r="V115" s="13" t="inlineStr">
        <x:is>
          <x:t xml:space="preserve">Selected under the first expansion protocol before systematic pay review.</x:t>
        </x:is>
      </x:c>
    </x:row>
    <x:row r="116">
      <x:c r="A116" s="12" t="inlineStr">
        <x:is>
          <x:t xml:space="preserve">Evidence Action</x:t>
        </x:is>
      </x:c>
      <x:c r="B116" s="12" t="inlineStr">
        <x:is>
          <x:t xml:space="preserve">B</x:t>
        </x:is>
      </x:c>
      <x:c r="C116" s="12" t="inlineStr">
        <x:is>
          <x:t xml:space="preserve">Tier B weighted secondary</x:t>
        </x:is>
      </x:c>
      <x:c r="D116" s="12" t="inlineStr">
        <x:is>
          <x:t xml:space="preserve">first expansion</x:t>
        </x:is>
      </x:c>
      <x:c r="E116" s="12" t="inlineStr">
        <x:is>
          <x:t xml:space="preserve">Global health, development, and evidence</x:t>
        </x:is>
      </x:c>
      <x:c r="F116" s="12" t="inlineStr">
        <x:is>
          <x:t xml:space="preserve">EA-adjacent</x:t>
        </x:is>
      </x:c>
      <x:c r="G116" s="12" t="inlineStr">
        <x:is>
          <x:t xml:space="preserve">US/international</x:t>
        </x:is>
      </x:c>
      <x:c r="H116" s="12" t="inlineStr">
        <x:is>
          <x:t xml:space="preserve">independent nonprofit</x:t>
        </x:is>
      </x:c>
      <x:c r="I116" s="12" t="inlineStr">
        <x:is>
          <x:t xml:space="preserve">90-0874591</x:t>
        </x:is>
      </x:c>
      <x:c r="J116" s="14" t="n">
        <x:v>36213681</x:v>
      </x:c>
      <x:c r="K116" s="14" t="n">
        <x:v>45139532</x:v>
      </x:c>
      <x:c r="L116" s="12" t="n">
        <x:v>98</x:v>
      </x:c>
      <x:c r="M116" s="15" t="n">
        <x:v>69</x:v>
      </x:c>
      <x:c r="N116" s="12" t="inlineStr">
        <x:is>
          <x:t xml:space="preserve">selected quantitative reference organization</x:t>
        </x:is>
      </x:c>
      <x:c r="O116" s="14" t="inlineStr">
        <x:is>
          <x:t xml:space="preserve">yes</x:t>
        </x:is>
      </x:c>
      <x:c r="P116" s="14" t="n">
        <x:v>410641.1502864038</x:v>
      </x:c>
      <x:c r="Q116" s="14" t="n">
        <x:v>459502.2141474593</x:v>
      </x:c>
      <x:c r="R116" s="12" t="inlineStr">
        <x:is>
          <x:t xml:space="preserve">Chief Executive Officer</x:t>
        </x:is>
      </x:c>
      <x:c r="S116" s="14" t="n">
        <x:v>2024</x:v>
      </x:c>
      <x:c r="T116" s="16" t="inlineStr">
        <x:is>
          <x:t xml:space="preserve">https://projects.propublica.org/nonprofits/organizations/900874591</x:t>
        </x:is>
      </x:c>
      <x:c r="U116" s="16" t="inlineStr">
        <x:is>
          <x:t xml:space="preserve">https://apps.irs.gov/pub/epostcard/990/xml/2025/202512829349302256_public.xml</x:t>
        </x:is>
      </x:c>
      <x:c r="V116" s="13" t="inlineStr">
        <x:is>
          <x:t xml:space="preserve">Selected under the first expansion protocol before systematic pay review.</x:t>
        </x:is>
      </x:c>
    </x:row>
    <x:row r="117">
      <x:c r="A117" s="12" t="inlineStr">
        <x:is>
          <x:t xml:space="preserve">Guttmacher Institute</x:t>
        </x:is>
      </x:c>
      <x:c r="B117" s="12" t="inlineStr">
        <x:is>
          <x:t xml:space="preserve">B</x:t>
        </x:is>
      </x:c>
      <x:c r="C117" s="12" t="inlineStr">
        <x:is>
          <x:t xml:space="preserve">Tier B weighted secondary</x:t>
        </x:is>
      </x:c>
      <x:c r="D117" s="12" t="inlineStr">
        <x:is>
          <x:t xml:space="preserve">first expansion</x:t>
        </x:is>
      </x:c>
      <x:c r="E117" s="13" t="inlineStr">
        <x:is>
          <x:t xml:space="preserve">Research, evaluation, philanthropy infrastructure, and policy</x:t>
        </x:is>
      </x:c>
      <x:c r="F117" s="12" t="inlineStr">
        <x:is>
          <x:t xml:space="preserve">functional-only</x:t>
        </x:is>
      </x:c>
      <x:c r="G117" s="12" t="inlineStr">
        <x:is>
          <x:t xml:space="preserve">US/international</x:t>
        </x:is>
      </x:c>
      <x:c r="H117" s="12" t="inlineStr">
        <x:is>
          <x:t xml:space="preserve">independent nonprofit</x:t>
        </x:is>
      </x:c>
      <x:c r="I117" s="12" t="inlineStr">
        <x:is>
          <x:t xml:space="preserve">13-2890727</x:t>
        </x:is>
      </x:c>
      <x:c r="J117" s="14" t="n">
        <x:v>26498213</x:v>
      </x:c>
      <x:c r="K117" s="14" t="n">
        <x:v>35282055</x:v>
      </x:c>
      <x:c r="L117" s="12" t="n">
        <x:v>145</x:v>
      </x:c>
      <x:c r="M117" s="15" t="n">
        <x:v>68</x:v>
      </x:c>
      <x:c r="N117" s="12" t="inlineStr">
        <x:is>
          <x:t xml:space="preserve">selected quantitative reference organization</x:t>
        </x:is>
      </x:c>
      <x:c r="O117" s="14" t="inlineStr">
        <x:is>
          <x:t xml:space="preserve">yes</x:t>
        </x:is>
      </x:c>
      <x:c r="P117" s="14" t="n">
        <x:v>423377.7419828809</x:v>
      </x:c>
      <x:c r="Q117" s="14" t="n">
        <x:v>478591.6489313356</x:v>
      </x:c>
      <x:c r="R117" s="12" t="inlineStr">
        <x:is>
          <x:t xml:space="preserve">President &amp; CEO</x:t>
        </x:is>
      </x:c>
      <x:c r="S117" s="14" t="n">
        <x:v>2022</x:v>
      </x:c>
      <x:c r="T117" s="16" t="inlineStr">
        <x:is>
          <x:t xml:space="preserve">https://projects.propublica.org/nonprofits/organizations/132890727</x:t>
        </x:is>
      </x:c>
      <x:c r="U117" s="16" t="inlineStr">
        <x:is>
          <x:t xml:space="preserve">https://apps.irs.gov/pub/epostcard/990/xml/2023/202341989349301459_public.xml</x:t>
        </x:is>
      </x:c>
      <x:c r="V117" s="13" t="inlineStr">
        <x:is>
          <x:t xml:space="preserve">Selected under the first expansion protocol before systematic pay review.</x:t>
        </x:is>
      </x:c>
    </x:row>
    <x:row r="118">
      <x:c r="A118" s="12" t="inlineStr">
        <x:is>
          <x:t xml:space="preserve">Redwood Research</x:t>
        </x:is>
      </x:c>
      <x:c r="B118" s="12" t="inlineStr">
        <x:is>
          <x:t xml:space="preserve">B</x:t>
        </x:is>
      </x:c>
      <x:c r="C118" s="12" t="inlineStr">
        <x:is>
          <x:t xml:space="preserve">Tier B weighted secondary</x:t>
        </x:is>
      </x:c>
      <x:c r="D118" s="12" t="inlineStr">
        <x:is>
          <x:t xml:space="preserve">first expansion</x:t>
        </x:is>
      </x:c>
      <x:c r="E118" s="13" t="inlineStr">
        <x:is>
          <x:t xml:space="preserve">AI, catastrophic risk, biosecurity, and technology policy</x:t>
        </x:is>
      </x:c>
      <x:c r="F118" s="12" t="inlineStr">
        <x:is>
          <x:t xml:space="preserve">EA-adjacent</x:t>
        </x:is>
      </x:c>
      <x:c r="G118" s="12" t="inlineStr">
        <x:is>
          <x:t xml:space="preserve">US</x:t>
        </x:is>
      </x:c>
      <x:c r="H118" s="12" t="inlineStr">
        <x:is>
          <x:t xml:space="preserve">independent nonprofit</x:t>
        </x:is>
      </x:c>
      <x:c r="I118" s="12" t="inlineStr">
        <x:is>
          <x:t xml:space="preserve">87-1702255</x:t>
        </x:is>
      </x:c>
      <x:c r="J118" s="14" t="n">
        <x:v>22060</x:v>
      </x:c>
      <x:c r="K118" s="14" t="n">
        <x:v>2922498</x:v>
      </x:c>
      <x:c r="L118" s="12" t="n">
        <x:v>6</x:v>
      </x:c>
      <x:c r="M118" s="15" t="n">
        <x:v>66</x:v>
      </x:c>
      <x:c r="N118" s="12" t="inlineStr">
        <x:is>
          <x:t xml:space="preserve">selected quantitative reference organization</x:t>
        </x:is>
      </x:c>
      <x:c r="O118" s="14" t="inlineStr">
        <x:is>
          <x:t xml:space="preserve">yes</x:t>
        </x:is>
      </x:c>
      <x:c r="P118" s="14" t="n">
        <x:v>289715.3130581101</x:v>
      </x:c>
      <x:c r="Q118" s="14" t="n">
        <x:v>301745.0919887171</x:v>
      </x:c>
      <x:c r="R118" s="12" t="inlineStr">
        <x:is>
          <x:t xml:space="preserve">CEO, Director</x:t>
        </x:is>
      </x:c>
      <x:c r="S118" s="14" t="n">
        <x:v>2024</x:v>
      </x:c>
      <x:c r="T118" s="16" t="inlineStr">
        <x:is>
          <x:t xml:space="preserve">https://projects.propublica.org/nonprofits/organizations/871702255</x:t>
        </x:is>
      </x:c>
      <x:c r="U118" s="16" t="inlineStr">
        <x:is>
          <x:t xml:space="preserve">https://apps.irs.gov/pub/epostcard/990/xml/2025/202503199349302920_public.xml</x:t>
        </x:is>
      </x:c>
      <x:c r="V118" s="13" t="inlineStr">
        <x:is>
          <x:t xml:space="preserve">Selected under the first expansion protocol before systematic pay review.</x:t>
        </x:is>
      </x:c>
    </x:row>
    <x:row r="119">
      <x:c r="A119" s="12" t="inlineStr">
        <x:is>
          <x:t xml:space="preserve">Charter Cities Institute</x:t>
        </x:is>
      </x:c>
      <x:c r="B119" s="12" t="inlineStr">
        <x:is>
          <x:t xml:space="preserve">B</x:t>
        </x:is>
      </x:c>
      <x:c r="C119" s="12" t="inlineStr">
        <x:is>
          <x:t xml:space="preserve">Tier B weighted secondary</x:t>
        </x:is>
      </x:c>
      <x:c r="D119" s="12" t="inlineStr">
        <x:is>
          <x:t xml:space="preserve">first expansion</x:t>
        </x:is>
      </x:c>
      <x:c r="E119" s="12" t="inlineStr">
        <x:is>
          <x:t xml:space="preserve">Global health, development, and evidence</x:t>
        </x:is>
      </x:c>
      <x:c r="F119" s="12" t="inlineStr">
        <x:is>
          <x:t xml:space="preserve">EA-adjacent</x:t>
        </x:is>
      </x:c>
      <x:c r="G119" s="12" t="inlineStr">
        <x:is>
          <x:t xml:space="preserve">US/international</x:t>
        </x:is>
      </x:c>
      <x:c r="H119" s="12" t="inlineStr">
        <x:is>
          <x:t xml:space="preserve">independent nonprofit</x:t>
        </x:is>
      </x:c>
      <x:c r="I119" s="12" t="inlineStr">
        <x:is>
          <x:t xml:space="preserve">82-3264419</x:t>
        </x:is>
      </x:c>
      <x:c r="J119" s="14" t="n">
        <x:v>1260681</x:v>
      </x:c>
      <x:c r="K119" s="14" t="n">
        <x:v>2680500</x:v>
      </x:c>
      <x:c r="L119" s="12" t="n">
        <x:v>11</x:v>
      </x:c>
      <x:c r="M119" s="15" t="n">
        <x:v>64</x:v>
      </x:c>
      <x:c r="N119" s="12" t="inlineStr">
        <x:is>
          <x:t xml:space="preserve">selected quantitative reference organization</x:t>
        </x:is>
      </x:c>
      <x:c r="O119" s="14" t="inlineStr">
        <x:is>
          <x:t xml:space="preserve">not collected/clean observation unavailable</x:t>
        </x:is>
      </x:c>
      <x:c r="P119" s="14" t="n"/>
      <x:c r="Q119" s="14" t="n"/>
      <x:c r="R119" s="12" t="n"/>
      <x:c r="S119" s="14" t="n"/>
      <x:c r="T119" s="17" t="n"/>
      <x:c r="U119" s="17" t="n"/>
      <x:c r="V119" s="13" t="inlineStr">
        <x:is>
          <x:t xml:space="preserve">Selected under the first expansion protocol before systematic pay review.</x:t>
        </x:is>
      </x:c>
    </x:row>
    <x:row r="120">
      <x:c r="A120" s="12" t="inlineStr">
        <x:is>
          <x:t xml:space="preserve">Faunalytics</x:t>
        </x:is>
      </x:c>
      <x:c r="B120" s="12" t="inlineStr">
        <x:is>
          <x:t xml:space="preserve">B</x:t>
        </x:is>
      </x:c>
      <x:c r="C120" s="12" t="inlineStr">
        <x:is>
          <x:t xml:space="preserve">Tier B weighted secondary</x:t>
        </x:is>
      </x:c>
      <x:c r="D120" s="12" t="inlineStr">
        <x:is>
          <x:t xml:space="preserve">first expansion</x:t>
        </x:is>
      </x:c>
      <x:c r="E120" s="12" t="inlineStr">
        <x:is>
          <x:t xml:space="preserve">Animal welfare and food systems</x:t>
        </x:is>
      </x:c>
      <x:c r="F120" s="12" t="inlineStr">
        <x:is>
          <x:t xml:space="preserve">EA-adjacent</x:t>
        </x:is>
      </x:c>
      <x:c r="G120" s="12" t="inlineStr">
        <x:is>
          <x:t xml:space="preserve">US</x:t>
        </x:is>
      </x:c>
      <x:c r="H120" s="12" t="inlineStr">
        <x:is>
          <x:t xml:space="preserve">independent nonprofit</x:t>
        </x:is>
      </x:c>
      <x:c r="I120" s="12" t="inlineStr">
        <x:is>
          <x:t xml:space="preserve">01-0686889</x:t>
        </x:is>
      </x:c>
      <x:c r="J120" s="14" t="n">
        <x:v>1485925</x:v>
      </x:c>
      <x:c r="K120" s="14" t="n">
        <x:v>1239663</x:v>
      </x:c>
      <x:c r="L120" s="12" t="n">
        <x:v>9</x:v>
      </x:c>
      <x:c r="M120" s="15" t="n">
        <x:v>64</x:v>
      </x:c>
      <x:c r="N120" s="12" t="inlineStr">
        <x:is>
          <x:t xml:space="preserve">selected quantitative reference organization</x:t>
        </x:is>
      </x:c>
      <x:c r="O120" s="14" t="inlineStr">
        <x:is>
          <x:t xml:space="preserve">not collected/clean observation unavailable</x:t>
        </x:is>
      </x:c>
      <x:c r="P120" s="14" t="n"/>
      <x:c r="Q120" s="14" t="n"/>
      <x:c r="R120" s="12" t="n"/>
      <x:c r="S120" s="14" t="n"/>
      <x:c r="T120" s="17" t="n"/>
      <x:c r="U120" s="17" t="n"/>
      <x:c r="V120" s="13" t="inlineStr">
        <x:is>
          <x:t xml:space="preserve">Selected under the first expansion protocol before systematic pay review.</x:t>
        </x:is>
      </x:c>
    </x:row>
    <x:row r="121">
      <x:c r="A121" s="12" t="inlineStr">
        <x:is>
          <x:t xml:space="preserve">One for the World</x:t>
        </x:is>
      </x:c>
      <x:c r="B121" s="12" t="inlineStr">
        <x:is>
          <x:t xml:space="preserve">B</x:t>
        </x:is>
      </x:c>
      <x:c r="C121" s="12" t="inlineStr">
        <x:is>
          <x:t xml:space="preserve">Tier B weighted secondary</x:t>
        </x:is>
      </x:c>
      <x:c r="D121" s="12" t="inlineStr">
        <x:is>
          <x:t xml:space="preserve">first expansion</x:t>
        </x:is>
      </x:c>
      <x:c r="E121" s="12" t="inlineStr">
        <x:is>
          <x:t xml:space="preserve">EA infrastructure and effective giving</x:t>
        </x:is>
      </x:c>
      <x:c r="F121" s="12" t="inlineStr">
        <x:is>
          <x:t xml:space="preserve">EA-core</x:t>
        </x:is>
      </x:c>
      <x:c r="G121" s="12" t="inlineStr">
        <x:is>
          <x:t xml:space="preserve">US</x:t>
        </x:is>
      </x:c>
      <x:c r="H121" s="12" t="inlineStr">
        <x:is>
          <x:t xml:space="preserve">independent nonprofit</x:t>
        </x:is>
      </x:c>
      <x:c r="I121" s="12" t="inlineStr">
        <x:is>
          <x:t xml:space="preserve">84-2124550</x:t>
        </x:is>
      </x:c>
      <x:c r="J121" s="14" t="n">
        <x:v>1778085</x:v>
      </x:c>
      <x:c r="K121" s="14" t="n">
        <x:v>2188287</x:v>
      </x:c>
      <x:c r="L121" s="12" t="n">
        <x:v>4</x:v>
      </x:c>
      <x:c r="M121" s="15" t="n">
        <x:v>64</x:v>
      </x:c>
      <x:c r="N121" s="12" t="inlineStr">
        <x:is>
          <x:t xml:space="preserve">selected quantitative reference organization</x:t>
        </x:is>
      </x:c>
      <x:c r="O121" s="14" t="inlineStr">
        <x:is>
          <x:t xml:space="preserve">not collected/clean observation unavailable</x:t>
        </x:is>
      </x:c>
      <x:c r="P121" s="14" t="n"/>
      <x:c r="Q121" s="14" t="n"/>
      <x:c r="R121" s="12" t="n"/>
      <x:c r="S121" s="14" t="n"/>
      <x:c r="T121" s="17" t="n"/>
      <x:c r="U121" s="17" t="n"/>
      <x:c r="V121" s="13" t="inlineStr">
        <x:is>
          <x:t xml:space="preserve">Selected under the first expansion protocol before systematic pay review.</x:t>
        </x:is>
      </x:c>
    </x:row>
    <x:row r="122">
      <x:c r="A122" s="12" t="inlineStr">
        <x:is>
          <x:t xml:space="preserve">Vegan Outreach</x:t>
        </x:is>
      </x:c>
      <x:c r="B122" s="12" t="inlineStr">
        <x:is>
          <x:t xml:space="preserve">B</x:t>
        </x:is>
      </x:c>
      <x:c r="C122" s="12" t="inlineStr">
        <x:is>
          <x:t xml:space="preserve">Tier B weighted secondary</x:t>
        </x:is>
      </x:c>
      <x:c r="D122" s="12" t="inlineStr">
        <x:is>
          <x:t xml:space="preserve">first expansion</x:t>
        </x:is>
      </x:c>
      <x:c r="E122" s="12" t="inlineStr">
        <x:is>
          <x:t xml:space="preserve">Animal welfare and food systems</x:t>
        </x:is>
      </x:c>
      <x:c r="F122" s="12" t="inlineStr">
        <x:is>
          <x:t xml:space="preserve">EA-adjacent</x:t>
        </x:is>
      </x:c>
      <x:c r="G122" s="12" t="inlineStr">
        <x:is>
          <x:t xml:space="preserve">US/international</x:t>
        </x:is>
      </x:c>
      <x:c r="H122" s="12" t="inlineStr">
        <x:is>
          <x:t xml:space="preserve">independent nonprofit</x:t>
        </x:is>
      </x:c>
      <x:c r="I122" s="12" t="inlineStr">
        <x:is>
          <x:t xml:space="preserve">86-0736818</x:t>
        </x:is>
      </x:c>
      <x:c r="J122" s="14" t="n">
        <x:v>2830220</x:v>
      </x:c>
      <x:c r="K122" s="14" t="n">
        <x:v>2456187</x:v>
      </x:c>
      <x:c r="L122" s="12" t="n">
        <x:v>22</x:v>
      </x:c>
      <x:c r="M122" s="15" t="n">
        <x:v>62</x:v>
      </x:c>
      <x:c r="N122" s="12" t="inlineStr">
        <x:is>
          <x:t xml:space="preserve">selected quantitative reference organization</x:t>
        </x:is>
      </x:c>
      <x:c r="O122" s="14" t="inlineStr">
        <x:is>
          <x:t xml:space="preserve">not collected/clean observation unavailable</x:t>
        </x:is>
      </x:c>
      <x:c r="P122" s="14" t="n"/>
      <x:c r="Q122" s="14" t="n"/>
      <x:c r="R122" s="12" t="n"/>
      <x:c r="S122" s="14" t="n"/>
      <x:c r="T122" s="17" t="n"/>
      <x:c r="U122" s="17" t="n"/>
      <x:c r="V122" s="13" t="inlineStr">
        <x:is>
          <x:t xml:space="preserve">Selected under the first expansion protocol before systematic pay review.</x:t>
        </x:is>
      </x:c>
    </x:row>
    <x:row r="123">
      <x:c r="A123" s="12" t="inlineStr">
        <x:is>
          <x:t xml:space="preserve">Clean Air Task Force</x:t>
        </x:is>
      </x:c>
      <x:c r="B123" s="12" t="inlineStr">
        <x:is>
          <x:t xml:space="preserve">C</x:t>
        </x:is>
      </x:c>
      <x:c r="C123" s="12" t="inlineStr">
        <x:is>
          <x:t xml:space="preserve">Tier C broad sensitivity</x:t>
        </x:is>
      </x:c>
      <x:c r="D123" s="12" t="inlineStr">
        <x:is>
          <x:t xml:space="preserve">second expansion / filing verification</x:t>
        </x:is>
      </x:c>
      <x:c r="E123" s="12" t="inlineStr">
        <x:is>
          <x:t xml:space="preserve">Climate, environment, and evidence</x:t>
        </x:is>
      </x:c>
      <x:c r="F123" s="12" t="inlineStr">
        <x:is>
          <x:t xml:space="preserve">EA-adjacent</x:t>
        </x:is>
      </x:c>
      <x:c r="G123" s="12" t="inlineStr">
        <x:is>
          <x:t xml:space="preserve">US/international</x:t>
        </x:is>
      </x:c>
      <x:c r="H123" s="12" t="inlineStr">
        <x:is>
          <x:t xml:space="preserve">independent nonprofit</x:t>
        </x:is>
      </x:c>
      <x:c r="I123" s="12" t="inlineStr">
        <x:is>
          <x:t xml:space="preserve">04-3512550</x:t>
        </x:is>
      </x:c>
      <x:c r="J123" s="14" t="n">
        <x:v>50064607</x:v>
      </x:c>
      <x:c r="K123" s="14" t="n">
        <x:v>40445925</x:v>
      </x:c>
      <x:c r="L123" s="12" t="n"/>
      <x:c r="M123" s="15" t="n">
        <x:v>75</x:v>
      </x:c>
      <x:c r="N123" s="12" t="inlineStr">
        <x:is>
          <x:t xml:space="preserve">selected quantitative reference organization</x:t>
        </x:is>
      </x:c>
      <x:c r="O123" s="14" t="inlineStr">
        <x:is>
          <x:t xml:space="preserve">yes</x:t>
        </x:is>
      </x:c>
      <x:c r="P123" s="14" t="n">
        <x:v>372932.7272408486</x:v>
      </x:c>
      <x:c r="Q123" s="14" t="n">
        <x:v>421127.421611544</x:v>
      </x:c>
      <x:c r="R123" s="12" t="inlineStr">
        <x:is>
          <x:t xml:space="preserve">Executive Director</x:t>
        </x:is>
      </x:c>
      <x:c r="S123" s="14" t="n">
        <x:v>2024</x:v>
      </x:c>
      <x:c r="T123" s="16" t="inlineStr">
        <x:is>
          <x:t xml:space="preserve">https://projects.propublica.org/nonprofits/organizations/043512550</x:t>
        </x:is>
      </x:c>
      <x:c r="U123" s="16" t="inlineStr">
        <x:is>
          <x:t xml:space="preserve">https://apps.irs.gov/pub/epostcard/990/xml/2025/202522829349300322_public.xml</x:t>
        </x:is>
      </x:c>
      <x:c r="V123" s="13" t="inlineStr">
        <x:is>
          <x:t xml:space="preserve">Added by the second-expansion freeze and retained after role/scale verification; pay did not determine selection.</x:t>
        </x:is>
      </x:c>
    </x:row>
    <x:row r="124">
      <x:c r="A124" s="12" t="inlineStr">
        <x:is>
          <x:t xml:space="preserve">Vera Institute of Justice</x:t>
        </x:is>
      </x:c>
      <x:c r="B124" s="12" t="inlineStr">
        <x:is>
          <x:t xml:space="preserve">C</x:t>
        </x:is>
      </x:c>
      <x:c r="C124" s="12" t="inlineStr">
        <x:is>
          <x:t xml:space="preserve">Tier C broad sensitivity</x:t>
        </x:is>
      </x:c>
      <x:c r="D124" s="12" t="inlineStr">
        <x:is>
          <x:t xml:space="preserve">second expansion / filing verification</x:t>
        </x:is>
      </x:c>
      <x:c r="E124" s="13" t="inlineStr">
        <x:is>
          <x:t xml:space="preserve">Research, evaluation, philanthropy infrastructure, and policy</x:t>
        </x:is>
      </x:c>
      <x:c r="F124" s="12" t="inlineStr">
        <x:is>
          <x:t xml:space="preserve">functional-only</x:t>
        </x:is>
      </x:c>
      <x:c r="G124" s="12" t="inlineStr">
        <x:is>
          <x:t xml:space="preserve">US</x:t>
        </x:is>
      </x:c>
      <x:c r="H124" s="12" t="inlineStr">
        <x:is>
          <x:t xml:space="preserve">independent nonprofit</x:t>
        </x:is>
      </x:c>
      <x:c r="I124" s="12" t="inlineStr">
        <x:is>
          <x:t xml:space="preserve">13-1941627</x:t>
        </x:is>
      </x:c>
      <x:c r="J124" s="14" t="n">
        <x:v>40162188</x:v>
      </x:c>
      <x:c r="K124" s="14" t="n">
        <x:v>50053981</x:v>
      </x:c>
      <x:c r="L124" s="12" t="n"/>
      <x:c r="M124" s="15" t="n">
        <x:v>72</x:v>
      </x:c>
      <x:c r="N124" s="12" t="inlineStr">
        <x:is>
          <x:t xml:space="preserve">selected quantitative reference organization</x:t>
        </x:is>
      </x:c>
      <x:c r="O124" s="14" t="inlineStr">
        <x:is>
          <x:t xml:space="preserve">yes</x:t>
        </x:is>
      </x:c>
      <x:c r="P124" s="14" t="n">
        <x:v>635108.6711534201</x:v>
      </x:c>
      <x:c r="Q124" s="14" t="n">
        <x:v>705931.1870202584</x:v>
      </x:c>
      <x:c r="R124" s="12" t="inlineStr">
        <x:is>
          <x:t xml:space="preserve">President</x:t>
        </x:is>
      </x:c>
      <x:c r="S124" s="14" t="n">
        <x:v>2024</x:v>
      </x:c>
      <x:c r="T124" s="16" t="inlineStr">
        <x:is>
          <x:t xml:space="preserve">https://projects.propublica.org/nonprofits/organizations/131941627</x:t>
        </x:is>
      </x:c>
      <x:c r="U124" s="16" t="inlineStr">
        <x:is>
          <x:t xml:space="preserve">https://apps.irs.gov/pub/epostcard/990/xml/2026/202631359349314463_public.xml</x:t>
        </x:is>
      </x:c>
      <x:c r="V124" s="13" t="inlineStr">
        <x:is>
          <x:t xml:space="preserve">Added by the second-expansion freeze and retained after role/scale verification; pay did not determine selection.</x:t>
        </x:is>
      </x:c>
    </x:row>
    <x:row r="125">
      <x:c r="A125" s="12" t="inlineStr">
        <x:is>
          <x:t xml:space="preserve">Nuclear Innovation Alliance</x:t>
        </x:is>
      </x:c>
      <x:c r="B125" s="12" t="inlineStr">
        <x:is>
          <x:t xml:space="preserve">C</x:t>
        </x:is>
      </x:c>
      <x:c r="C125" s="12" t="inlineStr">
        <x:is>
          <x:t xml:space="preserve">Tier C broad sensitivity</x:t>
        </x:is>
      </x:c>
      <x:c r="D125" s="12" t="inlineStr">
        <x:is>
          <x:t xml:space="preserve">third expansion / filing verification</x:t>
        </x:is>
      </x:c>
      <x:c r="E125" s="12" t="inlineStr">
        <x:is>
          <x:t xml:space="preserve">nuclear risk and climate</x:t>
        </x:is>
      </x:c>
      <x:c r="F125" s="12" t="inlineStr">
        <x:is>
          <x:t xml:space="preserve">EA-adjacent</x:t>
        </x:is>
      </x:c>
      <x:c r="G125" s="12" t="inlineStr">
        <x:is>
          <x:t xml:space="preserve">US</x:t>
        </x:is>
      </x:c>
      <x:c r="H125" s="12" t="inlineStr">
        <x:is>
          <x:t xml:space="preserve">independent nonprofit</x:t>
        </x:is>
      </x:c>
      <x:c r="I125" s="12" t="inlineStr">
        <x:is>
          <x:t xml:space="preserve">37-1859117</x:t>
        </x:is>
      </x:c>
      <x:c r="J125" s="14" t="n">
        <x:v>3029822</x:v>
      </x:c>
      <x:c r="K125" s="14" t="n">
        <x:v>1898039</x:v>
      </x:c>
      <x:c r="L125" s="12" t="n"/>
      <x:c r="M125" s="15" t="n">
        <x:v>70</x:v>
      </x:c>
      <x:c r="N125" s="12" t="inlineStr">
        <x:is>
          <x:t xml:space="preserve">selected quantitative reference organization</x:t>
        </x:is>
      </x:c>
      <x:c r="O125" s="14" t="inlineStr">
        <x:is>
          <x:t xml:space="preserve">yes</x:t>
        </x:is>
      </x:c>
      <x:c r="P125" s="14" t="n">
        <x:v>299570.2164234042</x:v>
      </x:c>
      <x:c r="Q125" s="14" t="n">
        <x:v>309200.5815190888</x:v>
      </x:c>
      <x:c r="R125" s="12" t="inlineStr">
        <x:is>
          <x:t xml:space="preserve">Executive Director</x:t>
        </x:is>
      </x:c>
      <x:c r="S125" s="14" t="n">
        <x:v>2025</x:v>
      </x:c>
      <x:c r="T125" s="16" t="inlineStr">
        <x:is>
          <x:t xml:space="preserve">https://projects.propublica.org/nonprofits/organizations/371859117</x:t>
        </x:is>
      </x:c>
      <x:c r="U125" s="16" t="inlineStr">
        <x:is>
          <x:t xml:space="preserve">https://apps.irs.gov/pub/epostcard/990/xml/2026/202621339349301817_public.xml</x:t>
        </x:is>
      </x:c>
      <x:c r="V125" s="13" t="inlineStr">
        <x:is>
          <x:t xml:space="preserve">Added by the third-expansion freeze and retained after role/scale/title verification; pay did not determine selection.</x:t>
        </x:is>
      </x:c>
    </x:row>
    <x:row r="126">
      <x:c r="A126" s="12" t="inlineStr">
        <x:is>
          <x:t xml:space="preserve">Open Source Initiative</x:t>
        </x:is>
      </x:c>
      <x:c r="B126" s="12" t="inlineStr">
        <x:is>
          <x:t xml:space="preserve">C</x:t>
        </x:is>
      </x:c>
      <x:c r="C126" s="12" t="inlineStr">
        <x:is>
          <x:t xml:space="preserve">Tier C broad sensitivity</x:t>
        </x:is>
      </x:c>
      <x:c r="D126" s="12" t="inlineStr">
        <x:is>
          <x:t xml:space="preserve">third expansion / filing verification</x:t>
        </x:is>
      </x:c>
      <x:c r="E126" s="12" t="inlineStr">
        <x:is>
          <x:t xml:space="preserve">open technology infrastructure</x:t>
        </x:is>
      </x:c>
      <x:c r="F126" s="12" t="inlineStr">
        <x:is>
          <x:t xml:space="preserve">EA-adjacent</x:t>
        </x:is>
      </x:c>
      <x:c r="G126" s="12" t="inlineStr">
        <x:is>
          <x:t xml:space="preserve">US/international</x:t>
        </x:is>
      </x:c>
      <x:c r="H126" s="12" t="inlineStr">
        <x:is>
          <x:t xml:space="preserve">membership nonprofit</x:t>
        </x:is>
      </x:c>
      <x:c r="I126" s="12" t="inlineStr">
        <x:is>
          <x:t xml:space="preserve">91-2037395</x:t>
        </x:is>
      </x:c>
      <x:c r="J126" s="14" t="n">
        <x:v>1093077</x:v>
      </x:c>
      <x:c r="K126" s="14" t="n">
        <x:v>1013797</x:v>
      </x:c>
      <x:c r="L126" s="12" t="n"/>
      <x:c r="M126" s="15" t="n">
        <x:v>70</x:v>
      </x:c>
      <x:c r="N126" s="12" t="inlineStr">
        <x:is>
          <x:t xml:space="preserve">selected quantitative reference organization</x:t>
        </x:is>
      </x:c>
      <x:c r="O126" s="14" t="inlineStr">
        <x:is>
          <x:t xml:space="preserve">yes</x:t>
        </x:is>
      </x:c>
      <x:c r="P126" s="14" t="n">
        <x:v>200845.467575352</x:v>
      </x:c>
      <x:c r="Q126" s="14" t="n">
        <x:v>200845.467575352</x:v>
      </x:c>
      <x:c r="R126" s="12" t="inlineStr">
        <x:is>
          <x:t xml:space="preserve">Executive Director</x:t>
        </x:is>
      </x:c>
      <x:c r="S126" s="14" t="n">
        <x:v>2024</x:v>
      </x:c>
      <x:c r="T126" s="16" t="inlineStr">
        <x:is>
          <x:t xml:space="preserve">https://projects.propublica.org/nonprofits/organizations/912037395</x:t>
        </x:is>
      </x:c>
      <x:c r="U126" s="16" t="inlineStr">
        <x:is>
          <x:t xml:space="preserve">https://apps.irs.gov/pub/epostcard/990/xml/2025/202533079349301473_public.xml</x:t>
        </x:is>
      </x:c>
      <x:c r="V126" s="13" t="inlineStr">
        <x:is>
          <x:t xml:space="preserve">Added by the third-expansion freeze and retained after role/scale/title verification; pay did not determine selection.</x:t>
        </x:is>
      </x:c>
    </x:row>
    <x:row r="127">
      <x:c r="A127" s="12" t="inlineStr">
        <x:is>
          <x:t xml:space="preserve">Arms Control Association</x:t>
        </x:is>
      </x:c>
      <x:c r="B127" s="12" t="inlineStr">
        <x:is>
          <x:t xml:space="preserve">C</x:t>
        </x:is>
      </x:c>
      <x:c r="C127" s="12" t="inlineStr">
        <x:is>
          <x:t xml:space="preserve">Tier C broad sensitivity</x:t>
        </x:is>
      </x:c>
      <x:c r="D127" s="12" t="inlineStr">
        <x:is>
          <x:t xml:space="preserve">second expansion / filing verification</x:t>
        </x:is>
      </x:c>
      <x:c r="E127" s="13" t="inlineStr">
        <x:is>
          <x:t xml:space="preserve">AI, catastrophic risk, biosecurity, and technology policy</x:t>
        </x:is>
      </x:c>
      <x:c r="F127" s="12" t="inlineStr">
        <x:is>
          <x:t xml:space="preserve">EA-adjacent</x:t>
        </x:is>
      </x:c>
      <x:c r="G127" s="12" t="inlineStr">
        <x:is>
          <x:t xml:space="preserve">US/international</x:t>
        </x:is>
      </x:c>
      <x:c r="H127" s="12" t="inlineStr">
        <x:is>
          <x:t xml:space="preserve">independent nonprofit</x:t>
        </x:is>
      </x:c>
      <x:c r="I127" s="12" t="inlineStr">
        <x:is>
          <x:t xml:space="preserve">23-7124588</x:t>
        </x:is>
      </x:c>
      <x:c r="J127" s="14" t="n">
        <x:v>1490547</x:v>
      </x:c>
      <x:c r="K127" s="14" t="n">
        <x:v>1689329</x:v>
      </x:c>
      <x:c r="L127" s="12" t="n"/>
      <x:c r="M127" s="15" t="n">
        <x:v>69</x:v>
      </x:c>
      <x:c r="N127" s="12" t="inlineStr">
        <x:is>
          <x:t xml:space="preserve">selected quantitative reference organization</x:t>
        </x:is>
      </x:c>
      <x:c r="O127" s="14" t="inlineStr">
        <x:is>
          <x:t xml:space="preserve">yes</x:t>
        </x:is>
      </x:c>
      <x:c r="P127" s="14" t="n">
        <x:v>132667.1399098789</x:v>
      </x:c>
      <x:c r="Q127" s="14" t="n">
        <x:v>188003.4842978684</x:v>
      </x:c>
      <x:c r="R127" s="12" t="inlineStr">
        <x:is>
          <x:t xml:space="preserve">Executive Director</x:t>
        </x:is>
      </x:c>
      <x:c r="S127" s="14" t="n">
        <x:v>2024</x:v>
      </x:c>
      <x:c r="T127" s="16" t="inlineStr">
        <x:is>
          <x:t xml:space="preserve">https://projects.propublica.org/nonprofits/organizations/237124588</x:t>
        </x:is>
      </x:c>
      <x:c r="U127" s="16" t="inlineStr">
        <x:is>
          <x:t xml:space="preserve">https://apps.irs.gov/pub/epostcard/990/xml/2026/202621349349307892_public.xml</x:t>
        </x:is>
      </x:c>
      <x:c r="V127" s="13" t="inlineStr">
        <x:is>
          <x:t xml:space="preserve">Added by the second-expansion freeze and retained after role/scale verification; pay did not determine selection.</x:t>
        </x:is>
      </x:c>
    </x:row>
    <x:row r="128">
      <x:c r="A128" s="12" t="inlineStr">
        <x:is>
          <x:t xml:space="preserve">Better Food Foundation</x:t>
        </x:is>
      </x:c>
      <x:c r="B128" s="12" t="inlineStr">
        <x:is>
          <x:t xml:space="preserve">C</x:t>
        </x:is>
      </x:c>
      <x:c r="C128" s="12" t="inlineStr">
        <x:is>
          <x:t xml:space="preserve">Tier C broad sensitivity</x:t>
        </x:is>
      </x:c>
      <x:c r="D128" s="12" t="inlineStr">
        <x:is>
          <x:t xml:space="preserve">third expansion / filing verification</x:t>
        </x:is>
      </x:c>
      <x:c r="E128" s="12" t="inlineStr">
        <x:is>
          <x:t xml:space="preserve">animal welfare and food systems</x:t>
        </x:is>
      </x:c>
      <x:c r="F128" s="12" t="inlineStr">
        <x:is>
          <x:t xml:space="preserve">EA-adjacent</x:t>
        </x:is>
      </x:c>
      <x:c r="G128" s="12" t="inlineStr">
        <x:is>
          <x:t xml:space="preserve">US</x:t>
        </x:is>
      </x:c>
      <x:c r="H128" s="12" t="inlineStr">
        <x:is>
          <x:t xml:space="preserve">independent nonprofit</x:t>
        </x:is>
      </x:c>
      <x:c r="I128" s="12" t="inlineStr">
        <x:is>
          <x:t xml:space="preserve">81-4537521</x:t>
        </x:is>
      </x:c>
      <x:c r="J128" s="14" t="n">
        <x:v>1677632</x:v>
      </x:c>
      <x:c r="K128" s="14" t="n">
        <x:v>1787294</x:v>
      </x:c>
      <x:c r="L128" s="12" t="n"/>
      <x:c r="M128" s="15" t="n">
        <x:v>69</x:v>
      </x:c>
      <x:c r="N128" s="12" t="inlineStr">
        <x:is>
          <x:t xml:space="preserve">selected quantitative reference organization</x:t>
        </x:is>
      </x:c>
      <x:c r="O128" s="14" t="inlineStr">
        <x:is>
          <x:t xml:space="preserve">yes</x:t>
        </x:is>
      </x:c>
      <x:c r="P128" s="14" t="n">
        <x:v>99263.50635157026</x:v>
      </x:c>
      <x:c r="Q128" s="14" t="n">
        <x:v>103521.458366651</x:v>
      </x:c>
      <x:c r="R128" s="12" t="inlineStr">
        <x:is>
          <x:t xml:space="preserve">Executive Director</x:t>
        </x:is>
      </x:c>
      <x:c r="S128" s="14" t="n">
        <x:v>2024</x:v>
      </x:c>
      <x:c r="T128" s="16" t="inlineStr">
        <x:is>
          <x:t xml:space="preserve">https://projects.propublica.org/nonprofits/organizations/814537521</x:t>
        </x:is>
      </x:c>
      <x:c r="U128" s="16" t="inlineStr">
        <x:is>
          <x:t xml:space="preserve">https://apps.irs.gov/pub/epostcard/990/xml/2025/202533169349305288_public.xml</x:t>
        </x:is>
      </x:c>
      <x:c r="V128" s="13" t="inlineStr">
        <x:is>
          <x:t xml:space="preserve">Added by the third-expansion freeze and retained after role/scale/title verification; pay did not determine selection.</x:t>
        </x:is>
      </x:c>
    </x:row>
    <x:row r="129">
      <x:c r="A129" s="12" t="inlineStr">
        <x:is>
          <x:t xml:space="preserve">Sentient Media</x:t>
        </x:is>
      </x:c>
      <x:c r="B129" s="12" t="inlineStr">
        <x:is>
          <x:t xml:space="preserve">C</x:t>
        </x:is>
      </x:c>
      <x:c r="C129" s="12" t="inlineStr">
        <x:is>
          <x:t xml:space="preserve">Tier C broad sensitivity</x:t>
        </x:is>
      </x:c>
      <x:c r="D129" s="12" t="inlineStr">
        <x:is>
          <x:t xml:space="preserve">second expansion / filing verification</x:t>
        </x:is>
      </x:c>
      <x:c r="E129" s="12" t="inlineStr">
        <x:is>
          <x:t xml:space="preserve">Animal welfare and food systems</x:t>
        </x:is>
      </x:c>
      <x:c r="F129" s="12" t="inlineStr">
        <x:is>
          <x:t xml:space="preserve">EA-adjacent</x:t>
        </x:is>
      </x:c>
      <x:c r="G129" s="12" t="inlineStr">
        <x:is>
          <x:t xml:space="preserve">US/international</x:t>
        </x:is>
      </x:c>
      <x:c r="H129" s="12" t="inlineStr">
        <x:is>
          <x:t xml:space="preserve">independent nonprofit</x:t>
        </x:is>
      </x:c>
      <x:c r="I129" s="12" t="inlineStr">
        <x:is>
          <x:t xml:space="preserve">83-0804345</x:t>
        </x:is>
      </x:c>
      <x:c r="J129" s="14" t="n">
        <x:v>2237457</x:v>
      </x:c>
      <x:c r="K129" s="14" t="n">
        <x:v>1194078</x:v>
      </x:c>
      <x:c r="L129" s="12" t="n"/>
      <x:c r="M129" s="15" t="n">
        <x:v>69</x:v>
      </x:c>
      <x:c r="N129" s="12" t="inlineStr">
        <x:is>
          <x:t xml:space="preserve">selected quantitative reference organization</x:t>
        </x:is>
      </x:c>
      <x:c r="O129" s="14" t="inlineStr">
        <x:is>
          <x:t xml:space="preserve">yes</x:t>
        </x:is>
      </x:c>
      <x:c r="P129" s="14" t="n">
        <x:v>106448.8003770191</x:v>
      </x:c>
      <x:c r="Q129" s="14" t="n">
        <x:v>106448.8003770191</x:v>
      </x:c>
      <x:c r="R129" s="12" t="inlineStr">
        <x:is>
          <x:t xml:space="preserve">Executive Director</x:t>
        </x:is>
      </x:c>
      <x:c r="S129" s="14" t="n">
        <x:v>2024</x:v>
      </x:c>
      <x:c r="T129" s="16" t="inlineStr">
        <x:is>
          <x:t xml:space="preserve">https://projects.propublica.org/nonprofits/organizations/830804345</x:t>
        </x:is>
      </x:c>
      <x:c r="U129" s="16" t="inlineStr">
        <x:is>
          <x:t xml:space="preserve">https://apps.irs.gov/pub/epostcard/990/xml/2025/202512829349301726_public.xml</x:t>
        </x:is>
      </x:c>
      <x:c r="V129" s="13" t="inlineStr">
        <x:is>
          <x:t xml:space="preserve">Added by the second-expansion freeze and retained after role/scale verification; pay did not determine selection.</x:t>
        </x:is>
      </x:c>
    </x:row>
    <x:row r="130">
      <x:c r="A130" s="12" t="inlineStr">
        <x:is>
          <x:t xml:space="preserve">Center for Arms Control and Non-Proliferation</x:t>
        </x:is>
      </x:c>
      <x:c r="B130" s="12" t="inlineStr">
        <x:is>
          <x:t xml:space="preserve">C</x:t>
        </x:is>
      </x:c>
      <x:c r="C130" s="12" t="inlineStr">
        <x:is>
          <x:t xml:space="preserve">Tier C broad sensitivity</x:t>
        </x:is>
      </x:c>
      <x:c r="D130" s="12" t="inlineStr">
        <x:is>
          <x:t xml:space="preserve">third expansion / filing verification</x:t>
        </x:is>
      </x:c>
      <x:c r="E130" s="12" t="inlineStr">
        <x:is>
          <x:t xml:space="preserve">nuclear risk and security</x:t>
        </x:is>
      </x:c>
      <x:c r="F130" s="12" t="inlineStr">
        <x:is>
          <x:t xml:space="preserve">EA-adjacent</x:t>
        </x:is>
      </x:c>
      <x:c r="G130" s="12" t="inlineStr">
        <x:is>
          <x:t xml:space="preserve">US</x:t>
        </x:is>
      </x:c>
      <x:c r="H130" s="12" t="inlineStr">
        <x:is>
          <x:t xml:space="preserve">independent nonprofit</x:t>
        </x:is>
      </x:c>
      <x:c r="I130" s="12" t="inlineStr">
        <x:is>
          <x:t xml:space="preserve">04-2693322</x:t>
        </x:is>
      </x:c>
      <x:c r="J130" s="14" t="n">
        <x:v>1289993</x:v>
      </x:c>
      <x:c r="K130" s="14" t="n">
        <x:v>1490265</x:v>
      </x:c>
      <x:c r="L130" s="12" t="n"/>
      <x:c r="M130" s="15" t="n">
        <x:v>68</x:v>
      </x:c>
      <x:c r="N130" s="12" t="inlineStr">
        <x:is>
          <x:t xml:space="preserve">selected quantitative reference organization</x:t>
        </x:is>
      </x:c>
      <x:c r="O130" s="14" t="inlineStr">
        <x:is>
          <x:t xml:space="preserve">yes</x:t>
        </x:is>
      </x:c>
      <x:c r="P130" s="14" t="n">
        <x:v>283037.7798104598</x:v>
      </x:c>
      <x:c r="Q130" s="14" t="n">
        <x:v>295244.2637496925</x:v>
      </x:c>
      <x:c r="R130" s="12" t="inlineStr">
        <x:is>
          <x:t xml:space="preserve">Executive Director</x:t>
        </x:is>
      </x:c>
      <x:c r="S130" s="14" t="n">
        <x:v>2024</x:v>
      </x:c>
      <x:c r="T130" s="16" t="inlineStr">
        <x:is>
          <x:t xml:space="preserve">https://projects.propublica.org/nonprofits/organizations/42693322</x:t>
        </x:is>
      </x:c>
      <x:c r="U130" s="16" t="inlineStr">
        <x:is>
          <x:t xml:space="preserve">https://apps.irs.gov/pub/epostcard/990/xml/2025/202523179349304722_public.xml</x:t>
        </x:is>
      </x:c>
      <x:c r="V130" s="13" t="inlineStr">
        <x:is>
          <x:t xml:space="preserve">Added by the third-expansion freeze and retained after role/scale/title verification; pay did not determine selection.</x:t>
        </x:is>
      </x:c>
    </x:row>
    <x:row r="131">
      <x:c r="A131" s="12" t="inlineStr">
        <x:is>
          <x:t xml:space="preserve">Center for International Policy</x:t>
        </x:is>
      </x:c>
      <x:c r="B131" s="12" t="inlineStr">
        <x:is>
          <x:t xml:space="preserve">C</x:t>
        </x:is>
      </x:c>
      <x:c r="C131" s="12" t="inlineStr">
        <x:is>
          <x:t xml:space="preserve">Tier C broad sensitivity</x:t>
        </x:is>
      </x:c>
      <x:c r="D131" s="12" t="inlineStr">
        <x:is>
          <x:t xml:space="preserve">third expansion / filing verification</x:t>
        </x:is>
      </x:c>
      <x:c r="E131" s="12" t="inlineStr">
        <x:is>
          <x:t xml:space="preserve">security and foreign policy</x:t>
        </x:is>
      </x:c>
      <x:c r="F131" s="12" t="inlineStr">
        <x:is>
          <x:t xml:space="preserve">EA-adjacent</x:t>
        </x:is>
      </x:c>
      <x:c r="G131" s="12" t="inlineStr">
        <x:is>
          <x:t xml:space="preserve">US/international</x:t>
        </x:is>
      </x:c>
      <x:c r="H131" s="12" t="inlineStr">
        <x:is>
          <x:t xml:space="preserve">independent nonprofit</x:t>
        </x:is>
      </x:c>
      <x:c r="I131" s="12" t="inlineStr">
        <x:is>
          <x:t xml:space="preserve">52-1446207</x:t>
        </x:is>
      </x:c>
      <x:c r="J131" s="14" t="n">
        <x:v>817220</x:v>
      </x:c>
      <x:c r="K131" s="14" t="n">
        <x:v>2149942</x:v>
      </x:c>
      <x:c r="L131" s="12" t="n"/>
      <x:c r="M131" s="15" t="n">
        <x:v>68</x:v>
      </x:c>
      <x:c r="N131" s="12" t="inlineStr">
        <x:is>
          <x:t xml:space="preserve">selected quantitative reference organization</x:t>
        </x:is>
      </x:c>
      <x:c r="O131" s="14" t="inlineStr">
        <x:is>
          <x:t xml:space="preserve">yes</x:t>
        </x:is>
      </x:c>
      <x:c r="P131" s="14" t="n">
        <x:v>222279.9980192686</x:v>
      </x:c>
      <x:c r="Q131" s="14" t="n">
        <x:v>241506.7803433657</x:v>
      </x:c>
      <x:c r="R131" s="12" t="inlineStr">
        <x:is>
          <x:t xml:space="preserve">President &amp; CEO</x:t>
        </x:is>
      </x:c>
      <x:c r="S131" s="14" t="n">
        <x:v>2024</x:v>
      </x:c>
      <x:c r="T131" s="16" t="inlineStr">
        <x:is>
          <x:t xml:space="preserve">https://projects.propublica.org/nonprofits/organizations/521446207</x:t>
        </x:is>
      </x:c>
      <x:c r="U131" s="16" t="inlineStr">
        <x:is>
          <x:t xml:space="preserve">https://apps.irs.gov/pub/epostcard/990/xml/2025/202513189349309501_public.xml</x:t>
        </x:is>
      </x:c>
      <x:c r="V131" s="13" t="inlineStr">
        <x:is>
          <x:t xml:space="preserve">Added by the third-expansion freeze and retained after role/scale/title verification; pay did not determine selection.</x:t>
        </x:is>
      </x:c>
    </x:row>
    <x:row r="132">
      <x:c r="A132" s="12" t="inlineStr">
        <x:is>
          <x:t xml:space="preserve">Physicians for Social Responsibility</x:t>
        </x:is>
      </x:c>
      <x:c r="B132" s="12" t="inlineStr">
        <x:is>
          <x:t xml:space="preserve">C</x:t>
        </x:is>
      </x:c>
      <x:c r="C132" s="12" t="inlineStr">
        <x:is>
          <x:t xml:space="preserve">Tier C broad sensitivity</x:t>
        </x:is>
      </x:c>
      <x:c r="D132" s="12" t="inlineStr">
        <x:is>
          <x:t xml:space="preserve">second expansion / filing verification</x:t>
        </x:is>
      </x:c>
      <x:c r="E132" s="13" t="inlineStr">
        <x:is>
          <x:t xml:space="preserve">AI, catastrophic risk, biosecurity, and technology policy</x:t>
        </x:is>
      </x:c>
      <x:c r="F132" s="12" t="inlineStr">
        <x:is>
          <x:t xml:space="preserve">EA-adjacent</x:t>
        </x:is>
      </x:c>
      <x:c r="G132" s="12" t="inlineStr">
        <x:is>
          <x:t xml:space="preserve">US</x:t>
        </x:is>
      </x:c>
      <x:c r="H132" s="12" t="inlineStr">
        <x:is>
          <x:t xml:space="preserve">independent nonprofit</x:t>
        </x:is>
      </x:c>
      <x:c r="I132" s="12" t="inlineStr">
        <x:is>
          <x:t xml:space="preserve">23-7059731</x:t>
        </x:is>
      </x:c>
      <x:c r="J132" s="14" t="n">
        <x:v>1615747</x:v>
      </x:c>
      <x:c r="K132" s="14" t="n">
        <x:v>2180066</x:v>
      </x:c>
      <x:c r="L132" s="12" t="n"/>
      <x:c r="M132" s="15" t="n">
        <x:v>68</x:v>
      </x:c>
      <x:c r="N132" s="12" t="inlineStr">
        <x:is>
          <x:t xml:space="preserve">selected quantitative reference organization</x:t>
        </x:is>
      </x:c>
      <x:c r="O132" s="14" t="inlineStr">
        <x:is>
          <x:t xml:space="preserve">yes</x:t>
        </x:is>
      </x:c>
      <x:c r="P132" s="14" t="n">
        <x:v>159673.2005655286</x:v>
      </x:c>
      <x:c r="Q132" s="14" t="n">
        <x:v>162866.6645768392</x:v>
      </x:c>
      <x:c r="R132" s="12" t="inlineStr">
        <x:is>
          <x:t xml:space="preserve">Executive Director</x:t>
        </x:is>
      </x:c>
      <x:c r="S132" s="14" t="n">
        <x:v>2024</x:v>
      </x:c>
      <x:c r="T132" s="16" t="inlineStr">
        <x:is>
          <x:t xml:space="preserve">https://projects.propublica.org/nonprofits/organizations/237059731</x:t>
        </x:is>
      </x:c>
      <x:c r="U132" s="16" t="inlineStr">
        <x:is>
          <x:t xml:space="preserve">https://apps.irs.gov/pub/epostcard/990/xml/2025/202512749349301461_public.xml</x:t>
        </x:is>
      </x:c>
      <x:c r="V132" s="13" t="inlineStr">
        <x:is>
          <x:t xml:space="preserve">Added by the second-expansion freeze and retained after role/scale verification; pay did not determine selection.</x:t>
        </x:is>
      </x:c>
    </x:row>
    <x:row r="133">
      <x:c r="A133" s="12" t="inlineStr">
        <x:is>
          <x:t xml:space="preserve">Food Animal Concerns Trust</x:t>
        </x:is>
      </x:c>
      <x:c r="B133" s="12" t="inlineStr">
        <x:is>
          <x:t xml:space="preserve">C</x:t>
        </x:is>
      </x:c>
      <x:c r="C133" s="12" t="inlineStr">
        <x:is>
          <x:t xml:space="preserve">Tier C broad sensitivity</x:t>
        </x:is>
      </x:c>
      <x:c r="D133" s="12" t="inlineStr">
        <x:is>
          <x:t xml:space="preserve">second expansion / filing verification</x:t>
        </x:is>
      </x:c>
      <x:c r="E133" s="12" t="inlineStr">
        <x:is>
          <x:t xml:space="preserve">Animal welfare and food systems</x:t>
        </x:is>
      </x:c>
      <x:c r="F133" s="12" t="inlineStr">
        <x:is>
          <x:t xml:space="preserve">EA-adjacent</x:t>
        </x:is>
      </x:c>
      <x:c r="G133" s="12" t="inlineStr">
        <x:is>
          <x:t xml:space="preserve">US</x:t>
        </x:is>
      </x:c>
      <x:c r="H133" s="12" t="inlineStr">
        <x:is>
          <x:t xml:space="preserve">independent nonprofit</x:t>
        </x:is>
      </x:c>
      <x:c r="I133" s="12" t="inlineStr">
        <x:is>
          <x:t xml:space="preserve">36-3172605</x:t>
        </x:is>
      </x:c>
      <x:c r="J133" s="14" t="n">
        <x:v>901531</x:v>
      </x:c>
      <x:c r="K133" s="14" t="n">
        <x:v>1058203</x:v>
      </x:c>
      <x:c r="L133" s="12" t="n"/>
      <x:c r="M133" s="15" t="n">
        <x:v>65</x:v>
      </x:c>
      <x:c r="N133" s="12" t="inlineStr">
        <x:is>
          <x:t xml:space="preserve">selected quantitative reference organization</x:t>
        </x:is>
      </x:c>
      <x:c r="O133" s="14" t="inlineStr">
        <x:is>
          <x:t xml:space="preserve">yes</x:t>
        </x:is>
      </x:c>
      <x:c r="P133" s="14" t="n">
        <x:v>132990.744263025</x:v>
      </x:c>
      <x:c r="Q133" s="14" t="n">
        <x:v>132990.744263025</x:v>
      </x:c>
      <x:c r="R133" s="12" t="inlineStr">
        <x:is>
          <x:t xml:space="preserve">Executive Director</x:t>
        </x:is>
      </x:c>
      <x:c r="S133" s="14" t="n">
        <x:v>2024</x:v>
      </x:c>
      <x:c r="T133" s="16" t="inlineStr">
        <x:is>
          <x:t xml:space="preserve">https://projects.propublica.org/nonprofits/organizations/363172605</x:t>
        </x:is>
      </x:c>
      <x:c r="U133" s="16" t="inlineStr">
        <x:is>
          <x:t xml:space="preserve">https://apps.irs.gov/pub/epostcard/990/xml/2026/202620149349300022_public.xml</x:t>
        </x:is>
      </x:c>
      <x:c r="V133" s="13" t="inlineStr">
        <x:is>
          <x:t xml:space="preserve">Added by the second-expansion freeze and retained after role/scale verification; pay did not determine selection.</x:t>
        </x:is>
      </x:c>
    </x:row>
    <x:row r="134">
      <x:c r="A134" s="12" t="inlineStr">
        <x:is>
          <x:t xml:space="preserve">American Security Project</x:t>
        </x:is>
      </x:c>
      <x:c r="B134" s="12" t="inlineStr">
        <x:is>
          <x:t xml:space="preserve">C</x:t>
        </x:is>
      </x:c>
      <x:c r="C134" s="12" t="inlineStr">
        <x:is>
          <x:t xml:space="preserve">Tier C broad sensitivity</x:t>
        </x:is>
      </x:c>
      <x:c r="D134" s="12" t="inlineStr">
        <x:is>
          <x:t xml:space="preserve">third expansion / filing verification</x:t>
        </x:is>
      </x:c>
      <x:c r="E134" s="12" t="inlineStr">
        <x:is>
          <x:t xml:space="preserve">security and foreign policy</x:t>
        </x:is>
      </x:c>
      <x:c r="F134" s="12" t="inlineStr">
        <x:is>
          <x:t xml:space="preserve">EA-adjacent</x:t>
        </x:is>
      </x:c>
      <x:c r="G134" s="12" t="inlineStr">
        <x:is>
          <x:t xml:space="preserve">US</x:t>
        </x:is>
      </x:c>
      <x:c r="H134" s="12" t="inlineStr">
        <x:is>
          <x:t xml:space="preserve">independent nonprofit</x:t>
        </x:is>
      </x:c>
      <x:c r="I134" s="12" t="inlineStr">
        <x:is>
          <x:t xml:space="preserve">20-4079553</x:t>
        </x:is>
      </x:c>
      <x:c r="J134" s="14" t="n">
        <x:v>1662436</x:v>
      </x:c>
      <x:c r="K134" s="14" t="n">
        <x:v>750155</x:v>
      </x:c>
      <x:c r="L134" s="12" t="n"/>
      <x:c r="M134" s="15" t="n">
        <x:v>62</x:v>
      </x:c>
      <x:c r="N134" s="12" t="inlineStr">
        <x:is>
          <x:t xml:space="preserve">selected quantitative reference organization</x:t>
        </x:is>
      </x:c>
      <x:c r="O134" s="14" t="inlineStr">
        <x:is>
          <x:t xml:space="preserve">yes</x:t>
        </x:is>
      </x:c>
      <x:c r="P134" s="14" t="n">
        <x:v>162512.1900715837</x:v>
      </x:c>
      <x:c r="Q134" s="14" t="n">
        <x:v>170299.9843071664</x:v>
      </x:c>
      <x:c r="R134" s="12" t="inlineStr">
        <x:is>
          <x:t xml:space="preserve">CEO / Treasurer</x:t>
        </x:is>
      </x:c>
      <x:c r="S134" s="14" t="n">
        <x:v>2024</x:v>
      </x:c>
      <x:c r="T134" s="16" t="inlineStr">
        <x:is>
          <x:t xml:space="preserve">https://projects.propublica.org/nonprofits/organizations/204079553</x:t>
        </x:is>
      </x:c>
      <x:c r="U134" s="16" t="inlineStr">
        <x:is>
          <x:t xml:space="preserve">https://apps.irs.gov/pub/epostcard/990/xml/2025/202542279349301744_public.xml</x:t>
        </x:is>
      </x:c>
      <x:c r="V134" s="13" t="inlineStr">
        <x:is>
          <x:t xml:space="preserve">Added by the third-expansion freeze and retained after role/scale/title verification; pay did not determine selection.</x:t>
        </x:is>
      </x:c>
    </x:row>
    <x:row r="135">
      <x:c r="A135" s="12" t="inlineStr">
        <x:is>
          <x:t xml:space="preserve">Resolve to Save Lives</x:t>
        </x:is>
      </x:c>
      <x:c r="B135" s="12" t="inlineStr">
        <x:is>
          <x:t xml:space="preserve">C</x:t>
        </x:is>
      </x:c>
      <x:c r="C135" s="12" t="inlineStr">
        <x:is>
          <x:t xml:space="preserve">Tier C broad sensitivity</x:t>
        </x:is>
      </x:c>
      <x:c r="D135" s="12" t="inlineStr">
        <x:is>
          <x:t xml:space="preserve">first expansion</x:t>
        </x:is>
      </x:c>
      <x:c r="E135" s="12" t="inlineStr">
        <x:is>
          <x:t xml:space="preserve">Global health, development, and evidence</x:t>
        </x:is>
      </x:c>
      <x:c r="F135" s="12" t="inlineStr">
        <x:is>
          <x:t xml:space="preserve">EA-adjacent</x:t>
        </x:is>
      </x:c>
      <x:c r="G135" s="12" t="inlineStr">
        <x:is>
          <x:t xml:space="preserve">US/international</x:t>
        </x:is>
      </x:c>
      <x:c r="H135" s="12" t="inlineStr">
        <x:is>
          <x:t xml:space="preserve">independent nonprofit</x:t>
        </x:is>
      </x:c>
      <x:c r="I135" s="12" t="inlineStr">
        <x:is>
          <x:t xml:space="preserve">86-2254152</x:t>
        </x:is>
      </x:c>
      <x:c r="J135" s="14" t="n">
        <x:v>65629780</x:v>
      </x:c>
      <x:c r="K135" s="14" t="n">
        <x:v>65415547</x:v>
      </x:c>
      <x:c r="L135" s="12" t="n">
        <x:v>147</x:v>
      </x:c>
      <x:c r="M135" s="15" t="n">
        <x:v>61</x:v>
      </x:c>
      <x:c r="N135" s="12" t="inlineStr">
        <x:is>
          <x:t xml:space="preserve">selected quantitative reference organization</x:t>
        </x:is>
      </x:c>
      <x:c r="O135" s="14" t="inlineStr">
        <x:is>
          <x:t xml:space="preserve">not collected/clean observation unavailable</x:t>
        </x:is>
      </x:c>
      <x:c r="P135" s="14" t="n"/>
      <x:c r="Q135" s="14" t="n"/>
      <x:c r="R135" s="12" t="n"/>
      <x:c r="S135" s="14" t="n"/>
      <x:c r="T135" s="17" t="n"/>
      <x:c r="U135" s="17" t="n"/>
      <x:c r="V135" s="13" t="inlineStr">
        <x:is>
          <x:t xml:space="preserve">Selected under the first expansion protocol before systematic pay review.</x:t>
        </x:is>
      </x:c>
    </x:row>
    <x:row r="136">
      <x:c r="A136" s="12" t="inlineStr">
        <x:is>
          <x:t xml:space="preserve">AI Objectives Institute</x:t>
        </x:is>
      </x:c>
      <x:c r="B136" s="12" t="inlineStr">
        <x:is>
          <x:t xml:space="preserve">C</x:t>
        </x:is>
      </x:c>
      <x:c r="C136" s="12" t="inlineStr">
        <x:is>
          <x:t xml:space="preserve">Tier C broad sensitivity</x:t>
        </x:is>
      </x:c>
      <x:c r="D136" s="12" t="inlineStr">
        <x:is>
          <x:t xml:space="preserve">first expansion</x:t>
        </x:is>
      </x:c>
      <x:c r="E136" s="13" t="inlineStr">
        <x:is>
          <x:t xml:space="preserve">AI, catastrophic risk, biosecurity, and technology policy</x:t>
        </x:is>
      </x:c>
      <x:c r="F136" s="12" t="inlineStr">
        <x:is>
          <x:t xml:space="preserve">EA-adjacent</x:t>
        </x:is>
      </x:c>
      <x:c r="G136" s="12" t="inlineStr">
        <x:is>
          <x:t xml:space="preserve">US</x:t>
        </x:is>
      </x:c>
      <x:c r="H136" s="12" t="inlineStr">
        <x:is>
          <x:t xml:space="preserve">independent nonprofit</x:t>
        </x:is>
      </x:c>
      <x:c r="I136" s="12" t="inlineStr">
        <x:is>
          <x:t xml:space="preserve">87-3870371</x:t>
        </x:is>
      </x:c>
      <x:c r="J136" s="14" t="n">
        <x:v>1829928</x:v>
      </x:c>
      <x:c r="K136" s="14" t="n">
        <x:v>1106174</x:v>
      </x:c>
      <x:c r="L136" s="12" t="n">
        <x:v>7</x:v>
      </x:c>
      <x:c r="M136" s="15" t="n">
        <x:v>58</x:v>
      </x:c>
      <x:c r="N136" s="12" t="inlineStr">
        <x:is>
          <x:t xml:space="preserve">selected quantitative reference organization</x:t>
        </x:is>
      </x:c>
      <x:c r="O136" s="14" t="inlineStr">
        <x:is>
          <x:t xml:space="preserve">not collected/clean observation unavailable</x:t>
        </x:is>
      </x:c>
      <x:c r="P136" s="14" t="n"/>
      <x:c r="Q136" s="14" t="n"/>
      <x:c r="R136" s="12" t="n"/>
      <x:c r="S136" s="14" t="n"/>
      <x:c r="T136" s="17" t="n"/>
      <x:c r="U136" s="17" t="n"/>
      <x:c r="V136" s="13" t="inlineStr">
        <x:is>
          <x:t xml:space="preserve">Selected under the first expansion protocol before systematic pay review.</x:t>
        </x:is>
      </x:c>
    </x:row>
    <x:row r="137">
      <x:c r="A137" s="12" t="inlineStr">
        <x:is>
          <x:t xml:space="preserve">Effective Institutions Project</x:t>
        </x:is>
      </x:c>
      <x:c r="B137" s="12" t="inlineStr">
        <x:is>
          <x:t xml:space="preserve">C</x:t>
        </x:is>
      </x:c>
      <x:c r="C137" s="12" t="inlineStr">
        <x:is>
          <x:t xml:space="preserve">Tier C broad sensitivity</x:t>
        </x:is>
      </x:c>
      <x:c r="D137" s="12" t="inlineStr">
        <x:is>
          <x:t xml:space="preserve">first expansion</x:t>
        </x:is>
      </x:c>
      <x:c r="E137" s="13" t="inlineStr">
        <x:is>
          <x:t xml:space="preserve">AI, catastrophic risk, biosecurity, and technology policy</x:t>
        </x:is>
      </x:c>
      <x:c r="F137" s="12" t="inlineStr">
        <x:is>
          <x:t xml:space="preserve">EA-adjacent</x:t>
        </x:is>
      </x:c>
      <x:c r="G137" s="12" t="inlineStr">
        <x:is>
          <x:t xml:space="preserve">US/international</x:t>
        </x:is>
      </x:c>
      <x:c r="H137" s="12" t="inlineStr">
        <x:is>
          <x:t xml:space="preserve">nonprofit/project</x:t>
        </x:is>
      </x:c>
      <x:c r="I137" s="12" t="inlineStr">
        <x:is>
          <x:t xml:space="preserve">93-2725003</x:t>
        </x:is>
      </x:c>
      <x:c r="J137" s="14" t="n">
        <x:v>1693304</x:v>
      </x:c>
      <x:c r="K137" s="14" t="n">
        <x:v>727915</x:v>
      </x:c>
      <x:c r="L137" s="12" t="n">
        <x:v>2</x:v>
      </x:c>
      <x:c r="M137" s="15" t="n">
        <x:v>58</x:v>
      </x:c>
      <x:c r="N137" s="12" t="inlineStr">
        <x:is>
          <x:t xml:space="preserve">selected quantitative reference organization</x:t>
        </x:is>
      </x:c>
      <x:c r="O137" s="14" t="inlineStr">
        <x:is>
          <x:t xml:space="preserve">not collected/clean observation unavailable</x:t>
        </x:is>
      </x:c>
      <x:c r="P137" s="14" t="n"/>
      <x:c r="Q137" s="14" t="n"/>
      <x:c r="R137" s="12" t="n"/>
      <x:c r="S137" s="14" t="n"/>
      <x:c r="T137" s="17" t="n"/>
      <x:c r="U137" s="17" t="n"/>
      <x:c r="V137" s="13" t="inlineStr">
        <x:is>
          <x:t xml:space="preserve">Selected under the first expansion protocol before systematic pay review.</x:t>
        </x:is>
      </x:c>
    </x:row>
    <x:row r="138">
      <x:c r="A138" s="12" t="inlineStr">
        <x:is>
          <x:t xml:space="preserve">Candid</x:t>
        </x:is>
      </x:c>
      <x:c r="B138" s="12" t="inlineStr">
        <x:is>
          <x:t xml:space="preserve">C</x:t>
        </x:is>
      </x:c>
      <x:c r="C138" s="12" t="inlineStr">
        <x:is>
          <x:t xml:space="preserve">Tier C broad sensitivity</x:t>
        </x:is>
      </x:c>
      <x:c r="D138" s="12" t="inlineStr">
        <x:is>
          <x:t xml:space="preserve">first expansion</x:t>
        </x:is>
      </x:c>
      <x:c r="E138" s="13" t="inlineStr">
        <x:is>
          <x:t xml:space="preserve">Research, evaluation, philanthropy infrastructure, and policy</x:t>
        </x:is>
      </x:c>
      <x:c r="F138" s="12" t="inlineStr">
        <x:is>
          <x:t xml:space="preserve">functional-only</x:t>
        </x:is>
      </x:c>
      <x:c r="G138" s="12" t="inlineStr">
        <x:is>
          <x:t xml:space="preserve">US</x:t>
        </x:is>
      </x:c>
      <x:c r="H138" s="12" t="inlineStr">
        <x:is>
          <x:t xml:space="preserve">independent nonprofit</x:t>
        </x:is>
      </x:c>
      <x:c r="I138" s="12" t="inlineStr">
        <x:is>
          <x:t xml:space="preserve">13-1837418</x:t>
        </x:is>
      </x:c>
      <x:c r="J138" s="14" t="n">
        <x:v>41100093</x:v>
      </x:c>
      <x:c r="K138" s="14" t="n">
        <x:v>41312473</x:v>
      </x:c>
      <x:c r="L138" s="12" t="n">
        <x:v>221</x:v>
      </x:c>
      <x:c r="M138" s="15" t="n">
        <x:v>57</x:v>
      </x:c>
      <x:c r="N138" s="12" t="inlineStr">
        <x:is>
          <x:t xml:space="preserve">selected quantitative reference organization</x:t>
        </x:is>
      </x:c>
      <x:c r="O138" s="14" t="inlineStr">
        <x:is>
          <x:t xml:space="preserve">not collected/clean observation unavailable</x:t>
        </x:is>
      </x:c>
      <x:c r="P138" s="14" t="n"/>
      <x:c r="Q138" s="14" t="n"/>
      <x:c r="R138" s="12" t="n"/>
      <x:c r="S138" s="14" t="n"/>
      <x:c r="T138" s="17" t="n"/>
      <x:c r="U138" s="17" t="n"/>
      <x:c r="V138" s="13" t="inlineStr">
        <x:is>
          <x:t xml:space="preserve">Selected under the first expansion protocol before systematic pay review.</x:t>
        </x:is>
      </x:c>
    </x:row>
    <x:row r="139">
      <x:c r="A139" s="12" t="inlineStr">
        <x:is>
          <x:t xml:space="preserve">Generation Pledge</x:t>
        </x:is>
      </x:c>
      <x:c r="B139" s="12" t="inlineStr">
        <x:is>
          <x:t xml:space="preserve">C</x:t>
        </x:is>
      </x:c>
      <x:c r="C139" s="12" t="inlineStr">
        <x:is>
          <x:t xml:space="preserve">Tier C broad sensitivity</x:t>
        </x:is>
      </x:c>
      <x:c r="D139" s="12" t="inlineStr">
        <x:is>
          <x:t xml:space="preserve">first expansion</x:t>
        </x:is>
      </x:c>
      <x:c r="E139" s="12" t="inlineStr">
        <x:is>
          <x:t xml:space="preserve">EA infrastructure and effective giving</x:t>
        </x:is>
      </x:c>
      <x:c r="F139" s="12" t="inlineStr">
        <x:is>
          <x:t xml:space="preserve">EA-core</x:t>
        </x:is>
      </x:c>
      <x:c r="G139" s="12" t="inlineStr">
        <x:is>
          <x:t xml:space="preserve">US/international</x:t>
        </x:is>
      </x:c>
      <x:c r="H139" s="12" t="inlineStr">
        <x:is>
          <x:t xml:space="preserve">nonprofit/project</x:t>
        </x:is>
      </x:c>
      <x:c r="I139" s="12" t="inlineStr">
        <x:is>
          <x:t xml:space="preserve">84-2787951</x:t>
        </x:is>
      </x:c>
      <x:c r="J139" s="14" t="n">
        <x:v>1523460</x:v>
      </x:c>
      <x:c r="K139" s="14" t="n">
        <x:v>1347647</x:v>
      </x:c>
      <x:c r="L139" s="12" t="n">
        <x:v>0</x:v>
      </x:c>
      <x:c r="M139" s="15" t="n">
        <x:v>57</x:v>
      </x:c>
      <x:c r="N139" s="12" t="inlineStr">
        <x:is>
          <x:t xml:space="preserve">selected quantitative reference organization</x:t>
        </x:is>
      </x:c>
      <x:c r="O139" s="14" t="inlineStr">
        <x:is>
          <x:t xml:space="preserve">not collected/clean observation unavailable</x:t>
        </x:is>
      </x:c>
      <x:c r="P139" s="14" t="n"/>
      <x:c r="Q139" s="14" t="n"/>
      <x:c r="R139" s="12" t="n"/>
      <x:c r="S139" s="14" t="n"/>
      <x:c r="T139" s="17" t="n"/>
      <x:c r="U139" s="17" t="n"/>
      <x:c r="V139" s="13" t="inlineStr">
        <x:is>
          <x:t xml:space="preserve">Selected under the first expansion protocol before systematic pay review.</x:t>
        </x:is>
      </x:c>
    </x:row>
    <x:row r="140">
      <x:c r="A140" s="12" t="inlineStr">
        <x:is>
          <x:t xml:space="preserve">Alliance to Feed the Earth in Disasters</x:t>
        </x:is>
      </x:c>
      <x:c r="B140" s="12" t="inlineStr">
        <x:is>
          <x:t xml:space="preserve">C</x:t>
        </x:is>
      </x:c>
      <x:c r="C140" s="12" t="inlineStr">
        <x:is>
          <x:t xml:space="preserve">Tier C broad sensitivity</x:t>
        </x:is>
      </x:c>
      <x:c r="D140" s="12" t="inlineStr">
        <x:is>
          <x:t xml:space="preserve">first expansion</x:t>
        </x:is>
      </x:c>
      <x:c r="E140" s="13" t="inlineStr">
        <x:is>
          <x:t xml:space="preserve">AI, catastrophic risk, biosecurity, and technology policy</x:t>
        </x:is>
      </x:c>
      <x:c r="F140" s="12" t="inlineStr">
        <x:is>
          <x:t xml:space="preserve">EA-adjacent</x:t>
        </x:is>
      </x:c>
      <x:c r="G140" s="12" t="inlineStr">
        <x:is>
          <x:t xml:space="preserve">US/international</x:t>
        </x:is>
      </x:c>
      <x:c r="H140" s="12" t="inlineStr">
        <x:is>
          <x:t xml:space="preserve">independent nonprofit</x:t>
        </x:is>
      </x:c>
      <x:c r="I140" s="12" t="inlineStr">
        <x:is>
          <x:t xml:space="preserve">83-1717756</x:t>
        </x:is>
      </x:c>
      <x:c r="J140" s="14" t="n">
        <x:v>495036</x:v>
      </x:c>
      <x:c r="K140" s="14" t="n">
        <x:v>1016087</x:v>
      </x:c>
      <x:c r="L140" s="12" t="n">
        <x:v>0</x:v>
      </x:c>
      <x:c r="M140" s="15" t="n">
        <x:v>56</x:v>
      </x:c>
      <x:c r="N140" s="12" t="inlineStr">
        <x:is>
          <x:t xml:space="preserve">selected quantitative reference organization</x:t>
        </x:is>
      </x:c>
      <x:c r="O140" s="14" t="inlineStr">
        <x:is>
          <x:t xml:space="preserve">not collected/clean observation unavailable</x:t>
        </x:is>
      </x:c>
      <x:c r="P140" s="14" t="n"/>
      <x:c r="Q140" s="14" t="n"/>
      <x:c r="R140" s="12" t="n"/>
      <x:c r="S140" s="14" t="n"/>
      <x:c r="T140" s="17" t="n"/>
      <x:c r="U140" s="17" t="n"/>
      <x:c r="V140" s="13" t="inlineStr">
        <x:is>
          <x:t xml:space="preserve">Selected under the first expansion protocol before systematic pay review.</x:t>
        </x:is>
      </x:c>
    </x:row>
    <x:row r="141">
      <x:c r="A141" s="12" t="inlineStr">
        <x:is>
          <x:t xml:space="preserve">New Harvest</x:t>
        </x:is>
      </x:c>
      <x:c r="B141" s="12" t="inlineStr">
        <x:is>
          <x:t xml:space="preserve">C</x:t>
        </x:is>
      </x:c>
      <x:c r="C141" s="12" t="inlineStr">
        <x:is>
          <x:t xml:space="preserve">Tier C broad sensitivity</x:t>
        </x:is>
      </x:c>
      <x:c r="D141" s="12" t="inlineStr">
        <x:is>
          <x:t xml:space="preserve">first expansion</x:t>
        </x:is>
      </x:c>
      <x:c r="E141" s="12" t="inlineStr">
        <x:is>
          <x:t xml:space="preserve">Animal welfare and food systems</x:t>
        </x:is>
      </x:c>
      <x:c r="F141" s="12" t="inlineStr">
        <x:is>
          <x:t xml:space="preserve">EA-adjacent</x:t>
        </x:is>
      </x:c>
      <x:c r="G141" s="12" t="inlineStr">
        <x:is>
          <x:t xml:space="preserve">US</x:t>
        </x:is>
      </x:c>
      <x:c r="H141" s="12" t="inlineStr">
        <x:is>
          <x:t xml:space="preserve">independent nonprofit</x:t>
        </x:is>
      </x:c>
      <x:c r="I141" s="12" t="inlineStr">
        <x:is>
          <x:t xml:space="preserve">20-1425438</x:t>
        </x:is>
      </x:c>
      <x:c r="J141" s="14" t="n">
        <x:v>797070</x:v>
      </x:c>
      <x:c r="K141" s="14" t="n">
        <x:v>976255</x:v>
      </x:c>
      <x:c r="L141" s="12" t="n">
        <x:v>3</x:v>
      </x:c>
      <x:c r="M141" s="15" t="n">
        <x:v>56</x:v>
      </x:c>
      <x:c r="N141" s="12" t="inlineStr">
        <x:is>
          <x:t xml:space="preserve">selected quantitative reference organization</x:t>
        </x:is>
      </x:c>
      <x:c r="O141" s="14" t="inlineStr">
        <x:is>
          <x:t xml:space="preserve">not collected/clean observation unavailable</x:t>
        </x:is>
      </x:c>
      <x:c r="P141" s="14" t="n"/>
      <x:c r="Q141" s="14" t="n"/>
      <x:c r="R141" s="12" t="n"/>
      <x:c r="S141" s="14" t="n"/>
      <x:c r="T141" s="17" t="n"/>
      <x:c r="U141" s="17" t="n"/>
      <x:c r="V141" s="13" t="inlineStr">
        <x:is>
          <x:t xml:space="preserve">Selected under the first expansion protocol before systematic pay review.</x:t>
        </x:is>
      </x:c>
    </x:row>
    <x:row r="142">
      <x:c r="A142" s="12" t="inlineStr">
        <x:is>
          <x:t xml:space="preserve">Nonhuman Rights Project</x:t>
        </x:is>
      </x:c>
      <x:c r="B142" s="12" t="inlineStr">
        <x:is>
          <x:t xml:space="preserve">C</x:t>
        </x:is>
      </x:c>
      <x:c r="C142" s="12" t="inlineStr">
        <x:is>
          <x:t xml:space="preserve">Tier C broad sensitivity</x:t>
        </x:is>
      </x:c>
      <x:c r="D142" s="12" t="inlineStr">
        <x:is>
          <x:t xml:space="preserve">first expansion</x:t>
        </x:is>
      </x:c>
      <x:c r="E142" s="12" t="inlineStr">
        <x:is>
          <x:t xml:space="preserve">Animal welfare and food systems</x:t>
        </x:is>
      </x:c>
      <x:c r="F142" s="12" t="inlineStr">
        <x:is>
          <x:t xml:space="preserve">EA-adjacent</x:t>
        </x:is>
      </x:c>
      <x:c r="G142" s="12" t="inlineStr">
        <x:is>
          <x:t xml:space="preserve">US</x:t>
        </x:is>
      </x:c>
      <x:c r="H142" s="12" t="inlineStr">
        <x:is>
          <x:t xml:space="preserve">independent nonprofit</x:t>
        </x:is>
      </x:c>
      <x:c r="I142" s="12" t="inlineStr">
        <x:is>
          <x:t xml:space="preserve">04-3289466</x:t>
        </x:is>
      </x:c>
      <x:c r="J142" s="14" t="n">
        <x:v>2156429</x:v>
      </x:c>
      <x:c r="K142" s="14" t="n">
        <x:v>1583477</x:v>
      </x:c>
      <x:c r="L142" s="12" t="n">
        <x:v>11</x:v>
      </x:c>
      <x:c r="M142" s="15" t="n">
        <x:v>56</x:v>
      </x:c>
      <x:c r="N142" s="12" t="inlineStr">
        <x:is>
          <x:t xml:space="preserve">selected quantitative reference organization</x:t>
        </x:is>
      </x:c>
      <x:c r="O142" s="14" t="inlineStr">
        <x:is>
          <x:t xml:space="preserve">not collected/clean observation unavailable</x:t>
        </x:is>
      </x:c>
      <x:c r="P142" s="14" t="n"/>
      <x:c r="Q142" s="14" t="n"/>
      <x:c r="R142" s="12" t="n"/>
      <x:c r="S142" s="14" t="n"/>
      <x:c r="T142" s="17" t="n"/>
      <x:c r="U142" s="17" t="n"/>
      <x:c r="V142" s="13" t="inlineStr">
        <x:is>
          <x:t xml:space="preserve">Selected under the first expansion protocol before systematic pay review.</x:t>
        </x:is>
      </x:c>
    </x:row>
    <x:row r="143">
      <x:c r="A143" s="12" t="inlineStr">
        <x:is>
          <x:t xml:space="preserve">Aquatic Life Institute</x:t>
        </x:is>
      </x:c>
      <x:c r="B143" s="12" t="inlineStr">
        <x:is>
          <x:t xml:space="preserve">C</x:t>
        </x:is>
      </x:c>
      <x:c r="C143" s="12" t="inlineStr">
        <x:is>
          <x:t xml:space="preserve">Tier C broad sensitivity</x:t>
        </x:is>
      </x:c>
      <x:c r="D143" s="12" t="inlineStr">
        <x:is>
          <x:t xml:space="preserve">first expansion</x:t>
        </x:is>
      </x:c>
      <x:c r="E143" s="12" t="inlineStr">
        <x:is>
          <x:t xml:space="preserve">Animal welfare and food systems</x:t>
        </x:is>
      </x:c>
      <x:c r="F143" s="12" t="inlineStr">
        <x:is>
          <x:t xml:space="preserve">EA-adjacent</x:t>
        </x:is>
      </x:c>
      <x:c r="G143" s="12" t="inlineStr">
        <x:is>
          <x:t xml:space="preserve">US/international</x:t>
        </x:is>
      </x:c>
      <x:c r="H143" s="12" t="inlineStr">
        <x:is>
          <x:t xml:space="preserve">independent nonprofit</x:t>
        </x:is>
      </x:c>
      <x:c r="I143" s="12" t="inlineStr">
        <x:is>
          <x:t xml:space="preserve">87-3020380</x:t>
        </x:is>
      </x:c>
      <x:c r="J143" s="14" t="n">
        <x:v>746464</x:v>
      </x:c>
      <x:c r="K143" s="14" t="n">
        <x:v>733250</x:v>
      </x:c>
      <x:c r="L143" s="12" t="n">
        <x:v>1</x:v>
      </x:c>
      <x:c r="M143" s="15" t="n">
        <x:v>53</x:v>
      </x:c>
      <x:c r="N143" s="12" t="inlineStr">
        <x:is>
          <x:t xml:space="preserve">selected quantitative reference organization</x:t>
        </x:is>
      </x:c>
      <x:c r="O143" s="14" t="inlineStr">
        <x:is>
          <x:t xml:space="preserve">not collected/clean observation unavailable</x:t>
        </x:is>
      </x:c>
      <x:c r="P143" s="14" t="n"/>
      <x:c r="Q143" s="14" t="n"/>
      <x:c r="R143" s="12" t="n"/>
      <x:c r="S143" s="14" t="n"/>
      <x:c r="T143" s="17" t="n"/>
      <x:c r="U143" s="17" t="n"/>
      <x:c r="V143" s="13" t="inlineStr">
        <x:is>
          <x:t xml:space="preserve">Selected under the first expansion protocol before systematic pay review.</x:t>
        </x:is>
      </x:c>
    </x:row>
    <x:row r="144">
      <x:c r="A144" s="12" t="inlineStr">
        <x:is>
          <x:t xml:space="preserve">Farm Forward</x:t>
        </x:is>
      </x:c>
      <x:c r="B144" s="12" t="inlineStr">
        <x:is>
          <x:t xml:space="preserve">C</x:t>
        </x:is>
      </x:c>
      <x:c r="C144" s="12" t="inlineStr">
        <x:is>
          <x:t xml:space="preserve">Tier C broad sensitivity</x:t>
        </x:is>
      </x:c>
      <x:c r="D144" s="12" t="inlineStr">
        <x:is>
          <x:t xml:space="preserve">first expansion</x:t>
        </x:is>
      </x:c>
      <x:c r="E144" s="12" t="inlineStr">
        <x:is>
          <x:t xml:space="preserve">Animal welfare and food systems</x:t>
        </x:is>
      </x:c>
      <x:c r="F144" s="12" t="inlineStr">
        <x:is>
          <x:t xml:space="preserve">EA-adjacent</x:t>
        </x:is>
      </x:c>
      <x:c r="G144" s="12" t="inlineStr">
        <x:is>
          <x:t xml:space="preserve">US</x:t>
        </x:is>
      </x:c>
      <x:c r="H144" s="12" t="inlineStr">
        <x:is>
          <x:t xml:space="preserve">independent nonprofit</x:t>
        </x:is>
      </x:c>
      <x:c r="I144" s="12" t="inlineStr">
        <x:is>
          <x:t xml:space="preserve">26-1643614</x:t>
        </x:is>
      </x:c>
      <x:c r="J144" s="14" t="n">
        <x:v>1226680</x:v>
      </x:c>
      <x:c r="K144" s="14" t="n">
        <x:v>1069721</x:v>
      </x:c>
      <x:c r="L144" s="12" t="n">
        <x:v>9</x:v>
      </x:c>
      <x:c r="M144" s="15" t="n">
        <x:v>53</x:v>
      </x:c>
      <x:c r="N144" s="12" t="inlineStr">
        <x:is>
          <x:t xml:space="preserve">selected quantitative reference organization</x:t>
        </x:is>
      </x:c>
      <x:c r="O144" s="14" t="inlineStr">
        <x:is>
          <x:t xml:space="preserve">not collected/clean observation unavailable</x:t>
        </x:is>
      </x:c>
      <x:c r="P144" s="14" t="n"/>
      <x:c r="Q144" s="14" t="n"/>
      <x:c r="R144" s="12" t="n"/>
      <x:c r="S144" s="14" t="n"/>
      <x:c r="T144" s="17" t="n"/>
      <x:c r="U144" s="17" t="n"/>
      <x:c r="V144" s="13" t="inlineStr">
        <x:is>
          <x:t xml:space="preserve">Selected under the first expansion protocol before systematic pay review.</x:t>
        </x:is>
      </x:c>
    </x:row>
    <x:row r="145">
      <x:c r="A145" s="12" t="inlineStr">
        <x:is>
          <x:t xml:space="preserve">Public Library of Science</x:t>
        </x:is>
      </x:c>
      <x:c r="B145" s="12" t="inlineStr">
        <x:is>
          <x:t xml:space="preserve">C</x:t>
        </x:is>
      </x:c>
      <x:c r="C145" s="12" t="inlineStr">
        <x:is>
          <x:t xml:space="preserve">Tier C broad sensitivity</x:t>
        </x:is>
      </x:c>
      <x:c r="D145" s="12" t="inlineStr">
        <x:is>
          <x:t xml:space="preserve">first expansion</x:t>
        </x:is>
      </x:c>
      <x:c r="E145" s="13" t="inlineStr">
        <x:is>
          <x:t xml:space="preserve">Research, evaluation, philanthropy infrastructure, and policy</x:t>
        </x:is>
      </x:c>
      <x:c r="F145" s="12" t="inlineStr">
        <x:is>
          <x:t xml:space="preserve">functional-only</x:t>
        </x:is>
      </x:c>
      <x:c r="G145" s="12" t="inlineStr">
        <x:is>
          <x:t xml:space="preserve">US/international</x:t>
        </x:is>
      </x:c>
      <x:c r="H145" s="12" t="inlineStr">
        <x:is>
          <x:t xml:space="preserve">independent nonprofit</x:t>
        </x:is>
      </x:c>
      <x:c r="I145" s="12" t="inlineStr">
        <x:is>
          <x:t xml:space="preserve">68-0492065</x:t>
        </x:is>
      </x:c>
      <x:c r="J145" s="14" t="n">
        <x:v>41335403</x:v>
      </x:c>
      <x:c r="K145" s="14" t="n">
        <x:v>36985422</x:v>
      </x:c>
      <x:c r="L145" s="12" t="n">
        <x:v>236</x:v>
      </x:c>
      <x:c r="M145" s="15" t="n">
        <x:v>53</x:v>
      </x:c>
      <x:c r="N145" s="12" t="inlineStr">
        <x:is>
          <x:t xml:space="preserve">selected quantitative reference organization</x:t>
        </x:is>
      </x:c>
      <x:c r="O145" s="14" t="inlineStr">
        <x:is>
          <x:t xml:space="preserve">not collected/clean observation unavailable</x:t>
        </x:is>
      </x:c>
      <x:c r="P145" s="14" t="n"/>
      <x:c r="Q145" s="14" t="n"/>
      <x:c r="R145" s="12" t="n"/>
      <x:c r="S145" s="14" t="n"/>
      <x:c r="T145" s="17" t="n"/>
      <x:c r="U145" s="17" t="n"/>
      <x:c r="V145" s="13" t="inlineStr">
        <x:is>
          <x:t xml:space="preserve">Selected under the first expansion protocol before systematic pay review.</x:t>
        </x:is>
      </x:c>
    </x:row>
    <x:row r="146">
      <x:c r="A146" s="12" t="inlineStr">
        <x:is>
          <x:t xml:space="preserve">Sentience Institute</x:t>
        </x:is>
      </x:c>
      <x:c r="B146" s="12" t="inlineStr">
        <x:is>
          <x:t xml:space="preserve">C</x:t>
        </x:is>
      </x:c>
      <x:c r="C146" s="12" t="inlineStr">
        <x:is>
          <x:t xml:space="preserve">Tier C broad sensitivity</x:t>
        </x:is>
      </x:c>
      <x:c r="D146" s="12" t="inlineStr">
        <x:is>
          <x:t xml:space="preserve">first expansion</x:t>
        </x:is>
      </x:c>
      <x:c r="E146" s="12" t="inlineStr">
        <x:is>
          <x:t xml:space="preserve">Animal welfare and food systems</x:t>
        </x:is>
      </x:c>
      <x:c r="F146" s="12" t="inlineStr">
        <x:is>
          <x:t xml:space="preserve">EA-adjacent</x:t>
        </x:is>
      </x:c>
      <x:c r="G146" s="12" t="inlineStr">
        <x:is>
          <x:t xml:space="preserve">US</x:t>
        </x:is>
      </x:c>
      <x:c r="H146" s="12" t="inlineStr">
        <x:is>
          <x:t xml:space="preserve">independent nonprofit</x:t>
        </x:is>
      </x:c>
      <x:c r="I146" s="12" t="inlineStr">
        <x:is>
          <x:t xml:space="preserve">82-2537926</x:t>
        </x:is>
      </x:c>
      <x:c r="J146" s="14" t="n">
        <x:v>53363</x:v>
      </x:c>
      <x:c r="K146" s="14" t="n">
        <x:v>164090</x:v>
      </x:c>
      <x:c r="L146" s="12" t="n">
        <x:v>1</x:v>
      </x:c>
      <x:c r="M146" s="15" t="n">
        <x:v>53</x:v>
      </x:c>
      <x:c r="N146" s="12" t="inlineStr">
        <x:is>
          <x:t xml:space="preserve">selected quantitative reference organization</x:t>
        </x:is>
      </x:c>
      <x:c r="O146" s="14" t="inlineStr">
        <x:is>
          <x:t xml:space="preserve">not collected/clean observation unavailable</x:t>
        </x:is>
      </x:c>
      <x:c r="P146" s="14" t="n"/>
      <x:c r="Q146" s="14" t="n"/>
      <x:c r="R146" s="12" t="n"/>
      <x:c r="S146" s="14" t="n"/>
      <x:c r="T146" s="17" t="n"/>
      <x:c r="U146" s="17" t="n"/>
      <x:c r="V146" s="13" t="inlineStr">
        <x:is>
          <x:t xml:space="preserve">Selected under the first expansion protocol before systematic pay review.</x:t>
        </x:is>
      </x:c>
    </x:row>
    <x:row r="147">
      <x:c r="A147" s="12" t="inlineStr">
        <x:is>
          <x:t xml:space="preserve">Center for AI Policy</x:t>
        </x:is>
      </x:c>
      <x:c r="B147" s="12" t="inlineStr">
        <x:is>
          <x:t xml:space="preserve">C</x:t>
        </x:is>
      </x:c>
      <x:c r="C147" s="12" t="inlineStr">
        <x:is>
          <x:t xml:space="preserve">Tier C broad sensitivity</x:t>
        </x:is>
      </x:c>
      <x:c r="D147" s="12" t="inlineStr">
        <x:is>
          <x:t xml:space="preserve">first expansion</x:t>
        </x:is>
      </x:c>
      <x:c r="E147" s="13" t="inlineStr">
        <x:is>
          <x:t xml:space="preserve">AI, catastrophic risk, biosecurity, and technology policy</x:t>
        </x:is>
      </x:c>
      <x:c r="F147" s="12" t="inlineStr">
        <x:is>
          <x:t xml:space="preserve">EA-adjacent</x:t>
        </x:is>
      </x:c>
      <x:c r="G147" s="12" t="inlineStr">
        <x:is>
          <x:t xml:space="preserve">US</x:t>
        </x:is>
      </x:c>
      <x:c r="H147" s="12" t="inlineStr">
        <x:is>
          <x:t xml:space="preserve">independent nonprofit</x:t>
        </x:is>
      </x:c>
      <x:c r="I147" s="12" t="inlineStr">
        <x:is>
          <x:t xml:space="preserve">93-2050941</x:t>
        </x:is>
      </x:c>
      <x:c r="J147" s="14" t="n">
        <x:v>673200</x:v>
      </x:c>
      <x:c r="K147" s="14" t="n">
        <x:v>301463</x:v>
      </x:c>
      <x:c r="L147" s="12" t="n">
        <x:v>1</x:v>
      </x:c>
      <x:c r="M147" s="15" t="n">
        <x:v>52</x:v>
      </x:c>
      <x:c r="N147" s="12" t="inlineStr">
        <x:is>
          <x:t xml:space="preserve">selected quantitative reference organization</x:t>
        </x:is>
      </x:c>
      <x:c r="O147" s="14" t="inlineStr">
        <x:is>
          <x:t xml:space="preserve">not collected/clean observation unavailable</x:t>
        </x:is>
      </x:c>
      <x:c r="P147" s="14" t="n"/>
      <x:c r="Q147" s="14" t="n"/>
      <x:c r="R147" s="12" t="n"/>
      <x:c r="S147" s="14" t="n"/>
      <x:c r="T147" s="17" t="n"/>
      <x:c r="U147" s="17" t="n"/>
      <x:c r="V147" s="13" t="inlineStr">
        <x:is>
          <x:t xml:space="preserve">Selected under the first expansion protocol before systematic pay review.</x:t>
        </x:is>
      </x:c>
    </x:row>
    <x:row r="148">
      <x:c r="A148" s="12" t="inlineStr">
        <x:is>
          <x:t xml:space="preserve">High Impact Athletes</x:t>
        </x:is>
      </x:c>
      <x:c r="B148" s="12" t="inlineStr">
        <x:is>
          <x:t xml:space="preserve">C</x:t>
        </x:is>
      </x:c>
      <x:c r="C148" s="12" t="inlineStr">
        <x:is>
          <x:t xml:space="preserve">Tier C broad sensitivity</x:t>
        </x:is>
      </x:c>
      <x:c r="D148" s="12" t="inlineStr">
        <x:is>
          <x:t xml:space="preserve">first expansion</x:t>
        </x:is>
      </x:c>
      <x:c r="E148" s="12" t="inlineStr">
        <x:is>
          <x:t xml:space="preserve">EA infrastructure and effective giving</x:t>
        </x:is>
      </x:c>
      <x:c r="F148" s="12" t="inlineStr">
        <x:is>
          <x:t xml:space="preserve">EA-core</x:t>
        </x:is>
      </x:c>
      <x:c r="G148" s="12" t="inlineStr">
        <x:is>
          <x:t xml:space="preserve">US/international</x:t>
        </x:is>
      </x:c>
      <x:c r="H148" s="12" t="inlineStr">
        <x:is>
          <x:t xml:space="preserve">nonprofit or fiscally sponsored</x:t>
        </x:is>
      </x:c>
      <x:c r="I148" s="12" t="inlineStr">
        <x:is>
          <x:t xml:space="preserve">87-3955308</x:t>
        </x:is>
      </x:c>
      <x:c r="J148" s="14" t="n">
        <x:v>480243</x:v>
      </x:c>
      <x:c r="K148" s="14" t="n">
        <x:v>381597</x:v>
      </x:c>
      <x:c r="L148" s="12" t="n">
        <x:v>0</x:v>
      </x:c>
      <x:c r="M148" s="15" t="n">
        <x:v>52</x:v>
      </x:c>
      <x:c r="N148" s="12" t="inlineStr">
        <x:is>
          <x:t xml:space="preserve">selected quantitative reference organization</x:t>
        </x:is>
      </x:c>
      <x:c r="O148" s="14" t="inlineStr">
        <x:is>
          <x:t xml:space="preserve">not collected/clean observation unavailable</x:t>
        </x:is>
      </x:c>
      <x:c r="P148" s="14" t="n"/>
      <x:c r="Q148" s="14" t="n"/>
      <x:c r="R148" s="12" t="n"/>
      <x:c r="S148" s="14" t="n"/>
      <x:c r="T148" s="17" t="n"/>
      <x:c r="U148" s="17" t="n"/>
      <x:c r="V148" s="13" t="inlineStr">
        <x:is>
          <x:t xml:space="preserve">Selected under the first expansion protocol before systematic pay review.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0" customWidth="1"/>
    <x:col min="3" max="3" width="17" customWidth="1"/>
    <x:col min="4" max="4" width="35" customWidth="1"/>
    <x:col min="5" max="5" width="11" customWidth="1"/>
    <x:col min="6" max="6" width="20" customWidth="1"/>
    <x:col min="7" max="7" width="14" customWidth="1"/>
    <x:col min="8" max="8" width="18" customWidth="1"/>
    <x:col min="9" max="9" width="16" customWidth="1"/>
    <x:col min="10" max="10" width="12" customWidth="1"/>
    <x:col min="11" max="11" width="13" customWidth="1"/>
    <x:col min="12" max="12" width="13" customWidth="1"/>
    <x:col min="13" max="13" width="14" customWidth="1"/>
    <x:col min="14" max="14" width="17" customWidth="1"/>
    <x:col min="15" max="15" width="12" customWidth="1"/>
    <x:col min="16" max="16" width="10" customWidth="1"/>
    <x:col min="17" max="17" width="10" customWidth="1"/>
    <x:col min="18" max="18" width="29" customWidth="1"/>
    <x:col min="19" max="19" width="34" customWidth="1"/>
    <x:col min="20" max="20" width="12" customWidth="1"/>
    <x:col min="21" max="21" width="20" customWidth="1"/>
    <x:col min="22" max="22" width="28" customWidth="1"/>
    <x:col min="23" max="23" width="28" customWidth="1"/>
  </x:cols>
  <x:sheetData>
    <x:row r="1" ht="28" customHeight="1">
      <x:c r="A1" s="1" t="inlineStr">
        <x:is>
          <x:t xml:space="preserve">Primary Incumbent Form 990 Evidence</x:t>
        </x:is>
      </x:c>
    </x:row>
    <x:row r="2" ht="28" customHeight="1">
      <x:c r="A2" s="2" t="inlineStr">
        <x:is>
          <x:t xml:space="preserve">One clean organization-wide top-executive observation per organization; all dollars normalized to July 2026</x:t>
        </x:is>
      </x:c>
    </x:row>
    <x:row r="3"/>
    <x:row r="4" ht="30" customHeight="1">
      <x:c r="A4" s="3" t="inlineStr">
        <x:is>
          <x:t xml:space="preserve">Organization</x:t>
        </x:is>
      </x:c>
      <x:c r="B4" s="3" t="inlineStr">
        <x:is>
          <x:t xml:space="preserve">Tier</x:t>
        </x:is>
      </x:c>
      <x:c r="C4" s="3" t="inlineStr">
        <x:is>
          <x:t xml:space="preserve">EA affinity</x:t>
        </x:is>
      </x:c>
      <x:c r="D4" s="3" t="inlineStr">
        <x:is>
          <x:t xml:space="preserve">CEO title</x:t>
        </x:is>
      </x:c>
      <x:c r="E4" s="3" t="inlineStr">
        <x:is>
          <x:t xml:space="preserve">Comp year</x:t>
        </x:is>
      </x:c>
      <x:c r="F4" s="3" t="inlineStr">
        <x:is>
          <x:t xml:space="preserve">CPI factor</x:t>
        </x:is>
      </x:c>
      <x:c r="G4" s="3" t="inlineStr">
        <x:is>
          <x:t xml:space="preserve">Part VII org</x:t>
        </x:is>
      </x:c>
      <x:c r="H4" s="3" t="inlineStr">
        <x:is>
          <x:t xml:space="preserve">Part VII related</x:t>
        </x:is>
      </x:c>
      <x:c r="I4" s="3" t="inlineStr">
        <x:is>
          <x:t xml:space="preserve">Part VII other</x:t>
        </x:is>
      </x:c>
      <x:c r="J4" s="3" t="inlineStr">
        <x:is>
          <x:t xml:space="preserve">Cash proxy</x:t>
        </x:is>
      </x:c>
      <x:c r="K4" s="3" t="inlineStr">
        <x:is>
          <x:t xml:space="preserve">Total proxy</x:t>
        </x:is>
      </x:c>
      <x:c r="L4" s="3" t="inlineStr">
        <x:is>
          <x:t xml:space="preserve">Cash Jul-26</x:t>
        </x:is>
      </x:c>
      <x:c r="M4" s="3" t="inlineStr">
        <x:is>
          <x:t xml:space="preserve">Total Jul-26</x:t>
        </x:is>
      </x:c>
      <x:c r="N4" s="3" t="inlineStr">
        <x:is>
          <x:t xml:space="preserve">Schedule J base</x:t>
        </x:is>
      </x:c>
      <x:c r="O4" s="3" t="inlineStr">
        <x:is>
          <x:t xml:space="preserve">Expenses</x:t>
        </x:is>
      </x:c>
      <x:c r="P4" s="3" t="inlineStr">
        <x:is>
          <x:t xml:space="preserve">Staff</x:t>
        </x:is>
      </x:c>
      <x:c r="Q4" s="3" t="inlineStr">
        <x:is>
          <x:t xml:space="preserve">Score</x:t>
        </x:is>
      </x:c>
      <x:c r="R4" s="3" t="inlineStr">
        <x:is>
          <x:t xml:space="preserve">Analysis status</x:t>
        </x:is>
      </x:c>
      <x:c r="S4" s="3" t="inlineStr">
        <x:is>
          <x:t xml:space="preserve">Structure flag</x:t>
        </x:is>
      </x:c>
      <x:c r="T4" s="3" t="inlineStr">
        <x:is>
          <x:t xml:space="preserve">EIN</x:t>
        </x:is>
      </x:c>
      <x:c r="U4" s="3" t="inlineStr">
        <x:is>
          <x:t xml:space="preserve">IRS object ID</x:t>
        </x:is>
      </x:c>
      <x:c r="V4" s="3" t="inlineStr">
        <x:is>
          <x:t xml:space="preserve">Official IRS URL</x:t>
        </x:is>
      </x:c>
      <x:c r="W4" s="3" t="inlineStr">
        <x:is>
          <x:t xml:space="preserve">ProPublica URL</x:t>
        </x:is>
      </x:c>
    </x:row>
    <x:row r="5">
      <x:c r="A5" s="17" t="inlineStr">
        <x:is>
          <x:t xml:space="preserve">Charity Navigator</x:t>
        </x:is>
      </x:c>
      <x:c r="B5" s="17" t="inlineStr">
        <x:is>
          <x:t xml:space="preserve">A</x:t>
        </x:is>
      </x:c>
      <x:c r="C5" s="17" t="inlineStr">
        <x:is>
          <x:t xml:space="preserve">functional-only</x:t>
        </x:is>
      </x:c>
      <x:c r="D5" s="17" t="inlineStr">
        <x:is>
          <x:t xml:space="preserve">President &amp; CEO</x:t>
        </x:is>
      </x:c>
      <x:c r="E5" s="17" t="n">
        <x:v>2024</x:v>
      </x:c>
      <x:c r="F5" s="18" t="n">
        <x:v>1.06448800377019</x:v>
      </x:c>
      <x:c r="G5" s="19" t="n">
        <x:v>324339</x:v>
      </x:c>
      <x:c r="H5" s="19" t="n">
        <x:v>0</x:v>
      </x:c>
      <x:c r="I5" s="19" t="n">
        <x:v>21494</x:v>
      </x:c>
      <x:c r="J5" s="20" t="n">
        <x:f>G5+H5</x:f>
        <x:v>324339</x:v>
      </x:c>
      <x:c r="K5" s="20" t="n">
        <x:f>J5+I5</x:f>
        <x:v>345833</x:v>
      </x:c>
      <x:c r="L5" s="20" t="n">
        <x:f>J5*F5</x:f>
        <x:v>345254.97465481964</x:v>
      </x:c>
      <x:c r="M5" s="20" t="n">
        <x:f>K5*F5</x:f>
        <x:v>368135.0798078561</x:v>
      </x:c>
      <x:c r="N5" s="19" t="n"/>
      <x:c r="O5" s="19" t="n">
        <x:v>7840893</x:v>
      </x:c>
      <x:c r="P5" s="21" t="n"/>
      <x:c r="Q5" s="21" t="n">
        <x:v>86</x:v>
      </x:c>
      <x:c r="R5" s="16" t="inlineStr">
        <x:is>
          <x:t xml:space="preserve">primary</x:t>
        </x:is>
      </x:c>
      <x:c r="S5" s="16" t="inlineStr">
        <x:is>
          <x:t xml:space="preserve">none</x:t>
        </x:is>
      </x:c>
      <x:c r="T5" s="17" t="inlineStr">
        <x:is>
          <x:t xml:space="preserve">13-4148824</x:t>
        </x:is>
      </x:c>
      <x:c r="U5" s="17" t="inlineStr">
        <x:is>
          <x:t xml:space="preserve">202640789349301509</x:t>
        </x:is>
      </x:c>
      <x:c r="V5" s="16" t="inlineStr">
        <x:is>
          <x:t xml:space="preserve">https://apps.irs.gov/pub/epostcard/990/xml/2026/202640789349301509_public.xml</x:t>
        </x:is>
      </x:c>
      <x:c r="W5" s="16" t="inlineStr">
        <x:is>
          <x:t xml:space="preserve">https://projects.propublica.org/nonprofits/organizations/134148824</x:t>
        </x:is>
      </x:c>
    </x:row>
    <x:row r="6">
      <x:c r="A6" s="17" t="inlineStr">
        <x:is>
          <x:t xml:space="preserve">Niskanen Center</x:t>
        </x:is>
      </x:c>
      <x:c r="B6" s="17" t="inlineStr">
        <x:is>
          <x:t xml:space="preserve">A</x:t>
        </x:is>
      </x:c>
      <x:c r="C6" s="17" t="inlineStr">
        <x:is>
          <x:t xml:space="preserve">functional-only</x:t>
        </x:is>
      </x:c>
      <x:c r="D6" s="17" t="inlineStr">
        <x:is>
          <x:t xml:space="preserve">President</x:t>
        </x:is>
      </x:c>
      <x:c r="E6" s="17" t="n">
        <x:v>2024</x:v>
      </x:c>
      <x:c r="F6" s="18" t="n">
        <x:v>1.06448800377019</x:v>
      </x:c>
      <x:c r="G6" s="19" t="n">
        <x:v>682105</x:v>
      </x:c>
      <x:c r="H6" s="19" t="n">
        <x:v>0</x:v>
      </x:c>
      <x:c r="I6" s="19" t="n">
        <x:v>832</x:v>
      </x:c>
      <x:c r="J6" s="20" t="n">
        <x:f>G6+H6</x:f>
        <x:v>682105</x:v>
      </x:c>
      <x:c r="K6" s="20" t="n">
        <x:f>J6+I6</x:f>
        <x:v>682937</x:v>
      </x:c>
      <x:c r="L6" s="20" t="n">
        <x:f>J6*F6</x:f>
        <x:v>726092.5898116655</x:v>
      </x:c>
      <x:c r="M6" s="20" t="n">
        <x:f>K6*F6</x:f>
        <x:v>726978.2438308023</x:v>
      </x:c>
      <x:c r="N6" s="19" t="n"/>
      <x:c r="O6" s="19" t="n">
        <x:v>10357724</x:v>
      </x:c>
      <x:c r="P6" s="21" t="n"/>
      <x:c r="Q6" s="21" t="n">
        <x:v>85</x:v>
      </x:c>
      <x:c r="R6" s="16" t="inlineStr">
        <x:is>
          <x:t xml:space="preserve">primary</x:t>
        </x:is>
      </x:c>
      <x:c r="S6" s="16" t="inlineStr">
        <x:is>
          <x:t xml:space="preserve">unusually_high_cash_proxy_relative_to_prior_years</x:t>
        </x:is>
      </x:c>
      <x:c r="T6" s="17" t="inlineStr">
        <x:is>
          <x:t xml:space="preserve">45-5308952</x:t>
        </x:is>
      </x:c>
      <x:c r="U6" s="17" t="inlineStr">
        <x:is>
          <x:t xml:space="preserve">202523179349301947</x:t>
        </x:is>
      </x:c>
      <x:c r="V6" s="16" t="inlineStr">
        <x:is>
          <x:t xml:space="preserve">https://apps.irs.gov/pub/epostcard/990/xml/2025/202523179349301947_public.xml</x:t>
        </x:is>
      </x:c>
      <x:c r="W6" s="16" t="inlineStr">
        <x:is>
          <x:t xml:space="preserve">https://projects.propublica.org/nonprofits/organizations/455308952</x:t>
        </x:is>
      </x:c>
    </x:row>
    <x:row r="7">
      <x:c r="A7" s="17" t="inlineStr">
        <x:is>
          <x:t xml:space="preserve">Center for Open Science</x:t>
        </x:is>
      </x:c>
      <x:c r="B7" s="17" t="inlineStr">
        <x:is>
          <x:t xml:space="preserve">A</x:t>
        </x:is>
      </x:c>
      <x:c r="C7" s="17" t="inlineStr">
        <x:is>
          <x:t xml:space="preserve">functional-only</x:t>
        </x:is>
      </x:c>
      <x:c r="D7" s="17" t="inlineStr">
        <x:is>
          <x:t xml:space="preserve">Executive Director</x:t>
        </x:is>
      </x:c>
      <x:c r="E7" s="17" t="n">
        <x:v>2024</x:v>
      </x:c>
      <x:c r="F7" s="18" t="n">
        <x:v>1.06448800377019</x:v>
      </x:c>
      <x:c r="G7" s="19" t="n">
        <x:v>252500</x:v>
      </x:c>
      <x:c r="H7" s="19" t="n">
        <x:v>0</x:v>
      </x:c>
      <x:c r="I7" s="19" t="n">
        <x:v>10100</x:v>
      </x:c>
      <x:c r="J7" s="20" t="n">
        <x:f>G7+H7</x:f>
        <x:v>252500</x:v>
      </x:c>
      <x:c r="K7" s="20" t="n">
        <x:f>J7+I7</x:f>
        <x:v>262600</x:v>
      </x:c>
      <x:c r="L7" s="20" t="n">
        <x:f>J7*F7</x:f>
        <x:v>268783.220951973</x:v>
      </x:c>
      <x:c r="M7" s="20" t="n">
        <x:f>K7*F7</x:f>
        <x:v>279534.5497900519</x:v>
      </x:c>
      <x:c r="N7" s="19" t="n"/>
      <x:c r="O7" s="19" t="n">
        <x:v>8787031</x:v>
      </x:c>
      <x:c r="P7" s="21" t="n"/>
      <x:c r="Q7" s="21" t="n">
        <x:v>87</x:v>
      </x:c>
      <x:c r="R7" s="16" t="inlineStr">
        <x:is>
          <x:t xml:space="preserve">primary</x:t>
        </x:is>
      </x:c>
      <x:c r="S7" s="16" t="inlineStr">
        <x:is>
          <x:t xml:space="preserve">founder</x:t>
        </x:is>
      </x:c>
      <x:c r="T7" s="17" t="inlineStr">
        <x:is>
          <x:t xml:space="preserve">46-1496217</x:t>
        </x:is>
      </x:c>
      <x:c r="U7" s="17" t="inlineStr">
        <x:is>
          <x:t xml:space="preserve">202513219349318466</x:t>
        </x:is>
      </x:c>
      <x:c r="V7" s="16" t="inlineStr">
        <x:is>
          <x:t xml:space="preserve">https://apps.irs.gov/pub/epostcard/990/xml/2025/202513219349318466_public.xml</x:t>
        </x:is>
      </x:c>
      <x:c r="W7" s="16" t="inlineStr">
        <x:is>
          <x:t xml:space="preserve">https://projects.propublica.org/nonprofits/organizations/461496217</x:t>
        </x:is>
      </x:c>
    </x:row>
    <x:row r="8">
      <x:c r="A8" s="17" t="inlineStr">
        <x:is>
          <x:t xml:space="preserve">Partnership on AI</x:t>
        </x:is>
      </x:c>
      <x:c r="B8" s="17" t="inlineStr">
        <x:is>
          <x:t xml:space="preserve">A</x:t>
        </x:is>
      </x:c>
      <x:c r="C8" s="17" t="inlineStr">
        <x:is>
          <x:t xml:space="preserve">EA-adjacent</x:t>
        </x:is>
      </x:c>
      <x:c r="D8" s="17" t="inlineStr">
        <x:is>
          <x:t xml:space="preserve">Chief Executive Officer</x:t>
        </x:is>
      </x:c>
      <x:c r="E8" s="17" t="n">
        <x:v>2024</x:v>
      </x:c>
      <x:c r="F8" s="18" t="n">
        <x:v>1.06448800377019</x:v>
      </x:c>
      <x:c r="G8" s="19" t="n">
        <x:v>337293</x:v>
      </x:c>
      <x:c r="H8" s="19" t="n">
        <x:v>0</x:v>
      </x:c>
      <x:c r="I8" s="19" t="n">
        <x:v>30730</x:v>
      </x:c>
      <x:c r="J8" s="20" t="n">
        <x:f>G8+H8</x:f>
        <x:v>337293</x:v>
      </x:c>
      <x:c r="K8" s="20" t="n">
        <x:f>J8+I8</x:f>
        <x:v>368023</x:v>
      </x:c>
      <x:c r="L8" s="20" t="n">
        <x:f>J8*F8</x:f>
        <x:v>359044.3522556587</x:v>
      </x:c>
      <x:c r="M8" s="20" t="n">
        <x:f>K8*F8</x:f>
        <x:v>391756.0686115167</x:v>
      </x:c>
      <x:c r="N8" s="19" t="n"/>
      <x:c r="O8" s="19" t="n">
        <x:v>8372133</x:v>
      </x:c>
      <x:c r="P8" s="21" t="n"/>
      <x:c r="Q8" s="21" t="n">
        <x:v>94</x:v>
      </x:c>
      <x:c r="R8" s="16" t="inlineStr">
        <x:is>
          <x:t xml:space="preserve">primary</x:t>
        </x:is>
      </x:c>
      <x:c r="S8" s="16" t="inlineStr">
        <x:is>
          <x:t xml:space="preserve">none</x:t>
        </x:is>
      </x:c>
      <x:c r="T8" s="17" t="inlineStr">
        <x:is>
          <x:t xml:space="preserve">32-0518917</x:t>
        </x:is>
      </x:c>
      <x:c r="U8" s="17" t="inlineStr">
        <x:is>
          <x:t xml:space="preserve">202543219349322709</x:t>
        </x:is>
      </x:c>
      <x:c r="V8" s="16" t="inlineStr">
        <x:is>
          <x:t xml:space="preserve">https://apps.irs.gov/pub/epostcard/990/xml/2025/202543219349322709_public.xml</x:t>
        </x:is>
      </x:c>
      <x:c r="W8" s="16" t="inlineStr">
        <x:is>
          <x:t xml:space="preserve">https://projects.propublica.org/nonprofits/organizations/320518917</x:t>
        </x:is>
      </x:c>
    </x:row>
    <x:row r="9">
      <x:c r="A9" s="17" t="inlineStr">
        <x:is>
          <x:t xml:space="preserve">Center for Democracy &amp; Technology</x:t>
        </x:is>
      </x:c>
      <x:c r="B9" s="17" t="inlineStr">
        <x:is>
          <x:t xml:space="preserve">A</x:t>
        </x:is>
      </x:c>
      <x:c r="C9" s="17" t="inlineStr">
        <x:is>
          <x:t xml:space="preserve">EA-adjacent</x:t>
        </x:is>
      </x:c>
      <x:c r="D9" s="17" t="inlineStr">
        <x:is>
          <x:t xml:space="preserve">President &amp; CEO</x:t>
        </x:is>
      </x:c>
      <x:c r="E9" s="17" t="n">
        <x:v>2024</x:v>
      </x:c>
      <x:c r="F9" s="18" t="n">
        <x:v>1.06448800377019</x:v>
      </x:c>
      <x:c r="G9" s="19" t="n">
        <x:v>417500</x:v>
      </x:c>
      <x:c r="H9" s="19" t="n">
        <x:v>0</x:v>
      </x:c>
      <x:c r="I9" s="19" t="n">
        <x:v>45725</x:v>
      </x:c>
      <x:c r="J9" s="20" t="n">
        <x:f>G9+H9</x:f>
        <x:v>417500</x:v>
      </x:c>
      <x:c r="K9" s="20" t="n">
        <x:f>J9+I9</x:f>
        <x:v>463225</x:v>
      </x:c>
      <x:c r="L9" s="20" t="n">
        <x:f>J9*F9</x:f>
        <x:v>444423.74157405435</x:v>
      </x:c>
      <x:c r="M9" s="20" t="n">
        <x:f>K9*F9</x:f>
        <x:v>493097.45554644626</x:v>
      </x:c>
      <x:c r="N9" s="19" t="n"/>
      <x:c r="O9" s="19" t="n">
        <x:v>8766703</x:v>
      </x:c>
      <x:c r="P9" s="21" t="n"/>
      <x:c r="Q9" s="21" t="n">
        <x:v>92</x:v>
      </x:c>
      <x:c r="R9" s="16" t="inlineStr">
        <x:is>
          <x:t xml:space="preserve">primary</x:t>
        </x:is>
      </x:c>
      <x:c r="S9" s="16" t="inlineStr">
        <x:is>
          <x:t xml:space="preserve">none</x:t>
        </x:is>
      </x:c>
      <x:c r="T9" s="17" t="inlineStr">
        <x:is>
          <x:t xml:space="preserve">52-1905358</x:t>
        </x:is>
      </x:c>
      <x:c r="U9" s="17" t="inlineStr">
        <x:is>
          <x:t xml:space="preserve">202533219349301933</x:t>
        </x:is>
      </x:c>
      <x:c r="V9" s="16" t="inlineStr">
        <x:is>
          <x:t xml:space="preserve">https://apps.irs.gov/pub/epostcard/990/xml/2025/202533219349301933_public.xml</x:t>
        </x:is>
      </x:c>
      <x:c r="W9" s="16" t="inlineStr">
        <x:is>
          <x:t xml:space="preserve">https://projects.propublica.org/nonprofits/organizations/521905358</x:t>
        </x:is>
      </x:c>
    </x:row>
    <x:row r="10">
      <x:c r="A10" s="17" t="inlineStr">
        <x:is>
          <x:t xml:space="preserve">Future of Privacy Forum</x:t>
        </x:is>
      </x:c>
      <x:c r="B10" s="17" t="inlineStr">
        <x:is>
          <x:t xml:space="preserve">A</x:t>
        </x:is>
      </x:c>
      <x:c r="C10" s="17" t="inlineStr">
        <x:is>
          <x:t xml:space="preserve">EA-adjacent</x:t>
        </x:is>
      </x:c>
      <x:c r="D10" s="17" t="inlineStr">
        <x:is>
          <x:t xml:space="preserve">Chief Executive Officer</x:t>
        </x:is>
      </x:c>
      <x:c r="E10" s="17" t="n">
        <x:v>2024</x:v>
      </x:c>
      <x:c r="F10" s="18" t="n">
        <x:v>1.06448800377019</x:v>
      </x:c>
      <x:c r="G10" s="19" t="n">
        <x:v>741942</x:v>
      </x:c>
      <x:c r="H10" s="19" t="n">
        <x:v>0</x:v>
      </x:c>
      <x:c r="I10" s="19" t="n">
        <x:v>66751</x:v>
      </x:c>
      <x:c r="J10" s="20" t="n">
        <x:f>G10+H10</x:f>
        <x:v>741942</x:v>
      </x:c>
      <x:c r="K10" s="20" t="n">
        <x:f>J10+I10</x:f>
        <x:v>808693</x:v>
      </x:c>
      <x:c r="L10" s="20" t="n">
        <x:f>J10*F10</x:f>
        <x:v>789788.3584932623</x:v>
      </x:c>
      <x:c r="M10" s="20" t="n">
        <x:f>K10*F10</x:f>
        <x:v>860843.9972329263</x:v>
      </x:c>
      <x:c r="N10" s="19" t="n"/>
      <x:c r="O10" s="19" t="n">
        <x:v>14356624</x:v>
      </x:c>
      <x:c r="P10" s="21" t="n"/>
      <x:c r="Q10" s="21" t="n">
        <x:v>93</x:v>
      </x:c>
      <x:c r="R10" s="16" t="inlineStr">
        <x:is>
          <x:t xml:space="preserve">primary</x:t>
        </x:is>
      </x:c>
      <x:c r="S10" s="16" t="inlineStr">
        <x:is>
          <x:t xml:space="preserve">founder_and_unusually_high_cash_proxy</x:t>
        </x:is>
      </x:c>
      <x:c r="T10" s="17" t="inlineStr">
        <x:is>
          <x:t xml:space="preserve">45-3763097</x:t>
        </x:is>
      </x:c>
      <x:c r="U10" s="17" t="inlineStr">
        <x:is>
          <x:t xml:space="preserve">202543219349319589</x:t>
        </x:is>
      </x:c>
      <x:c r="V10" s="16" t="inlineStr">
        <x:is>
          <x:t xml:space="preserve">https://apps.irs.gov/pub/epostcard/990/xml/2025/202543219349319589_public.xml</x:t>
        </x:is>
      </x:c>
      <x:c r="W10" s="16" t="inlineStr">
        <x:is>
          <x:t xml:space="preserve">https://projects.propublica.org/nonprofits/organizations/453763097</x:t>
        </x:is>
      </x:c>
    </x:row>
    <x:row r="11">
      <x:c r="A11" s="17" t="inlineStr">
        <x:is>
          <x:t xml:space="preserve">Results for America</x:t>
        </x:is>
      </x:c>
      <x:c r="B11" s="17" t="inlineStr">
        <x:is>
          <x:t xml:space="preserve">B</x:t>
        </x:is>
      </x:c>
      <x:c r="C11" s="17" t="inlineStr">
        <x:is>
          <x:t xml:space="preserve">functional-only</x:t>
        </x:is>
      </x:c>
      <x:c r="D11" s="17" t="inlineStr">
        <x:is>
          <x:t xml:space="preserve">President &amp; CEO</x:t>
        </x:is>
      </x:c>
      <x:c r="E11" s="17" t="n">
        <x:v>2024</x:v>
      </x:c>
      <x:c r="F11" s="18" t="n">
        <x:v>1.06448800377019</x:v>
      </x:c>
      <x:c r="G11" s="19" t="n">
        <x:v>311352</x:v>
      </x:c>
      <x:c r="H11" s="19" t="n">
        <x:v>0</x:v>
      </x:c>
      <x:c r="I11" s="19" t="n">
        <x:v>7176</x:v>
      </x:c>
      <x:c r="J11" s="20" t="n">
        <x:f>G11+H11</x:f>
        <x:v>311352</x:v>
      </x:c>
      <x:c r="K11" s="20" t="n">
        <x:f>J11+I11</x:f>
        <x:v>318528</x:v>
      </x:c>
      <x:c r="L11" s="20" t="n">
        <x:f>J11*F11</x:f>
        <x:v>331430.46894985624</x:v>
      </x:c>
      <x:c r="M11" s="20" t="n">
        <x:f>K11*F11</x:f>
        <x:v>339069.23486491106</x:v>
      </x:c>
      <x:c r="N11" s="19" t="n"/>
      <x:c r="O11" s="19" t="n">
        <x:v>24594265</x:v>
      </x:c>
      <x:c r="P11" s="21" t="n"/>
      <x:c r="Q11" s="21" t="n">
        <x:v>74</x:v>
      </x:c>
      <x:c r="R11" s="16" t="inlineStr">
        <x:is>
          <x:t xml:space="preserve">primary</x:t>
        </x:is>
      </x:c>
      <x:c r="S11" s="16" t="inlineStr">
        <x:is>
          <x:t xml:space="preserve">above_strict_expense_band_and_implementation_mix</x:t>
        </x:is>
      </x:c>
      <x:c r="T11" s="17" t="inlineStr">
        <x:is>
          <x:t xml:space="preserve">81-2709681</x:t>
        </x:is>
      </x:c>
      <x:c r="U11" s="17" t="inlineStr">
        <x:is>
          <x:t xml:space="preserve">202513179349309376</x:t>
        </x:is>
      </x:c>
      <x:c r="V11" s="16" t="inlineStr">
        <x:is>
          <x:t xml:space="preserve">https://apps.irs.gov/pub/epostcard/990/xml/2025/202513179349309376_public.xml</x:t>
        </x:is>
      </x:c>
      <x:c r="W11" s="16" t="inlineStr">
        <x:is>
          <x:t xml:space="preserve">https://projects.propublica.org/nonprofits/organizations/812709681</x:t>
        </x:is>
      </x:c>
    </x:row>
    <x:row r="12">
      <x:c r="A12" s="17" t="inlineStr">
        <x:is>
          <x:t xml:space="preserve">Social Science Research Council</x:t>
        </x:is>
      </x:c>
      <x:c r="B12" s="17" t="inlineStr">
        <x:is>
          <x:t xml:space="preserve">B</x:t>
        </x:is>
      </x:c>
      <x:c r="C12" s="17" t="inlineStr">
        <x:is>
          <x:t xml:space="preserve">functional-only</x:t>
        </x:is>
      </x:c>
      <x:c r="D12" s="17" t="inlineStr">
        <x:is>
          <x:t xml:space="preserve">President</x:t>
        </x:is>
      </x:c>
      <x:c r="E12" s="17" t="n">
        <x:v>2024</x:v>
      </x:c>
      <x:c r="F12" s="18" t="n">
        <x:v>1.06448800377019</x:v>
      </x:c>
      <x:c r="G12" s="19" t="n">
        <x:v>341003</x:v>
      </x:c>
      <x:c r="H12" s="19" t="n">
        <x:v>0</x:v>
      </x:c>
      <x:c r="I12" s="19" t="n">
        <x:v>42326</x:v>
      </x:c>
      <x:c r="J12" s="20" t="n">
        <x:f>G12+H12</x:f>
        <x:v>341003</x:v>
      </x:c>
      <x:c r="K12" s="20" t="n">
        <x:f>J12+I12</x:f>
        <x:v>383329</x:v>
      </x:c>
      <x:c r="L12" s="20" t="n">
        <x:f>J12*F12</x:f>
        <x:v>362993.6027496461</x:v>
      </x:c>
      <x:c r="M12" s="20" t="n">
        <x:f>K12*F12</x:f>
        <x:v>408049.1219972232</x:v>
      </x:c>
      <x:c r="N12" s="19" t="n"/>
      <x:c r="O12" s="19" t="n">
        <x:v>15470220</x:v>
      </x:c>
      <x:c r="P12" s="21" t="n"/>
      <x:c r="Q12" s="21" t="n">
        <x:v>85</x:v>
      </x:c>
      <x:c r="R12" s="16" t="inlineStr">
        <x:is>
          <x:t xml:space="preserve">primary</x:t>
        </x:is>
      </x:c>
      <x:c r="S12" s="16" t="inlineStr">
        <x:is>
          <x:t xml:space="preserve">fellowships_grants_and_regranting_mix</x:t>
        </x:is>
      </x:c>
      <x:c r="T12" s="17" t="inlineStr">
        <x:is>
          <x:t xml:space="preserve">13-1325070</x:t>
        </x:is>
      </x:c>
      <x:c r="U12" s="17" t="inlineStr">
        <x:is>
          <x:t xml:space="preserve">202641339349307834</x:t>
        </x:is>
      </x:c>
      <x:c r="V12" s="16" t="inlineStr">
        <x:is>
          <x:t xml:space="preserve">https://apps.irs.gov/pub/epostcard/990/xml/2026/202641339349307834_public.xml</x:t>
        </x:is>
      </x:c>
      <x:c r="W12" s="16" t="inlineStr">
        <x:is>
          <x:t xml:space="preserve">https://projects.propublica.org/nonprofits/organizations/131325070</x:t>
        </x:is>
      </x:c>
    </x:row>
    <x:row r="13">
      <x:c r="A13" s="17" t="inlineStr">
        <x:is>
          <x:t xml:space="preserve">Center for AI Safety</x:t>
        </x:is>
      </x:c>
      <x:c r="B13" s="17" t="inlineStr">
        <x:is>
          <x:t xml:space="preserve">A</x:t>
        </x:is>
      </x:c>
      <x:c r="C13" s="17" t="inlineStr">
        <x:is>
          <x:t xml:space="preserve">EA-adjacent</x:t>
        </x:is>
      </x:c>
      <x:c r="D13" s="17" t="inlineStr">
        <x:is>
          <x:t xml:space="preserve">President &amp; Treasurer</x:t>
        </x:is>
      </x:c>
      <x:c r="E13" s="17" t="n">
        <x:v>2024</x:v>
      </x:c>
      <x:c r="F13" s="18" t="n">
        <x:v>1.06448800377019</x:v>
      </x:c>
      <x:c r="G13" s="19" t="n">
        <x:v>242953</x:v>
      </x:c>
      <x:c r="H13" s="19" t="n">
        <x:v>0</x:v>
      </x:c>
      <x:c r="I13" s="19" t="n">
        <x:v>22764</x:v>
      </x:c>
      <x:c r="J13" s="20" t="n">
        <x:f>G13+H13</x:f>
        <x:v>242953</x:v>
      </x:c>
      <x:c r="K13" s="20" t="n">
        <x:f>J13+I13</x:f>
        <x:v>265717</x:v>
      </x:c>
      <x:c r="L13" s="20" t="n">
        <x:f>J13*F13</x:f>
        <x:v>258620.55397997898</x:v>
      </x:c>
      <x:c r="M13" s="20" t="n">
        <x:f>K13*F13</x:f>
        <x:v>282852.5588978036</x:v>
      </x:c>
      <x:c r="N13" s="19" t="n"/>
      <x:c r="O13" s="19" t="n">
        <x:v>7163607</x:v>
      </x:c>
      <x:c r="P13" s="21" t="n">
        <x:v>25</x:v>
      </x:c>
      <x:c r="Q13" s="21" t="n">
        <x:v>94</x:v>
      </x:c>
      <x:c r="R13" s="16" t="inlineStr">
        <x:is>
          <x:t xml:space="preserve">primary</x:t>
        </x:is>
      </x:c>
      <x:c r="S13" s="16" t="inlineStr">
        <x:is>
          <x:t xml:space="preserve">founder</x:t>
        </x:is>
      </x:c>
      <x:c r="T13" s="17" t="inlineStr">
        <x:is>
          <x:t xml:space="preserve">88-1751310</x:t>
        </x:is>
      </x:c>
      <x:c r="U13" s="17" t="inlineStr">
        <x:is>
          <x:t xml:space="preserve">202503219349323615</x:t>
        </x:is>
      </x:c>
      <x:c r="V13" s="16" t="inlineStr">
        <x:is>
          <x:t xml:space="preserve">https://apps.irs.gov/pub/epostcard/990/xml/2025/202503219349323615_public.xml</x:t>
        </x:is>
      </x:c>
      <x:c r="W13" s="16" t="inlineStr">
        <x:is>
          <x:t xml:space="preserve">https://projects.propublica.org/nonprofits/organizations/881751310</x:t>
        </x:is>
      </x:c>
    </x:row>
    <x:row r="14">
      <x:c r="A14" s="17" t="inlineStr">
        <x:is>
          <x:t xml:space="preserve">FAR AI</x:t>
        </x:is>
      </x:c>
      <x:c r="B14" s="17" t="inlineStr">
        <x:is>
          <x:t xml:space="preserve">A</x:t>
        </x:is>
      </x:c>
      <x:c r="C14" s="17" t="inlineStr">
        <x:is>
          <x:t xml:space="preserve">EA-adjacent</x:t>
        </x:is>
      </x:c>
      <x:c r="D14" s="17" t="inlineStr">
        <x:is>
          <x:t xml:space="preserve">President/CEO</x:t>
        </x:is>
      </x:c>
      <x:c r="E14" s="17" t="n">
        <x:v>2024</x:v>
      </x:c>
      <x:c r="F14" s="18" t="n">
        <x:v>1.06448800377019</x:v>
      </x:c>
      <x:c r="G14" s="19" t="n">
        <x:v>229331</x:v>
      </x:c>
      <x:c r="H14" s="19" t="n">
        <x:v>0</x:v>
      </x:c>
      <x:c r="I14" s="19" t="n">
        <x:v>8273</x:v>
      </x:c>
      <x:c r="J14" s="20" t="n">
        <x:f>G14+H14</x:f>
        <x:v>229331</x:v>
      </x:c>
      <x:c r="K14" s="20" t="n">
        <x:f>J14+I14</x:f>
        <x:v>237604</x:v>
      </x:c>
      <x:c r="L14" s="20" t="n">
        <x:f>J14*F14</x:f>
        <x:v>244120.09839262144</x:v>
      </x:c>
      <x:c r="M14" s="20" t="n">
        <x:f>K14*F14</x:f>
        <x:v>252926.60764781223</x:v>
      </x:c>
      <x:c r="N14" s="19" t="n"/>
      <x:c r="O14" s="19" t="n">
        <x:v>8602996</x:v>
      </x:c>
      <x:c r="P14" s="21" t="n">
        <x:v>22</x:v>
      </x:c>
      <x:c r="Q14" s="21" t="n">
        <x:v>91</x:v>
      </x:c>
      <x:c r="R14" s="16" t="inlineStr">
        <x:is>
          <x:t xml:space="preserve">primary</x:t>
        </x:is>
      </x:c>
      <x:c r="S14" s="16" t="inlineStr">
        <x:is>
          <x:t xml:space="preserve">none</x:t>
        </x:is>
      </x:c>
      <x:c r="T14" s="17" t="inlineStr">
        <x:is>
          <x:t xml:space="preserve">92-0692207</x:t>
        </x:is>
      </x:c>
      <x:c r="U14" s="17" t="inlineStr">
        <x:is>
          <x:t xml:space="preserve">202543189349316054</x:t>
        </x:is>
      </x:c>
      <x:c r="V14" s="16" t="inlineStr">
        <x:is>
          <x:t xml:space="preserve">https://apps.irs.gov/pub/epostcard/990/xml/2025/202543189349316054_public.xml</x:t>
        </x:is>
      </x:c>
      <x:c r="W14" s="16" t="inlineStr">
        <x:is>
          <x:t xml:space="preserve">https://projects.propublica.org/nonprofits/organizations/920692207</x:t>
        </x:is>
      </x:c>
    </x:row>
    <x:row r="15">
      <x:c r="A15" s="17" t="inlineStr">
        <x:is>
          <x:t xml:space="preserve">Council on Strategic Risks</x:t>
        </x:is>
      </x:c>
      <x:c r="B15" s="17" t="inlineStr">
        <x:is>
          <x:t xml:space="preserve">A</x:t>
        </x:is>
      </x:c>
      <x:c r="C15" s="17" t="inlineStr">
        <x:is>
          <x:t xml:space="preserve">EA-adjacent</x:t>
        </x:is>
      </x:c>
      <x:c r="D15" s="17" t="inlineStr">
        <x:is>
          <x:t xml:space="preserve">Chief Executive Officer</x:t>
        </x:is>
      </x:c>
      <x:c r="E15" s="17" t="n">
        <x:v>2025</x:v>
      </x:c>
      <x:c r="F15" s="18" t="n">
        <x:v>1.037196025383375</x:v>
      </x:c>
      <x:c r="G15" s="19" t="n">
        <x:v>261000</x:v>
      </x:c>
      <x:c r="H15" s="19" t="n">
        <x:v>0</x:v>
      </x:c>
      <x:c r="I15" s="19" t="n">
        <x:v>16020</x:v>
      </x:c>
      <x:c r="J15" s="20" t="n">
        <x:f>G15+H15</x:f>
        <x:v>261000</x:v>
      </x:c>
      <x:c r="K15" s="20" t="n">
        <x:f>J15+I15</x:f>
        <x:v>277020</x:v>
      </x:c>
      <x:c r="L15" s="20" t="n">
        <x:f>J15*F15</x:f>
        <x:v>270708.1626250609</x:v>
      </x:c>
      <x:c r="M15" s="20" t="n">
        <x:f>K15*F15</x:f>
        <x:v>287324.04295170255</x:v>
      </x:c>
      <x:c r="N15" s="19" t="n"/>
      <x:c r="O15" s="19" t="n">
        <x:v>5184309</x:v>
      </x:c>
      <x:c r="P15" s="21" t="n">
        <x:v>23</x:v>
      </x:c>
      <x:c r="Q15" s="21" t="n">
        <x:v>90</x:v>
      </x:c>
      <x:c r="R15" s="16" t="inlineStr">
        <x:is>
          <x:t xml:space="preserve">primary</x:t>
        </x:is>
      </x:c>
      <x:c r="S15" s="16" t="inlineStr">
        <x:is>
          <x:t xml:space="preserve">none</x:t>
        </x:is>
      </x:c>
      <x:c r="T15" s="17" t="inlineStr">
        <x:is>
          <x:t xml:space="preserve">82-3106472</x:t>
        </x:is>
      </x:c>
      <x:c r="U15" s="17" t="inlineStr">
        <x:is>
          <x:t xml:space="preserve">202601119349300825</x:t>
        </x:is>
      </x:c>
      <x:c r="V15" s="16" t="inlineStr">
        <x:is>
          <x:t xml:space="preserve">https://apps.irs.gov/pub/epostcard/990/xml/2026/202601119349300825_public.xml</x:t>
        </x:is>
      </x:c>
      <x:c r="W15" s="16" t="inlineStr">
        <x:is>
          <x:t xml:space="preserve">https://projects.propublica.org/nonprofits/organizations/823106472</x:t>
        </x:is>
      </x:c>
    </x:row>
    <x:row r="16">
      <x:c r="A16" s="17" t="inlineStr">
        <x:is>
          <x:t xml:space="preserve">Population Reference Bureau</x:t>
        </x:is>
      </x:c>
      <x:c r="B16" s="17" t="inlineStr">
        <x:is>
          <x:t xml:space="preserve">A</x:t>
        </x:is>
      </x:c>
      <x:c r="C16" s="17" t="inlineStr">
        <x:is>
          <x:t xml:space="preserve">EA-adjacent</x:t>
        </x:is>
      </x:c>
      <x:c r="D16" s="17" t="inlineStr">
        <x:is>
          <x:t xml:space="preserve">President &amp; CEO</x:t>
        </x:is>
      </x:c>
      <x:c r="E16" s="17" t="n">
        <x:v>2023</x:v>
      </x:c>
      <x:c r="F16" s="18" t="n">
        <x:v>1.095885345744019</x:v>
      </x:c>
      <x:c r="G16" s="19" t="n">
        <x:v>357544</x:v>
      </x:c>
      <x:c r="H16" s="19" t="n">
        <x:v>0</x:v>
      </x:c>
      <x:c r="I16" s="19" t="n">
        <x:v>57162</x:v>
      </x:c>
      <x:c r="J16" s="20" t="n">
        <x:f>G16+H16</x:f>
        <x:v>357544</x:v>
      </x:c>
      <x:c r="K16" s="20" t="n">
        <x:f>J16+I16</x:f>
        <x:v>414706</x:v>
      </x:c>
      <x:c r="L16" s="20" t="n">
        <x:f>J16*F16</x:f>
        <x:v>391827.2300586995</x:v>
      </x:c>
      <x:c r="M16" s="20" t="n">
        <x:f>K16*F16</x:f>
        <x:v>454470.2281921191</x:v>
      </x:c>
      <x:c r="N16" s="19" t="n"/>
      <x:c r="O16" s="19" t="n">
        <x:v>12190648</x:v>
      </x:c>
      <x:c r="P16" s="21" t="n">
        <x:v>59</x:v>
      </x:c>
      <x:c r="Q16" s="21" t="n">
        <x:v>94</x:v>
      </x:c>
      <x:c r="R16" s="16" t="inlineStr">
        <x:is>
          <x:t xml:space="preserve">primary_older_clean</x:t>
        </x:is>
      </x:c>
      <x:c r="S16" s="16" t="inlineStr">
        <x:is>
          <x:t xml:space="preserve">prior_year_due_transition</x:t>
        </x:is>
      </x:c>
      <x:c r="T16" s="17" t="inlineStr">
        <x:is>
          <x:t xml:space="preserve">53-0214030</x:t>
        </x:is>
      </x:c>
      <x:c r="U16" s="17" t="inlineStr">
        <x:is>
          <x:t xml:space="preserve">202501789349301305</x:t>
        </x:is>
      </x:c>
      <x:c r="V16" s="16" t="inlineStr">
        <x:is>
          <x:t xml:space="preserve">https://apps.irs.gov/pub/epostcard/990/xml/2025/202501789349301305_public.xml</x:t>
        </x:is>
      </x:c>
      <x:c r="W16" s="16" t="inlineStr">
        <x:is>
          <x:t xml:space="preserve">https://projects.propublica.org/nonprofits/organizations/530214030</x:t>
        </x:is>
      </x:c>
    </x:row>
    <x:row r="17">
      <x:c r="A17" s="17" t="inlineStr">
        <x:is>
          <x:t xml:space="preserve">Animal Welfare Institute</x:t>
        </x:is>
      </x:c>
      <x:c r="B17" s="17" t="inlineStr">
        <x:is>
          <x:t xml:space="preserve">A</x:t>
        </x:is>
      </x:c>
      <x:c r="C17" s="17" t="inlineStr">
        <x:is>
          <x:t xml:space="preserve">EA-adjacent</x:t>
        </x:is>
      </x:c>
      <x:c r="D17" s="17" t="inlineStr">
        <x:is>
          <x:t xml:space="preserve">Executive Director/CEO</x:t>
        </x:is>
      </x:c>
      <x:c r="E17" s="17" t="n">
        <x:v>2024</x:v>
      </x:c>
      <x:c r="F17" s="18" t="n">
        <x:v>1.06448800377019</x:v>
      </x:c>
      <x:c r="G17" s="19" t="n">
        <x:v>181013</x:v>
      </x:c>
      <x:c r="H17" s="19" t="n">
        <x:v>0</x:v>
      </x:c>
      <x:c r="I17" s="19" t="n">
        <x:v>9435</x:v>
      </x:c>
      <x:c r="J17" s="20" t="n">
        <x:f>G17+H17</x:f>
        <x:v>181013</x:v>
      </x:c>
      <x:c r="K17" s="20" t="n">
        <x:f>J17+I17</x:f>
        <x:v>190448</x:v>
      </x:c>
      <x:c r="L17" s="20" t="n">
        <x:f>J17*F17</x:f>
        <x:v>192686.16702645342</x:v>
      </x:c>
      <x:c r="M17" s="20" t="n">
        <x:f>K17*F17</x:f>
        <x:v>202729.61134202516</x:v>
      </x:c>
      <x:c r="N17" s="19" t="n"/>
      <x:c r="O17" s="19" t="n">
        <x:v>7585554</x:v>
      </x:c>
      <x:c r="P17" s="21" t="n">
        <x:v>35</x:v>
      </x:c>
      <x:c r="Q17" s="21" t="n">
        <x:v>88</x:v>
      </x:c>
      <x:c r="R17" s="16" t="inlineStr">
        <x:is>
          <x:t xml:space="preserve">primary</x:t>
        </x:is>
      </x:c>
      <x:c r="S17" s="16" t="inlineStr">
        <x:is>
          <x:t xml:space="preserve">none</x:t>
        </x:is>
      </x:c>
      <x:c r="T17" s="17" t="inlineStr">
        <x:is>
          <x:t xml:space="preserve">13-5655952</x:t>
        </x:is>
      </x:c>
      <x:c r="U17" s="17" t="inlineStr">
        <x:is>
          <x:t xml:space="preserve">202543189349305814</x:t>
        </x:is>
      </x:c>
      <x:c r="V17" s="16" t="inlineStr">
        <x:is>
          <x:t xml:space="preserve">https://apps.irs.gov/pub/epostcard/990/xml/2025/202543189349305814_public.xml</x:t>
        </x:is>
      </x:c>
      <x:c r="W17" s="16" t="inlineStr">
        <x:is>
          <x:t xml:space="preserve">https://projects.propublica.org/nonprofits/organizations/135655952</x:t>
        </x:is>
      </x:c>
    </x:row>
    <x:row r="18">
      <x:c r="A18" s="17" t="inlineStr">
        <x:is>
          <x:t xml:space="preserve">Nuclear Threat Initiative</x:t>
        </x:is>
      </x:c>
      <x:c r="B18" s="17" t="inlineStr">
        <x:is>
          <x:t xml:space="preserve">A</x:t>
        </x:is>
      </x:c>
      <x:c r="C18" s="17" t="inlineStr">
        <x:is>
          <x:t xml:space="preserve">EA-adjacent</x:t>
        </x:is>
      </x:c>
      <x:c r="D18" s="17" t="inlineStr">
        <x:is>
          <x:t xml:space="preserve">Chief Executive Officer / Co-Chair</x:t>
        </x:is>
      </x:c>
      <x:c r="E18" s="17" t="n">
        <x:v>2024</x:v>
      </x:c>
      <x:c r="F18" s="18" t="n">
        <x:v>1.06448800377019</x:v>
      </x:c>
      <x:c r="G18" s="19" t="n">
        <x:v>472562</x:v>
      </x:c>
      <x:c r="H18" s="19" t="n">
        <x:v>0</x:v>
      </x:c>
      <x:c r="I18" s="19" t="n">
        <x:v>54250</x:v>
      </x:c>
      <x:c r="J18" s="20" t="n">
        <x:f>G18+H18</x:f>
        <x:v>472562</x:v>
      </x:c>
      <x:c r="K18" s="20" t="n">
        <x:f>J18+I18</x:f>
        <x:v>526812</x:v>
      </x:c>
      <x:c r="L18" s="20" t="n">
        <x:f>J18*F18</x:f>
        <x:v>503036.58003764856</x:v>
      </x:c>
      <x:c r="M18" s="20" t="n">
        <x:f>K18*F18</x:f>
        <x:v>560785.0542421814</x:v>
      </x:c>
      <x:c r="N18" s="19" t="n"/>
      <x:c r="O18" s="19" t="n">
        <x:v>26073759</x:v>
      </x:c>
      <x:c r="P18" s="21" t="n">
        <x:v>75</x:v>
      </x:c>
      <x:c r="Q18" s="21" t="n">
        <x:v>88</x:v>
      </x:c>
      <x:c r="R18" s="16" t="inlineStr">
        <x:is>
          <x:t xml:space="preserve">primary_with_structure_flag</x:t>
        </x:is>
      </x:c>
      <x:c r="S18" s="16" t="inlineStr">
        <x:is>
          <x:t xml:space="preserve">dual_senior_executive</x:t>
        </x:is>
      </x:c>
      <x:c r="T18" s="17" t="inlineStr">
        <x:is>
          <x:t xml:space="preserve">52-2289435</x:t>
        </x:is>
      </x:c>
      <x:c r="U18" s="17" t="inlineStr">
        <x:is>
          <x:t xml:space="preserve">202522119349301667</x:t>
        </x:is>
      </x:c>
      <x:c r="V18" s="16" t="inlineStr">
        <x:is>
          <x:t xml:space="preserve">https://apps.irs.gov/pub/epostcard/990/xml/2025/202522119349301667_public.xml</x:t>
        </x:is>
      </x:c>
      <x:c r="W18" s="16" t="inlineStr">
        <x:is>
          <x:t xml:space="preserve">https://projects.propublica.org/nonprofits/organizations/522289435</x:t>
        </x:is>
      </x:c>
    </x:row>
    <x:row r="19">
      <x:c r="A19" s="17" t="inlineStr">
        <x:is>
          <x:t xml:space="preserve">ideas42</x:t>
        </x:is>
      </x:c>
      <x:c r="B19" s="17" t="inlineStr">
        <x:is>
          <x:t xml:space="preserve">A</x:t>
        </x:is>
      </x:c>
      <x:c r="C19" s="17" t="inlineStr">
        <x:is>
          <x:t xml:space="preserve">EA-adjacent</x:t>
        </x:is>
      </x:c>
      <x:c r="D19" s="17" t="inlineStr">
        <x:is>
          <x:t xml:space="preserve">Chief Executive Director</x:t>
        </x:is>
      </x:c>
      <x:c r="E19" s="17" t="n">
        <x:v>2023</x:v>
      </x:c>
      <x:c r="F19" s="18" t="n">
        <x:v>1.095885345744019</x:v>
      </x:c>
      <x:c r="G19" s="19" t="n">
        <x:v>243431</x:v>
      </x:c>
      <x:c r="H19" s="19" t="n">
        <x:v>0</x:v>
      </x:c>
      <x:c r="I19" s="19" t="n">
        <x:v>28299</x:v>
      </x:c>
      <x:c r="J19" s="20" t="n">
        <x:f>G19+H19</x:f>
        <x:v>243431</x:v>
      </x:c>
      <x:c r="K19" s="20" t="n">
        <x:f>J19+I19</x:f>
        <x:v>271730</x:v>
      </x:c>
      <x:c r="L19" s="20" t="n">
        <x:f>J19*F19</x:f>
        <x:v>266772.4655998123</x:v>
      </x:c>
      <x:c r="M19" s="20" t="n">
        <x:f>K19*F19</x:f>
        <x:v>297784.9249990223</x:v>
      </x:c>
      <x:c r="N19" s="19" t="n"/>
      <x:c r="O19" s="19" t="n">
        <x:v>18019969</x:v>
      </x:c>
      <x:c r="P19" s="21" t="n">
        <x:v>103</x:v>
      </x:c>
      <x:c r="Q19" s="21" t="n">
        <x:v>91</x:v>
      </x:c>
      <x:c r="R19" s="16" t="inlineStr">
        <x:is>
          <x:t xml:space="preserve">primary_older_clean</x:t>
        </x:is>
      </x:c>
      <x:c r="S19" s="16" t="inlineStr">
        <x:is>
          <x:t xml:space="preserve">prior_year_due_transition</x:t>
        </x:is>
      </x:c>
      <x:c r="T19" s="17" t="inlineStr">
        <x:is>
          <x:t xml:space="preserve">27-1678009</x:t>
        </x:is>
      </x:c>
      <x:c r="U19" s="17" t="inlineStr">
        <x:is>
          <x:t xml:space="preserve">202423199349314832</x:t>
        </x:is>
      </x:c>
      <x:c r="V19" s="16" t="inlineStr">
        <x:is>
          <x:t xml:space="preserve">https://apps.irs.gov/pub/epostcard/990/xml/2024/202423199349314832_public.xml</x:t>
        </x:is>
      </x:c>
      <x:c r="W19" s="16" t="inlineStr">
        <x:is>
          <x:t xml:space="preserve">https://projects.propublica.org/nonprofits/organizations/271678009</x:t>
        </x:is>
      </x:c>
    </x:row>
    <x:row r="20">
      <x:c r="A20" s="17" t="inlineStr">
        <x:is>
          <x:t xml:space="preserve">Migration Policy Institute</x:t>
        </x:is>
      </x:c>
      <x:c r="B20" s="17" t="inlineStr">
        <x:is>
          <x:t xml:space="preserve">A</x:t>
        </x:is>
      </x:c>
      <x:c r="C20" s="17" t="inlineStr">
        <x:is>
          <x:t xml:space="preserve">functional-only</x:t>
        </x:is>
      </x:c>
      <x:c r="D20" s="17" t="inlineStr">
        <x:is>
          <x:t xml:space="preserve">President</x:t>
        </x:is>
      </x:c>
      <x:c r="E20" s="17" t="n">
        <x:v>2024</x:v>
      </x:c>
      <x:c r="F20" s="18" t="n">
        <x:v>1.06448800377019</x:v>
      </x:c>
      <x:c r="G20" s="19" t="n">
        <x:v>285000</x:v>
      </x:c>
      <x:c r="H20" s="19" t="n">
        <x:v>0</x:v>
      </x:c>
      <x:c r="I20" s="19" t="n">
        <x:v>68194</x:v>
      </x:c>
      <x:c r="J20" s="20" t="n">
        <x:f>G20+H20</x:f>
        <x:v>285000</x:v>
      </x:c>
      <x:c r="K20" s="20" t="n">
        <x:f>J20+I20</x:f>
        <x:v>353194</x:v>
      </x:c>
      <x:c r="L20" s="20" t="n">
        <x:f>J20*F20</x:f>
        <x:v>303379.0810745042</x:v>
      </x:c>
      <x:c r="M20" s="20" t="n">
        <x:f>K20*F20</x:f>
        <x:v>375970.7760036085</x:v>
      </x:c>
      <x:c r="N20" s="19" t="n"/>
      <x:c r="O20" s="19" t="n">
        <x:v>7069622</x:v>
      </x:c>
      <x:c r="P20" s="21" t="n">
        <x:v>33</x:v>
      </x:c>
      <x:c r="Q20" s="21" t="n">
        <x:v>87</x:v>
      </x:c>
      <x:c r="R20" s="16" t="inlineStr">
        <x:is>
          <x:t xml:space="preserve">primary</x:t>
        </x:is>
      </x:c>
      <x:c r="S20" s="16" t="inlineStr">
        <x:is>
          <x:t xml:space="preserve">none</x:t>
        </x:is>
      </x:c>
      <x:c r="T20" s="17" t="inlineStr">
        <x:is>
          <x:t xml:space="preserve">52-2279789</x:t>
        </x:is>
      </x:c>
      <x:c r="U20" s="17" t="inlineStr">
        <x:is>
          <x:t xml:space="preserve">202601359349310000</x:t>
        </x:is>
      </x:c>
      <x:c r="V20" s="16" t="inlineStr">
        <x:is>
          <x:t xml:space="preserve">https://apps.irs.gov/pub/epostcard/990/xml/2026/202601359349310000_public.xml</x:t>
        </x:is>
      </x:c>
      <x:c r="W20" s="16" t="inlineStr">
        <x:is>
          <x:t xml:space="preserve">https://projects.propublica.org/nonprofits/organizations/522279789</x:t>
        </x:is>
      </x:c>
    </x:row>
    <x:row r="21">
      <x:c r="A21" s="17" t="inlineStr">
        <x:is>
          <x:t xml:space="preserve">Peterson Institute for International Economics</x:t>
        </x:is>
      </x:c>
      <x:c r="B21" s="17" t="inlineStr">
        <x:is>
          <x:t xml:space="preserve">A</x:t>
        </x:is>
      </x:c>
      <x:c r="C21" s="17" t="inlineStr">
        <x:is>
          <x:t xml:space="preserve">functional-only</x:t>
        </x:is>
      </x:c>
      <x:c r="D21" s="17" t="inlineStr">
        <x:is>
          <x:t xml:space="preserve">President</x:t>
        </x:is>
      </x:c>
      <x:c r="E21" s="17" t="n">
        <x:v>2024</x:v>
      </x:c>
      <x:c r="F21" s="18" t="n">
        <x:v>1.06448800377019</x:v>
      </x:c>
      <x:c r="G21" s="19" t="n">
        <x:v>565908</x:v>
      </x:c>
      <x:c r="H21" s="19" t="n">
        <x:v>0</x:v>
      </x:c>
      <x:c r="I21" s="19" t="n">
        <x:v>56676</x:v>
      </x:c>
      <x:c r="J21" s="20" t="n">
        <x:f>G21+H21</x:f>
        <x:v>565908</x:v>
      </x:c>
      <x:c r="K21" s="20" t="n">
        <x:f>J21+I21</x:f>
        <x:v>622584</x:v>
      </x:c>
      <x:c r="L21" s="20" t="n">
        <x:f>J21*F21</x:f>
        <x:v>602402.2772375807</x:v>
      </x:c>
      <x:c r="M21" s="20" t="n">
        <x:f>K21*F21</x:f>
        <x:v>662733.19933926</x:v>
      </x:c>
      <x:c r="N21" s="19" t="n"/>
      <x:c r="O21" s="19" t="n">
        <x:v>16529676</x:v>
      </x:c>
      <x:c r="P21" s="21" t="n">
        <x:v>55</x:v>
      </x:c>
      <x:c r="Q21" s="21" t="n">
        <x:v>87</x:v>
      </x:c>
      <x:c r="R21" s="16" t="inlineStr">
        <x:is>
          <x:t xml:space="preserve">primary</x:t>
        </x:is>
      </x:c>
      <x:c r="S21" s="16" t="inlineStr">
        <x:is>
          <x:t xml:space="preserve">none</x:t>
        </x:is>
      </x:c>
      <x:c r="T21" s="17" t="inlineStr">
        <x:is>
          <x:t xml:space="preserve">52-1226967</x:t>
        </x:is>
      </x:c>
      <x:c r="U21" s="17" t="inlineStr">
        <x:is>
          <x:t xml:space="preserve">202611189349300636</x:t>
        </x:is>
      </x:c>
      <x:c r="V21" s="16" t="inlineStr">
        <x:is>
          <x:t xml:space="preserve">https://apps.irs.gov/pub/epostcard/990/xml/2026/202611189349300636_public.xml</x:t>
        </x:is>
      </x:c>
      <x:c r="W21" s="16" t="inlineStr">
        <x:is>
          <x:t xml:space="preserve">https://projects.propublica.org/nonprofits/organizations/521226967</x:t>
        </x:is>
      </x:c>
    </x:row>
    <x:row r="22">
      <x:c r="A22" s="17" t="inlineStr">
        <x:is>
          <x:t xml:space="preserve">San Francisco Estuary Institute</x:t>
        </x:is>
      </x:c>
      <x:c r="B22" s="17" t="inlineStr">
        <x:is>
          <x:t xml:space="preserve">A</x:t>
        </x:is>
      </x:c>
      <x:c r="C22" s="17" t="inlineStr">
        <x:is>
          <x:t xml:space="preserve">functional-only</x:t>
        </x:is>
      </x:c>
      <x:c r="D22" s="17" t="inlineStr">
        <x:is>
          <x:t xml:space="preserve">Executive Director</x:t>
        </x:is>
      </x:c>
      <x:c r="E22" s="17" t="n">
        <x:v>2024</x:v>
      </x:c>
      <x:c r="F22" s="18" t="n">
        <x:v>1.06448800377019</x:v>
      </x:c>
      <x:c r="G22" s="19" t="n">
        <x:v>182526</x:v>
      </x:c>
      <x:c r="H22" s="19" t="n">
        <x:v>0</x:v>
      </x:c>
      <x:c r="I22" s="19" t="n">
        <x:v>0</x:v>
      </x:c>
      <x:c r="J22" s="20" t="n">
        <x:f>G22+H22</x:f>
        <x:v>182526</x:v>
      </x:c>
      <x:c r="K22" s="20" t="n">
        <x:f>J22+I22</x:f>
        <x:v>182526</x:v>
      </x:c>
      <x:c r="L22" s="20" t="n">
        <x:f>J22*F22</x:f>
        <x:v>194296.73737615772</x:v>
      </x:c>
      <x:c r="M22" s="20" t="n">
        <x:f>K22*F22</x:f>
        <x:v>194296.73737615772</x:v>
      </x:c>
      <x:c r="N22" s="19" t="n"/>
      <x:c r="O22" s="19" t="n">
        <x:v>19110723</x:v>
      </x:c>
      <x:c r="P22" s="21" t="n">
        <x:v>99</x:v>
      </x:c>
      <x:c r="Q22" s="21" t="n">
        <x:v>87</x:v>
      </x:c>
      <x:c r="R22" s="16" t="inlineStr">
        <x:is>
          <x:t xml:space="preserve">primary</x:t>
        </x:is>
      </x:c>
      <x:c r="S22" s="16" t="inlineStr">
        <x:is>
          <x:t xml:space="preserve">none</x:t>
        </x:is>
      </x:c>
      <x:c r="T22" s="17" t="inlineStr">
        <x:is>
          <x:t xml:space="preserve">94-2951373</x:t>
        </x:is>
      </x:c>
      <x:c r="U22" s="17" t="inlineStr">
        <x:is>
          <x:t xml:space="preserve">202631319349304238</x:t>
        </x:is>
      </x:c>
      <x:c r="V22" s="16" t="inlineStr">
        <x:is>
          <x:t xml:space="preserve">https://apps.irs.gov/pub/epostcard/990/xml/2026/202631319349304238_public.xml</x:t>
        </x:is>
      </x:c>
      <x:c r="W22" s="16" t="inlineStr">
        <x:is>
          <x:t xml:space="preserve">https://projects.propublica.org/nonprofits/organizations/942951373</x:t>
        </x:is>
      </x:c>
    </x:row>
    <x:row r="23">
      <x:c r="A23" s="17" t="inlineStr">
        <x:is>
          <x:t xml:space="preserve">Technical Assistance Collaborative</x:t>
        </x:is>
      </x:c>
      <x:c r="B23" s="17" t="inlineStr">
        <x:is>
          <x:t xml:space="preserve">A</x:t>
        </x:is>
      </x:c>
      <x:c r="C23" s="17" t="inlineStr">
        <x:is>
          <x:t xml:space="preserve">functional-only</x:t>
        </x:is>
      </x:c>
      <x:c r="D23" s="17" t="inlineStr">
        <x:is>
          <x:t xml:space="preserve">Executive Director &amp; President</x:t>
        </x:is>
      </x:c>
      <x:c r="E23" s="17" t="n">
        <x:v>2023</x:v>
      </x:c>
      <x:c r="F23" s="18" t="n">
        <x:v>1.095885345744019</x:v>
      </x:c>
      <x:c r="G23" s="19" t="n">
        <x:v>230222</x:v>
      </x:c>
      <x:c r="H23" s="19" t="n">
        <x:v>0</x:v>
      </x:c>
      <x:c r="I23" s="19" t="n">
        <x:v>50228</x:v>
      </x:c>
      <x:c r="J23" s="20" t="n">
        <x:f>G23+H23</x:f>
        <x:v>230222</x:v>
      </x:c>
      <x:c r="K23" s="20" t="n">
        <x:f>J23+I23</x:f>
        <x:v>280450</x:v>
      </x:c>
      <x:c r="L23" s="20" t="n">
        <x:f>J23*F23</x:f>
        <x:v>252296.91606787953</x:v>
      </x:c>
      <x:c r="M23" s="20" t="n">
        <x:f>K23*F23</x:f>
        <x:v>307341.0452139101</x:v>
      </x:c>
      <x:c r="N23" s="19" t="n"/>
      <x:c r="O23" s="19" t="n">
        <x:v>17191674</x:v>
      </x:c>
      <x:c r="P23" s="21" t="n">
        <x:v>57</x:v>
      </x:c>
      <x:c r="Q23" s="21" t="n">
        <x:v>87</x:v>
      </x:c>
      <x:c r="R23" s="16" t="inlineStr">
        <x:is>
          <x:t xml:space="preserve">primary_older_clean</x:t>
        </x:is>
      </x:c>
      <x:c r="S23" s="16" t="inlineStr">
        <x:is>
          <x:t xml:space="preserve">prior_year_due_transition</x:t>
        </x:is>
      </x:c>
      <x:c r="T23" s="17" t="inlineStr">
        <x:is>
          <x:t xml:space="preserve">22-3181028</x:t>
        </x:is>
      </x:c>
      <x:c r="U23" s="17" t="inlineStr">
        <x:is>
          <x:t xml:space="preserve">202500629349300740</x:t>
        </x:is>
      </x:c>
      <x:c r="V23" s="16" t="inlineStr">
        <x:is>
          <x:t xml:space="preserve">https://apps.irs.gov/pub/epostcard/990/xml/2025/202500629349300740_public.xml</x:t>
        </x:is>
      </x:c>
      <x:c r="W23" s="16" t="inlineStr">
        <x:is>
          <x:t xml:space="preserve">https://projects.propublica.org/nonprofits/organizations/223181028</x:t>
        </x:is>
      </x:c>
    </x:row>
    <x:row r="24">
      <x:c r="A24" s="17" t="inlineStr">
        <x:is>
          <x:t xml:space="preserve">Wild Animal Initiative</x:t>
        </x:is>
      </x:c>
      <x:c r="B24" s="17" t="inlineStr">
        <x:is>
          <x:t xml:space="preserve">A</x:t>
        </x:is>
      </x:c>
      <x:c r="C24" s="17" t="inlineStr">
        <x:is>
          <x:t xml:space="preserve">EA-adjacent</x:t>
        </x:is>
      </x:c>
      <x:c r="D24" s="17" t="inlineStr">
        <x:is>
          <x:t xml:space="preserve">Executive Director</x:t>
        </x:is>
      </x:c>
      <x:c r="E24" s="17" t="n">
        <x:v>2024</x:v>
      </x:c>
      <x:c r="F24" s="18" t="n">
        <x:v>1.06448800377019</x:v>
      </x:c>
      <x:c r="G24" s="19" t="n">
        <x:v>101961</x:v>
      </x:c>
      <x:c r="H24" s="19" t="n">
        <x:v>0</x:v>
      </x:c>
      <x:c r="I24" s="19" t="n">
        <x:v>12383</x:v>
      </x:c>
      <x:c r="J24" s="20" t="n">
        <x:f>G24+H24</x:f>
        <x:v>101961</x:v>
      </x:c>
      <x:c r="K24" s="20" t="n">
        <x:f>J24+I24</x:f>
        <x:v>114344</x:v>
      </x:c>
      <x:c r="L24" s="20" t="n">
        <x:f>J24*F24</x:f>
        <x:v>108536.26135241234</x:v>
      </x:c>
      <x:c r="M24" s="20" t="n">
        <x:f>K24*F24</x:f>
        <x:v>121717.8163030986</x:v>
      </x:c>
      <x:c r="N24" s="19" t="n"/>
      <x:c r="O24" s="19" t="n">
        <x:v>3345940</x:v>
      </x:c>
      <x:c r="P24" s="21" t="n">
        <x:v>16</x:v>
      </x:c>
      <x:c r="Q24" s="21" t="n">
        <x:v>86</x:v>
      </x:c>
      <x:c r="R24" s="16" t="inlineStr">
        <x:is>
          <x:t xml:space="preserve">primary</x:t>
        </x:is>
      </x:c>
      <x:c r="S24" s="16" t="inlineStr">
        <x:is>
          <x:t xml:space="preserve">none</x:t>
        </x:is>
      </x:c>
      <x:c r="T24" s="17" t="inlineStr">
        <x:is>
          <x:t xml:space="preserve">82-2281466</x:t>
        </x:is>
      </x:c>
      <x:c r="U24" s="17" t="inlineStr">
        <x:is>
          <x:t xml:space="preserve">202532319349300913</x:t>
        </x:is>
      </x:c>
      <x:c r="V24" s="16" t="inlineStr">
        <x:is>
          <x:t xml:space="preserve">https://apps.irs.gov/pub/epostcard/990/xml/2025/202532319349300913_public.xml</x:t>
        </x:is>
      </x:c>
      <x:c r="W24" s="16" t="inlineStr">
        <x:is>
          <x:t xml:space="preserve">https://projects.propublica.org/nonprofits/organizations/822281466</x:t>
        </x:is>
      </x:c>
    </x:row>
    <x:row r="25">
      <x:c r="A25" s="17" t="inlineStr">
        <x:is>
          <x:t xml:space="preserve">World Justice Project</x:t>
        </x:is>
      </x:c>
      <x:c r="B25" s="17" t="inlineStr">
        <x:is>
          <x:t xml:space="preserve">A</x:t>
        </x:is>
      </x:c>
      <x:c r="C25" s="17" t="inlineStr">
        <x:is>
          <x:t xml:space="preserve">functional-only</x:t>
        </x:is>
      </x:c>
      <x:c r="D25" s="17" t="inlineStr">
        <x:is>
          <x:t xml:space="preserve">Executive Director</x:t>
        </x:is>
      </x:c>
      <x:c r="E25" s="17" t="n">
        <x:v>2024</x:v>
      </x:c>
      <x:c r="F25" s="18" t="n">
        <x:v>1.06448800377019</x:v>
      </x:c>
      <x:c r="G25" s="19" t="n">
        <x:v>358916</x:v>
      </x:c>
      <x:c r="H25" s="19" t="n">
        <x:v>0</x:v>
      </x:c>
      <x:c r="I25" s="19" t="n">
        <x:v>93278</x:v>
      </x:c>
      <x:c r="J25" s="20" t="n">
        <x:f>G25+H25</x:f>
        <x:v>358916</x:v>
      </x:c>
      <x:c r="K25" s="20" t="n">
        <x:f>J25+I25</x:f>
        <x:v>452194</x:v>
      </x:c>
      <x:c r="L25" s="20" t="n">
        <x:f>J25*F25</x:f>
        <x:v>382061.7763611815</x:v>
      </x:c>
      <x:c r="M25" s="20" t="n">
        <x:f>K25*F25</x:f>
        <x:v>481355.08837685734</x:v>
      </x:c>
      <x:c r="N25" s="19" t="n"/>
      <x:c r="O25" s="19" t="n">
        <x:v>9495045</x:v>
      </x:c>
      <x:c r="P25" s="21" t="n">
        <x:v>49</x:v>
      </x:c>
      <x:c r="Q25" s="21" t="n">
        <x:v>86</x:v>
      </x:c>
      <x:c r="R25" s="16" t="inlineStr">
        <x:is>
          <x:t xml:space="preserve">primary</x:t>
        </x:is>
      </x:c>
      <x:c r="S25" s="16" t="inlineStr">
        <x:is>
          <x:t xml:space="preserve">none</x:t>
        </x:is>
      </x:c>
      <x:c r="T25" s="17" t="inlineStr">
        <x:is>
          <x:t xml:space="preserve">27-0359097</x:t>
        </x:is>
      </x:c>
      <x:c r="U25" s="17" t="inlineStr">
        <x:is>
          <x:t xml:space="preserve">202543089349302129</x:t>
        </x:is>
      </x:c>
      <x:c r="V25" s="16" t="inlineStr">
        <x:is>
          <x:t xml:space="preserve">https://apps.irs.gov/pub/epostcard/990/xml/2025/202543089349302129_public.xml</x:t>
        </x:is>
      </x:c>
      <x:c r="W25" s="16" t="inlineStr">
        <x:is>
          <x:t xml:space="preserve">https://projects.propublica.org/nonprofits/organizations/270359097</x:t>
        </x:is>
      </x:c>
    </x:row>
    <x:row r="26">
      <x:c r="A26" s="17" t="inlineStr">
        <x:is>
          <x:t xml:space="preserve">Code for Science &amp; Society</x:t>
        </x:is>
      </x:c>
      <x:c r="B26" s="17" t="inlineStr">
        <x:is>
          <x:t xml:space="preserve">A</x:t>
        </x:is>
      </x:c>
      <x:c r="C26" s="17" t="inlineStr">
        <x:is>
          <x:t xml:space="preserve">functional-only</x:t>
        </x:is>
      </x:c>
      <x:c r="D26" s="17" t="inlineStr">
        <x:is>
          <x:t xml:space="preserve">Executive Director and President</x:t>
        </x:is>
      </x:c>
      <x:c r="E26" s="17" t="n">
        <x:v>2024</x:v>
      </x:c>
      <x:c r="F26" s="18" t="n">
        <x:v>1.06448800377019</x:v>
      </x:c>
      <x:c r="G26" s="19" t="n">
        <x:v>201230</x:v>
      </x:c>
      <x:c r="H26" s="19" t="n">
        <x:v>0</x:v>
      </x:c>
      <x:c r="I26" s="19" t="n">
        <x:v>24901</x:v>
      </x:c>
      <x:c r="J26" s="20" t="n">
        <x:f>G26+H26</x:f>
        <x:v>201230</x:v>
      </x:c>
      <x:c r="K26" s="20" t="n">
        <x:f>J26+I26</x:f>
        <x:v>226131</x:v>
      </x:c>
      <x:c r="L26" s="20" t="n">
        <x:f>J26*F26</x:f>
        <x:v>214206.92099867534</x:v>
      </x:c>
      <x:c r="M26" s="20" t="n">
        <x:f>K26*F26</x:f>
        <x:v>240713.73678055685</x:v>
      </x:c>
      <x:c r="N26" s="19" t="n"/>
      <x:c r="O26" s="19" t="n">
        <x:v>18017578</x:v>
      </x:c>
      <x:c r="P26" s="21" t="n">
        <x:v>41</x:v>
      </x:c>
      <x:c r="Q26" s="21" t="n">
        <x:v>84</x:v>
      </x:c>
      <x:c r="R26" s="16" t="inlineStr">
        <x:is>
          <x:t xml:space="preserve">primary_with_structure_flag</x:t>
        </x:is>
      </x:c>
      <x:c r="S26" s="16" t="inlineStr">
        <x:is>
          <x:t xml:space="preserve">fiscal_sponsorship_platform</x:t>
        </x:is>
      </x:c>
      <x:c r="T26" s="17" t="inlineStr">
        <x:is>
          <x:t xml:space="preserve">81-3791683</x:t>
        </x:is>
      </x:c>
      <x:c r="U26" s="17" t="inlineStr">
        <x:is>
          <x:t xml:space="preserve">202601359349304090</x:t>
        </x:is>
      </x:c>
      <x:c r="V26" s="16" t="inlineStr">
        <x:is>
          <x:t xml:space="preserve">https://apps.irs.gov/pub/epostcard/990/xml/2026/202601359349304090_public.xml</x:t>
        </x:is>
      </x:c>
      <x:c r="W26" s="16" t="inlineStr">
        <x:is>
          <x:t xml:space="preserve">https://projects.propublica.org/nonprofits/organizations/813791683</x:t>
        </x:is>
      </x:c>
    </x:row>
    <x:row r="27">
      <x:c r="A27" s="17" t="inlineStr">
        <x:is>
          <x:t xml:space="preserve">Independent Sector</x:t>
        </x:is>
      </x:c>
      <x:c r="B27" s="17" t="inlineStr">
        <x:is>
          <x:t xml:space="preserve">A</x:t>
        </x:is>
      </x:c>
      <x:c r="C27" s="17" t="inlineStr">
        <x:is>
          <x:t xml:space="preserve">functional-only</x:t>
        </x:is>
      </x:c>
      <x:c r="D27" s="17" t="inlineStr">
        <x:is>
          <x:t xml:space="preserve">President &amp; Chief Executive Officer</x:t>
        </x:is>
      </x:c>
      <x:c r="E27" s="17" t="n">
        <x:v>2024</x:v>
      </x:c>
      <x:c r="F27" s="18" t="n">
        <x:v>1.06448800377019</x:v>
      </x:c>
      <x:c r="G27" s="19" t="n">
        <x:v>592680</x:v>
      </x:c>
      <x:c r="H27" s="19" t="n">
        <x:v>0</x:v>
      </x:c>
      <x:c r="I27" s="19" t="n">
        <x:v>72159</x:v>
      </x:c>
      <x:c r="J27" s="20" t="n">
        <x:f>G27+H27</x:f>
        <x:v>592680</x:v>
      </x:c>
      <x:c r="K27" s="20" t="n">
        <x:f>J27+I27</x:f>
        <x:v>664839</x:v>
      </x:c>
      <x:c r="L27" s="20" t="n">
        <x:f>J27*F27</x:f>
        <x:v>630900.7500745163</x:v>
      </x:c>
      <x:c r="M27" s="20" t="n">
        <x:f>K27*F27</x:f>
        <x:v>707713.1399385694</x:v>
      </x:c>
      <x:c r="N27" s="19" t="n"/>
      <x:c r="O27" s="19" t="n">
        <x:v>7756205</x:v>
      </x:c>
      <x:c r="P27" s="21" t="n">
        <x:v>34</x:v>
      </x:c>
      <x:c r="Q27" s="21" t="n">
        <x:v>84</x:v>
      </x:c>
      <x:c r="R27" s="16" t="inlineStr">
        <x:is>
          <x:t xml:space="preserve">primary</x:t>
        </x:is>
      </x:c>
      <x:c r="S27" s="16" t="inlineStr">
        <x:is>
          <x:t xml:space="preserve">none</x:t>
        </x:is>
      </x:c>
      <x:c r="T27" s="17" t="inlineStr">
        <x:is>
          <x:t xml:space="preserve">52-1081024</x:t>
        </x:is>
      </x:c>
      <x:c r="U27" s="17" t="inlineStr">
        <x:is>
          <x:t xml:space="preserve">202502349349301110</x:t>
        </x:is>
      </x:c>
      <x:c r="V27" s="16" t="inlineStr">
        <x:is>
          <x:t xml:space="preserve">https://apps.irs.gov/pub/epostcard/990/xml/2025/202502349349301110_public.xml</x:t>
        </x:is>
      </x:c>
      <x:c r="W27" s="16" t="inlineStr">
        <x:is>
          <x:t xml:space="preserve">https://projects.propublica.org/nonprofits/organizations/521081024</x:t>
        </x:is>
      </x:c>
    </x:row>
    <x:row r="28">
      <x:c r="A28" s="17" t="inlineStr">
        <x:is>
          <x:t xml:space="preserve">Research!America</x:t>
        </x:is>
      </x:c>
      <x:c r="B28" s="17" t="inlineStr">
        <x:is>
          <x:t xml:space="preserve">A</x:t>
        </x:is>
      </x:c>
      <x:c r="C28" s="17" t="inlineStr">
        <x:is>
          <x:t xml:space="preserve">functional-only</x:t>
        </x:is>
      </x:c>
      <x:c r="D28" s="17" t="inlineStr">
        <x:is>
          <x:t xml:space="preserve">President &amp; Chief Executive Officer</x:t>
        </x:is>
      </x:c>
      <x:c r="E28" s="17" t="n">
        <x:v>2025</x:v>
      </x:c>
      <x:c r="F28" s="18" t="n">
        <x:v>1.037196025383375</x:v>
      </x:c>
      <x:c r="G28" s="19" t="n">
        <x:v>597619</x:v>
      </x:c>
      <x:c r="H28" s="19" t="n">
        <x:v>0</x:v>
      </x:c>
      <x:c r="I28" s="19" t="n">
        <x:v>55121</x:v>
      </x:c>
      <x:c r="J28" s="20" t="n">
        <x:f>G28+H28</x:f>
        <x:v>597619</x:v>
      </x:c>
      <x:c r="K28" s="20" t="n">
        <x:f>J28+I28</x:f>
        <x:v>652740</x:v>
      </x:c>
      <x:c r="L28" s="20" t="n">
        <x:f>J28*F28</x:f>
        <x:v>619848.0514935872</x:v>
      </x:c>
      <x:c r="M28" s="20" t="n">
        <x:f>K28*F28</x:f>
        <x:v>677019.3336087442</x:v>
      </x:c>
      <x:c r="N28" s="19" t="n"/>
      <x:c r="O28" s="19" t="n">
        <x:v>9394184</x:v>
      </x:c>
      <x:c r="P28" s="21" t="n">
        <x:v>41</x:v>
      </x:c>
      <x:c r="Q28" s="21" t="n">
        <x:v>84</x:v>
      </x:c>
      <x:c r="R28" s="16" t="inlineStr">
        <x:is>
          <x:t xml:space="preserve">primary</x:t>
        </x:is>
      </x:c>
      <x:c r="S28" s="16" t="inlineStr">
        <x:is>
          <x:t xml:space="preserve">long_tenured</x:t>
        </x:is>
      </x:c>
      <x:c r="T28" s="17" t="inlineStr">
        <x:is>
          <x:t xml:space="preserve">52-1609875</x:t>
        </x:is>
      </x:c>
      <x:c r="U28" s="17" t="inlineStr">
        <x:is>
          <x:t xml:space="preserve">202601319349302140</x:t>
        </x:is>
      </x:c>
      <x:c r="V28" s="16" t="inlineStr">
        <x:is>
          <x:t xml:space="preserve">https://apps.irs.gov/pub/epostcard/990/xml/2026/202601319349302140_public.xml</x:t>
        </x:is>
      </x:c>
      <x:c r="W28" s="16" t="inlineStr">
        <x:is>
          <x:t xml:space="preserve">https://projects.propublica.org/nonprofits/organizations/521609875</x:t>
        </x:is>
      </x:c>
    </x:row>
    <x:row r="29">
      <x:c r="A29" s="17" t="inlineStr">
        <x:is>
          <x:t xml:space="preserve">Stimson Center</x:t>
        </x:is>
      </x:c>
      <x:c r="B29" s="17" t="inlineStr">
        <x:is>
          <x:t xml:space="preserve">A</x:t>
        </x:is>
      </x:c>
      <x:c r="C29" s="17" t="inlineStr">
        <x:is>
          <x:t xml:space="preserve">functional-only</x:t>
        </x:is>
      </x:c>
      <x:c r="D29" s="17" t="inlineStr">
        <x:is>
          <x:t xml:space="preserve">President &amp; CEO</x:t>
        </x:is>
      </x:c>
      <x:c r="E29" s="17" t="n">
        <x:v>2024</x:v>
      </x:c>
      <x:c r="F29" s="18" t="n">
        <x:v>1.06448800377019</x:v>
      </x:c>
      <x:c r="G29" s="19" t="n">
        <x:v>398606</x:v>
      </x:c>
      <x:c r="H29" s="19" t="n">
        <x:v>0</x:v>
      </x:c>
      <x:c r="I29" s="19" t="n">
        <x:v>42061</x:v>
      </x:c>
      <x:c r="J29" s="20" t="n">
        <x:f>G29+H29</x:f>
        <x:v>398606</x:v>
      </x:c>
      <x:c r="K29" s="20" t="n">
        <x:f>J29+I29</x:f>
        <x:v>440667</x:v>
      </x:c>
      <x:c r="L29" s="20" t="n">
        <x:f>J29*F29</x:f>
        <x:v>424311.3052308204</x:v>
      </x:c>
      <x:c r="M29" s="20" t="n">
        <x:f>K29*F29</x:f>
        <x:v>469084.73515739833</x:v>
      </x:c>
      <x:c r="N29" s="19" t="n"/>
      <x:c r="O29" s="19" t="n">
        <x:v>13743006</x:v>
      </x:c>
      <x:c r="P29" s="21" t="n">
        <x:v>103</x:v>
      </x:c>
      <x:c r="Q29" s="21" t="n">
        <x:v>83</x:v>
      </x:c>
      <x:c r="R29" s="16" t="inlineStr">
        <x:is>
          <x:t xml:space="preserve">primary</x:t>
        </x:is>
      </x:c>
      <x:c r="S29" s="16" t="inlineStr">
        <x:is>
          <x:t xml:space="preserve">none</x:t>
        </x:is>
      </x:c>
      <x:c r="T29" s="17" t="inlineStr">
        <x:is>
          <x:t xml:space="preserve">52-1640938</x:t>
        </x:is>
      </x:c>
      <x:c r="U29" s="17" t="inlineStr">
        <x:is>
          <x:t xml:space="preserve">202533169349304988</x:t>
        </x:is>
      </x:c>
      <x:c r="V29" s="16" t="inlineStr">
        <x:is>
          <x:t xml:space="preserve">https://apps.irs.gov/pub/epostcard/990/xml/2025/202533169349304988_public.xml</x:t>
        </x:is>
      </x:c>
      <x:c r="W29" s="16" t="inlineStr">
        <x:is>
          <x:t xml:space="preserve">https://projects.propublica.org/nonprofits/organizations/521640938</x:t>
        </x:is>
      </x:c>
    </x:row>
    <x:row r="30">
      <x:c r="A30" s="17" t="inlineStr">
        <x:is>
          <x:t xml:space="preserve">PEAK Grantmaking</x:t>
        </x:is>
      </x:c>
      <x:c r="B30" s="17" t="inlineStr">
        <x:is>
          <x:t xml:space="preserve">A</x:t>
        </x:is>
      </x:c>
      <x:c r="C30" s="17" t="inlineStr">
        <x:is>
          <x:t xml:space="preserve">functional-only</x:t>
        </x:is>
      </x:c>
      <x:c r="D30" s="17" t="inlineStr">
        <x:is>
          <x:t xml:space="preserve">President and CEO</x:t>
        </x:is>
      </x:c>
      <x:c r="E30" s="17" t="n">
        <x:v>2024</x:v>
      </x:c>
      <x:c r="F30" s="18" t="n">
        <x:v>1.06448800377019</x:v>
      </x:c>
      <x:c r="G30" s="19" t="n">
        <x:v>283209</x:v>
      </x:c>
      <x:c r="H30" s="19" t="n">
        <x:v>0</x:v>
      </x:c>
      <x:c r="I30" s="19" t="n">
        <x:v>31790</x:v>
      </x:c>
      <x:c r="J30" s="20" t="n">
        <x:f>G30+H30</x:f>
        <x:v>283209</x:v>
      </x:c>
      <x:c r="K30" s="20" t="n">
        <x:f>J30+I30</x:f>
        <x:v>314999</x:v>
      </x:c>
      <x:c r="L30" s="20" t="n">
        <x:f>J30*F30</x:f>
        <x:v>301472.5830597518</x:v>
      </x:c>
      <x:c r="M30" s="20" t="n">
        <x:f>K30*F30</x:f>
        <x:v>335312.6566996061</x:v>
      </x:c>
      <x:c r="N30" s="19" t="n"/>
      <x:c r="O30" s="19" t="n">
        <x:v>7129646</x:v>
      </x:c>
      <x:c r="P30" s="21" t="n">
        <x:v>23</x:v>
      </x:c>
      <x:c r="Q30" s="21" t="n">
        <x:v>81</x:v>
      </x:c>
      <x:c r="R30" s="16" t="inlineStr">
        <x:is>
          <x:t xml:space="preserve">primary</x:t>
        </x:is>
      </x:c>
      <x:c r="S30" s="16" t="inlineStr">
        <x:is>
          <x:t xml:space="preserve">none</x:t>
        </x:is>
      </x:c>
      <x:c r="T30" s="17" t="inlineStr">
        <x:is>
          <x:t xml:space="preserve">74-3158155</x:t>
        </x:is>
      </x:c>
      <x:c r="U30" s="17" t="inlineStr">
        <x:is>
          <x:t xml:space="preserve">202511219349301641</x:t>
        </x:is>
      </x:c>
      <x:c r="V30" s="16" t="inlineStr">
        <x:is>
          <x:t xml:space="preserve">https://apps.irs.gov/pub/epostcard/990/xml/2025/202511219349301641_public.xml</x:t>
        </x:is>
      </x:c>
      <x:c r="W30" s="16" t="inlineStr">
        <x:is>
          <x:t xml:space="preserve">https://projects.propublica.org/nonprofits/organizations/743158155</x:t>
        </x:is>
      </x:c>
    </x:row>
    <x:row r="31">
      <x:c r="A31" s="17" t="inlineStr">
        <x:is>
          <x:t xml:space="preserve">Public Knowledge</x:t>
        </x:is>
      </x:c>
      <x:c r="B31" s="17" t="inlineStr">
        <x:is>
          <x:t xml:space="preserve">A</x:t>
        </x:is>
      </x:c>
      <x:c r="C31" s="17" t="inlineStr">
        <x:is>
          <x:t xml:space="preserve">EA-adjacent</x:t>
        </x:is>
      </x:c>
      <x:c r="D31" s="17" t="inlineStr">
        <x:is>
          <x:t xml:space="preserve">President/CEO</x:t>
        </x:is>
      </x:c>
      <x:c r="E31" s="17" t="n">
        <x:v>2024</x:v>
      </x:c>
      <x:c r="F31" s="18" t="n">
        <x:v>1.06448800377019</x:v>
      </x:c>
      <x:c r="G31" s="19" t="n">
        <x:v>252001</x:v>
      </x:c>
      <x:c r="H31" s="19" t="n">
        <x:v>0</x:v>
      </x:c>
      <x:c r="I31" s="19" t="n">
        <x:v>16771</x:v>
      </x:c>
      <x:c r="J31" s="20" t="n">
        <x:f>G31+H31</x:f>
        <x:v>252001</x:v>
      </x:c>
      <x:c r="K31" s="20" t="n">
        <x:f>J31+I31</x:f>
        <x:v>268772</x:v>
      </x:c>
      <x:c r="L31" s="20" t="n">
        <x:f>J31*F31</x:f>
        <x:v>268252.04143809166</x:v>
      </x:c>
      <x:c r="M31" s="20" t="n">
        <x:f>K31*F31</x:f>
        <x:v>286104.5697493215</x:v>
      </x:c>
      <x:c r="N31" s="19" t="n"/>
      <x:c r="O31" s="19" t="n">
        <x:v>3654052</x:v>
      </x:c>
      <x:c r="P31" s="21" t="n">
        <x:v>22</x:v>
      </x:c>
      <x:c r="Q31" s="21" t="n">
        <x:v>81</x:v>
      </x:c>
      <x:c r="R31" s="16" t="inlineStr">
        <x:is>
          <x:t xml:space="preserve">primary</x:t>
        </x:is>
      </x:c>
      <x:c r="S31" s="16" t="inlineStr">
        <x:is>
          <x:t xml:space="preserve">none</x:t>
        </x:is>
      </x:c>
      <x:c r="T31" s="17" t="inlineStr">
        <x:is>
          <x:t xml:space="preserve">52-2336690</x:t>
        </x:is>
      </x:c>
      <x:c r="U31" s="17" t="inlineStr">
        <x:is>
          <x:t xml:space="preserve">202533149349301903</x:t>
        </x:is>
      </x:c>
      <x:c r="V31" s="16" t="inlineStr">
        <x:is>
          <x:t xml:space="preserve">https://apps.irs.gov/pub/epostcard/990/xml/2025/202533149349301903_public.xml</x:t>
        </x:is>
      </x:c>
      <x:c r="W31" s="16" t="inlineStr">
        <x:is>
          <x:t xml:space="preserve">https://projects.propublica.org/nonprofits/organizations/522336690</x:t>
        </x:is>
      </x:c>
    </x:row>
    <x:row r="32">
      <x:c r="A32" s="17" t="inlineStr">
        <x:is>
          <x:t xml:space="preserve">VillageReach</x:t>
        </x:is>
      </x:c>
      <x:c r="B32" s="17" t="inlineStr">
        <x:is>
          <x:t xml:space="preserve">A</x:t>
        </x:is>
      </x:c>
      <x:c r="C32" s="17" t="inlineStr">
        <x:is>
          <x:t xml:space="preserve">EA-adjacent</x:t>
        </x:is>
      </x:c>
      <x:c r="D32" s="17" t="inlineStr">
        <x:is>
          <x:t xml:space="preserve">President</x:t>
        </x:is>
      </x:c>
      <x:c r="E32" s="17" t="n">
        <x:v>2023</x:v>
      </x:c>
      <x:c r="F32" s="18" t="n">
        <x:v>1.095885345744019</x:v>
      </x:c>
      <x:c r="G32" s="19" t="n">
        <x:v>228632</x:v>
      </x:c>
      <x:c r="H32" s="19" t="n">
        <x:v>0</x:v>
      </x:c>
      <x:c r="I32" s="19" t="n">
        <x:v>14623</x:v>
      </x:c>
      <x:c r="J32" s="20" t="n">
        <x:f>G32+H32</x:f>
        <x:v>228632</x:v>
      </x:c>
      <x:c r="K32" s="20" t="n">
        <x:f>J32+I32</x:f>
        <x:v>243255</x:v>
      </x:c>
      <x:c r="L32" s="20" t="n">
        <x:f>J32*F32</x:f>
        <x:v>250554.45836814656</x:v>
      </x:c>
      <x:c r="M32" s="20" t="n">
        <x:f>K32*F32</x:f>
        <x:v>266579.5897789613</x:v>
      </x:c>
      <x:c r="N32" s="19" t="n"/>
      <x:c r="O32" s="19" t="n">
        <x:v>31767757</x:v>
      </x:c>
      <x:c r="P32" s="21" t="n">
        <x:v>62</x:v>
      </x:c>
      <x:c r="Q32" s="21" t="n">
        <x:v>81</x:v>
      </x:c>
      <x:c r="R32" s="16" t="inlineStr">
        <x:is>
          <x:t xml:space="preserve">primary_with_structure_flag</x:t>
        </x:is>
      </x:c>
      <x:c r="S32" s="16" t="inlineStr">
        <x:is>
          <x:t xml:space="preserve">delivery_hybrid</x:t>
        </x:is>
      </x:c>
      <x:c r="T32" s="17" t="inlineStr">
        <x:is>
          <x:t xml:space="preserve">91-2083484</x:t>
        </x:is>
      </x:c>
      <x:c r="U32" s="17" t="inlineStr">
        <x:is>
          <x:t xml:space="preserve">202512199349301336</x:t>
        </x:is>
      </x:c>
      <x:c r="V32" s="16" t="inlineStr">
        <x:is>
          <x:t xml:space="preserve">https://apps.irs.gov/pub/epostcard/990/xml/2025/202512199349301336_public.xml</x:t>
        </x:is>
      </x:c>
      <x:c r="W32" s="16" t="inlineStr">
        <x:is>
          <x:t xml:space="preserve">https://projects.propublica.org/nonprofits/organizations/912083484</x:t>
        </x:is>
      </x:c>
    </x:row>
    <x:row r="33">
      <x:c r="A33" s="17" t="inlineStr">
        <x:is>
          <x:t xml:space="preserve">Bulletin of the Atomic Scientists</x:t>
        </x:is>
      </x:c>
      <x:c r="B33" s="17" t="inlineStr">
        <x:is>
          <x:t xml:space="preserve">A</x:t>
        </x:is>
      </x:c>
      <x:c r="C33" s="17" t="inlineStr">
        <x:is>
          <x:t xml:space="preserve">EA-adjacent</x:t>
        </x:is>
      </x:c>
      <x:c r="D33" s="17" t="inlineStr">
        <x:is>
          <x:t xml:space="preserve">CEO</x:t>
        </x:is>
      </x:c>
      <x:c r="E33" s="17" t="n">
        <x:v>2024</x:v>
      </x:c>
      <x:c r="F33" s="18" t="n">
        <x:v>1.06448800377019</x:v>
      </x:c>
      <x:c r="G33" s="19" t="n">
        <x:v>210000</x:v>
      </x:c>
      <x:c r="H33" s="19" t="n">
        <x:v>0</x:v>
      </x:c>
      <x:c r="I33" s="19" t="n">
        <x:v>6300</x:v>
      </x:c>
      <x:c r="J33" s="20" t="n">
        <x:f>G33+H33</x:f>
        <x:v>210000</x:v>
      </x:c>
      <x:c r="K33" s="20" t="n">
        <x:f>J33+I33</x:f>
        <x:v>216300</x:v>
      </x:c>
      <x:c r="L33" s="20" t="n">
        <x:f>J33*F33</x:f>
        <x:v>223542.48079173992</x:v>
      </x:c>
      <x:c r="M33" s="20" t="n">
        <x:f>K33*F33</x:f>
        <x:v>230248.7552154921</x:v>
      </x:c>
      <x:c r="N33" s="19" t="n"/>
      <x:c r="O33" s="19" t="n">
        <x:v>3533371</x:v>
      </x:c>
      <x:c r="P33" s="21" t="n">
        <x:v>21</x:v>
      </x:c>
      <x:c r="Q33" s="21" t="n">
        <x:v>80</x:v>
      </x:c>
      <x:c r="R33" s="16" t="inlineStr">
        <x:is>
          <x:t xml:space="preserve">primary_with_structure_flag</x:t>
        </x:is>
      </x:c>
      <x:c r="S33" s="16" t="inlineStr">
        <x:is>
          <x:t xml:space="preserve">publishing_research_hybrid</x:t>
        </x:is>
      </x:c>
      <x:c r="T33" s="17" t="inlineStr">
        <x:is>
          <x:t xml:space="preserve">36-2136497</x:t>
        </x:is>
      </x:c>
      <x:c r="U33" s="17" t="inlineStr">
        <x:is>
          <x:t xml:space="preserve">202610149349301801</x:t>
        </x:is>
      </x:c>
      <x:c r="V33" s="16" t="inlineStr">
        <x:is>
          <x:t xml:space="preserve">https://apps.irs.gov/pub/epostcard/990/xml/2026/202610149349301801_public.xml</x:t>
        </x:is>
      </x:c>
      <x:c r="W33" s="16" t="inlineStr">
        <x:is>
          <x:t xml:space="preserve">https://projects.propublica.org/nonprofits/organizations/362136497</x:t>
        </x:is>
      </x:c>
    </x:row>
    <x:row r="34">
      <x:c r="A34" s="17" t="inlineStr">
        <x:is>
          <x:t xml:space="preserve">Federation of American Scientists</x:t>
        </x:is>
      </x:c>
      <x:c r="B34" s="17" t="inlineStr">
        <x:is>
          <x:t xml:space="preserve">A</x:t>
        </x:is>
      </x:c>
      <x:c r="C34" s="17" t="inlineStr">
        <x:is>
          <x:t xml:space="preserve">EA-adjacent</x:t>
        </x:is>
      </x:c>
      <x:c r="D34" s="17" t="inlineStr">
        <x:is>
          <x:t xml:space="preserve">Chief Executive Officer</x:t>
        </x:is>
      </x:c>
      <x:c r="E34" s="17" t="n">
        <x:v>2024</x:v>
      </x:c>
      <x:c r="F34" s="18" t="n">
        <x:v>1.06448800377019</x:v>
      </x:c>
      <x:c r="G34" s="19" t="n">
        <x:v>683472</x:v>
      </x:c>
      <x:c r="H34" s="19" t="n">
        <x:v>0</x:v>
      </x:c>
      <x:c r="I34" s="19" t="n">
        <x:v>96001</x:v>
      </x:c>
      <x:c r="J34" s="20" t="n">
        <x:f>G34+H34</x:f>
        <x:v>683472</x:v>
      </x:c>
      <x:c r="K34" s="20" t="n">
        <x:f>J34+I34</x:f>
        <x:v>779473</x:v>
      </x:c>
      <x:c r="L34" s="20" t="n">
        <x:f>J34*F34</x:f>
        <x:v>727547.7449128194</x:v>
      </x:c>
      <x:c r="M34" s="20" t="n">
        <x:f>K34*F34</x:f>
        <x:v>829739.6577627613</x:v>
      </x:c>
      <x:c r="N34" s="19" t="n"/>
      <x:c r="O34" s="19" t="n">
        <x:v>36430648</x:v>
      </x:c>
      <x:c r="P34" s="21" t="n">
        <x:v>116</x:v>
      </x:c>
      <x:c r="Q34" s="21" t="n">
        <x:v>76</x:v>
      </x:c>
      <x:c r="R34" s="16" t="inlineStr">
        <x:is>
          <x:t xml:space="preserve">primary_with_structure_flag</x:t>
        </x:is>
      </x:c>
      <x:c r="S34" s="16" t="inlineStr">
        <x:is>
          <x:t xml:space="preserve">above_primary_scale</x:t>
        </x:is>
      </x:c>
      <x:c r="T34" s="17" t="inlineStr">
        <x:is>
          <x:t xml:space="preserve">23-7185827</x:t>
        </x:is>
      </x:c>
      <x:c r="U34" s="17" t="inlineStr">
        <x:is>
          <x:t xml:space="preserve">202620939349300837</x:t>
        </x:is>
      </x:c>
      <x:c r="V34" s="16" t="inlineStr">
        <x:is>
          <x:t xml:space="preserve">https://apps.irs.gov/pub/epostcard/990/xml/2026/202620939349300837_public.xml</x:t>
        </x:is>
      </x:c>
      <x:c r="W34" s="16" t="inlineStr">
        <x:is>
          <x:t xml:space="preserve">https://projects.propublica.org/nonprofits/organizations/237185827</x:t>
        </x:is>
      </x:c>
    </x:row>
    <x:row r="35">
      <x:c r="A35" s="17" t="inlineStr">
        <x:is>
          <x:t xml:space="preserve">Good Food Institute</x:t>
        </x:is>
      </x:c>
      <x:c r="B35" s="17" t="inlineStr">
        <x:is>
          <x:t xml:space="preserve">A</x:t>
        </x:is>
      </x:c>
      <x:c r="C35" s="17" t="inlineStr">
        <x:is>
          <x:t xml:space="preserve">EA-adjacent</x:t>
        </x:is>
      </x:c>
      <x:c r="D35" s="17" t="inlineStr">
        <x:is>
          <x:t xml:space="preserve">CEO</x:t>
        </x:is>
      </x:c>
      <x:c r="E35" s="17" t="n">
        <x:v>2024</x:v>
      </x:c>
      <x:c r="F35" s="18" t="n">
        <x:v>1.06448800377019</x:v>
      </x:c>
      <x:c r="G35" s="19" t="n">
        <x:v>225925</x:v>
      </x:c>
      <x:c r="H35" s="19" t="n">
        <x:v>0</x:v>
      </x:c>
      <x:c r="I35" s="19" t="n">
        <x:v>22475</x:v>
      </x:c>
      <x:c r="J35" s="20" t="n">
        <x:f>G35+H35</x:f>
        <x:v>225925</x:v>
      </x:c>
      <x:c r="K35" s="20" t="n">
        <x:f>J35+I35</x:f>
        <x:v>248400</x:v>
      </x:c>
      <x:c r="L35" s="20" t="n">
        <x:f>J35*F35</x:f>
        <x:v>240494.4522517802</x:v>
      </x:c>
      <x:c r="M35" s="20" t="n">
        <x:f>K35*F35</x:f>
        <x:v>264418.8201365152</x:v>
      </x:c>
      <x:c r="N35" s="19" t="n"/>
      <x:c r="O35" s="19" t="n">
        <x:v>35420353</x:v>
      </x:c>
      <x:c r="P35" s="21" t="n">
        <x:v>132</x:v>
      </x:c>
      <x:c r="Q35" s="21" t="n">
        <x:v>76</x:v>
      </x:c>
      <x:c r="R35" s="16" t="inlineStr">
        <x:is>
          <x:t xml:space="preserve">primary_with_structure_flag</x:t>
        </x:is>
      </x:c>
      <x:c r="S35" s="16" t="inlineStr">
        <x:is>
          <x:t xml:space="preserve">founder_president_plus_ceo</x:t>
        </x:is>
      </x:c>
      <x:c r="T35" s="17" t="inlineStr">
        <x:is>
          <x:t xml:space="preserve">81-0840578</x:t>
        </x:is>
      </x:c>
      <x:c r="U35" s="17" t="inlineStr">
        <x:is>
          <x:t xml:space="preserve">202543189349301719</x:t>
        </x:is>
      </x:c>
      <x:c r="V35" s="16" t="inlineStr">
        <x:is>
          <x:t xml:space="preserve">https://apps.irs.gov/pub/epostcard/990/xml/2025/202543189349301719_public.xml</x:t>
        </x:is>
      </x:c>
      <x:c r="W35" s="16" t="inlineStr">
        <x:is>
          <x:t xml:space="preserve">https://projects.propublica.org/nonprofits/organizations/810840578</x:t>
        </x:is>
      </x:c>
    </x:row>
    <x:row r="36">
      <x:c r="A36" s="17" t="inlineStr">
        <x:is>
          <x:t xml:space="preserve">National Committee for Responsive Philanthropy</x:t>
        </x:is>
      </x:c>
      <x:c r="B36" s="17" t="inlineStr">
        <x:is>
          <x:t xml:space="preserve">A</x:t>
        </x:is>
      </x:c>
      <x:c r="C36" s="17" t="inlineStr">
        <x:is>
          <x:t xml:space="preserve">functional-only</x:t>
        </x:is>
      </x:c>
      <x:c r="D36" s="17" t="inlineStr">
        <x:is>
          <x:t xml:space="preserve">CEO</x:t>
        </x:is>
      </x:c>
      <x:c r="E36" s="17" t="n">
        <x:v>2024</x:v>
      </x:c>
      <x:c r="F36" s="18" t="n">
        <x:v>1.06448800377019</x:v>
      </x:c>
      <x:c r="G36" s="19" t="n">
        <x:v>321240</x:v>
      </x:c>
      <x:c r="H36" s="19" t="n">
        <x:v>0</x:v>
      </x:c>
      <x:c r="I36" s="19" t="n">
        <x:v>52272</x:v>
      </x:c>
      <x:c r="J36" s="20" t="n">
        <x:f>G36+H36</x:f>
        <x:v>321240</x:v>
      </x:c>
      <x:c r="K36" s="20" t="n">
        <x:f>J36+I36</x:f>
        <x:v>373512</x:v>
      </x:c>
      <x:c r="L36" s="20" t="n">
        <x:f>J36*F36</x:f>
        <x:v>341956.12633113586</x:v>
      </x:c>
      <x:c r="M36" s="20" t="n">
        <x:f>K36*F36</x:f>
        <x:v>397599.0432642112</x:v>
      </x:c>
      <x:c r="N36" s="19" t="n"/>
      <x:c r="O36" s="19" t="n">
        <x:v>4098025</x:v>
      </x:c>
      <x:c r="P36" s="21" t="n">
        <x:v>27</x:v>
      </x:c>
      <x:c r="Q36" s="21" t="n">
        <x:v>76</x:v>
      </x:c>
      <x:c r="R36" s="16" t="inlineStr">
        <x:is>
          <x:t xml:space="preserve">primary</x:t>
        </x:is>
      </x:c>
      <x:c r="S36" s="16" t="inlineStr">
        <x:is>
          <x:t xml:space="preserve">none</x:t>
        </x:is>
      </x:c>
      <x:c r="T36" s="17" t="inlineStr">
        <x:is>
          <x:t xml:space="preserve">52-1072749</x:t>
        </x:is>
      </x:c>
      <x:c r="U36" s="17" t="inlineStr">
        <x:is>
          <x:t xml:space="preserve">202610449349300906</x:t>
        </x:is>
      </x:c>
      <x:c r="V36" s="16" t="inlineStr">
        <x:is>
          <x:t xml:space="preserve">https://apps.irs.gov/pub/epostcard/990/xml/2026/202610449349300906_public.xml</x:t>
        </x:is>
      </x:c>
      <x:c r="W36" s="16" t="inlineStr">
        <x:is>
          <x:t xml:space="preserve">https://projects.propublica.org/nonprofits/organizations/521072749</x:t>
        </x:is>
      </x:c>
    </x:row>
    <x:row r="37">
      <x:c r="A37" s="17" t="inlineStr">
        <x:is>
          <x:t xml:space="preserve">Electronic Frontier Foundation</x:t>
        </x:is>
      </x:c>
      <x:c r="B37" s="17" t="inlineStr">
        <x:is>
          <x:t xml:space="preserve">A</x:t>
        </x:is>
      </x:c>
      <x:c r="C37" s="17" t="inlineStr">
        <x:is>
          <x:t xml:space="preserve">EA-adjacent</x:t>
        </x:is>
      </x:c>
      <x:c r="D37" s="17" t="inlineStr">
        <x:is>
          <x:t xml:space="preserve">Executive Director</x:t>
        </x:is>
      </x:c>
      <x:c r="E37" s="17" t="n">
        <x:v>2024</x:v>
      </x:c>
      <x:c r="F37" s="18" t="n">
        <x:v>1.06448800377019</x:v>
      </x:c>
      <x:c r="G37" s="19" t="n">
        <x:v>352039</x:v>
      </x:c>
      <x:c r="H37" s="19" t="n">
        <x:v>0</x:v>
      </x:c>
      <x:c r="I37" s="19" t="n">
        <x:v>24127</x:v>
      </x:c>
      <x:c r="J37" s="20" t="n">
        <x:f>G37+H37</x:f>
        <x:v>352039</x:v>
      </x:c>
      <x:c r="K37" s="20" t="n">
        <x:f>J37+I37</x:f>
        <x:v>376166</x:v>
      </x:c>
      <x:c r="L37" s="20" t="n">
        <x:f>J37*F37</x:f>
        <x:v>374741.2923592539</x:v>
      </x:c>
      <x:c r="M37" s="20" t="n">
        <x:f>K37*F37</x:f>
        <x:v>400424.1944262173</x:v>
      </x:c>
      <x:c r="N37" s="19" t="n"/>
      <x:c r="O37" s="19" t="n">
        <x:v>25771066</x:v>
      </x:c>
      <x:c r="P37" s="21" t="n">
        <x:v>121</x:v>
      </x:c>
      <x:c r="Q37" s="21" t="n">
        <x:v>79</x:v>
      </x:c>
      <x:c r="R37" s="16" t="inlineStr">
        <x:is>
          <x:t xml:space="preserve">primary_with_structure_flag</x:t>
        </x:is>
      </x:c>
      <x:c r="S37" s="16" t="inlineStr">
        <x:is>
          <x:t xml:space="preserve">legal_advocacy_hybrid</x:t>
        </x:is>
      </x:c>
      <x:c r="T37" s="17" t="inlineStr">
        <x:is>
          <x:t xml:space="preserve">04-3091431</x:t>
        </x:is>
      </x:c>
      <x:c r="U37" s="17" t="inlineStr">
        <x:is>
          <x:t xml:space="preserve">202610989349301676</x:t>
        </x:is>
      </x:c>
      <x:c r="V37" s="16" t="inlineStr">
        <x:is>
          <x:t xml:space="preserve">https://apps.irs.gov/pub/epostcard/990/xml/2026/202610989349301676_public.xml</x:t>
        </x:is>
      </x:c>
      <x:c r="W37" s="16" t="inlineStr">
        <x:is>
          <x:t xml:space="preserve">https://projects.propublica.org/nonprofits/organizations/43091431</x:t>
        </x:is>
      </x:c>
    </x:row>
    <x:row r="38">
      <x:c r="A38" s="17" t="inlineStr">
        <x:is>
          <x:t xml:space="preserve">Center for Effective Philanthropy</x:t>
        </x:is>
      </x:c>
      <x:c r="B38" s="17" t="inlineStr">
        <x:is>
          <x:t xml:space="preserve">A</x:t>
        </x:is>
      </x:c>
      <x:c r="C38" s="17" t="inlineStr">
        <x:is>
          <x:t xml:space="preserve">functional-only</x:t>
        </x:is>
      </x:c>
      <x:c r="D38" s="17" t="inlineStr">
        <x:is>
          <x:t xml:space="preserve">President</x:t>
        </x:is>
      </x:c>
      <x:c r="E38" s="17" t="n">
        <x:v>2025</x:v>
      </x:c>
      <x:c r="F38" s="18" t="n">
        <x:v>1.037196025383375</x:v>
      </x:c>
      <x:c r="G38" s="19" t="n">
        <x:v>636356</x:v>
      </x:c>
      <x:c r="H38" s="19" t="n">
        <x:v>0</x:v>
      </x:c>
      <x:c r="I38" s="19" t="n">
        <x:v>64664</x:v>
      </x:c>
      <x:c r="J38" s="20" t="n">
        <x:f>G38+H38</x:f>
        <x:v>636356</x:v>
      </x:c>
      <x:c r="K38" s="20" t="n">
        <x:f>J38+I38</x:f>
        <x:v>701020</x:v>
      </x:c>
      <x:c r="L38" s="20" t="n">
        <x:f>J38*F38</x:f>
        <x:v>660025.913928863</x:v>
      </x:c>
      <x:c r="M38" s="20" t="n">
        <x:f>K38*F38</x:f>
        <x:v>727095.1577142535</x:v>
      </x:c>
      <x:c r="N38" s="19" t="n"/>
      <x:c r="O38" s="19" t="n">
        <x:v>15868358</x:v>
      </x:c>
      <x:c r="P38" s="21" t="n">
        <x:v>74</x:v>
      </x:c>
      <x:c r="Q38" s="21" t="n">
        <x:v>87</x:v>
      </x:c>
      <x:c r="R38" s="16" t="inlineStr">
        <x:is>
          <x:t xml:space="preserve">primary</x:t>
        </x:is>
      </x:c>
      <x:c r="S38" s="16" t="inlineStr">
        <x:is>
          <x:t xml:space="preserve">none</x:t>
        </x:is>
      </x:c>
      <x:c r="T38" s="17" t="inlineStr">
        <x:is>
          <x:t xml:space="preserve">04-3523528</x:t>
        </x:is>
      </x:c>
      <x:c r="U38" s="17" t="inlineStr">
        <x:is>
          <x:t xml:space="preserve">202602039349300145</x:t>
        </x:is>
      </x:c>
      <x:c r="V38" s="16" t="inlineStr">
        <x:is>
          <x:t xml:space="preserve">https://apps.irs.gov/pub/epostcard/990/xml/2026/202602039349300145_public.xml</x:t>
        </x:is>
      </x:c>
      <x:c r="W38" s="16" t="inlineStr">
        <x:is>
          <x:t xml:space="preserve">https://projects.propublica.org/nonprofits/organizations/43523528</x:t>
        </x:is>
      </x:c>
    </x:row>
    <x:row r="39">
      <x:c r="A39" s="17" t="inlineStr">
        <x:is>
          <x:t xml:space="preserve">Grantmakers for Effective Organizations</x:t>
        </x:is>
      </x:c>
      <x:c r="B39" s="17" t="inlineStr">
        <x:is>
          <x:t xml:space="preserve">A</x:t>
        </x:is>
      </x:c>
      <x:c r="C39" s="17" t="inlineStr">
        <x:is>
          <x:t xml:space="preserve">functional-only</x:t>
        </x:is>
      </x:c>
      <x:c r="D39" s="17" t="inlineStr">
        <x:is>
          <x:t xml:space="preserve">President &amp; CEO</x:t>
        </x:is>
      </x:c>
      <x:c r="E39" s="17" t="n">
        <x:v>2024</x:v>
      </x:c>
      <x:c r="F39" s="18" t="n">
        <x:v>1.06448800377019</x:v>
      </x:c>
      <x:c r="G39" s="19" t="n">
        <x:v>370900</x:v>
      </x:c>
      <x:c r="H39" s="19" t="n">
        <x:v>0</x:v>
      </x:c>
      <x:c r="I39" s="19" t="n">
        <x:v>12006</x:v>
      </x:c>
      <x:c r="J39" s="20" t="n">
        <x:f>G39+H39</x:f>
        <x:v>370900</x:v>
      </x:c>
      <x:c r="K39" s="20" t="n">
        <x:f>J39+I39</x:f>
        <x:v>382906</x:v>
      </x:c>
      <x:c r="L39" s="20" t="n">
        <x:f>J39*F39</x:f>
        <x:v>394818.6005983635</x:v>
      </x:c>
      <x:c r="M39" s="20" t="n">
        <x:f>K39*F39</x:f>
        <x:v>407598.8435716284</x:v>
      </x:c>
      <x:c r="N39" s="19" t="n"/>
      <x:c r="O39" s="19" t="n">
        <x:v>7553004</x:v>
      </x:c>
      <x:c r="P39" s="21" t="n">
        <x:v>28</x:v>
      </x:c>
      <x:c r="Q39" s="21" t="n">
        <x:v>86</x:v>
      </x:c>
      <x:c r="R39" s="16" t="inlineStr">
        <x:is>
          <x:t xml:space="preserve">primary</x:t>
        </x:is>
      </x:c>
      <x:c r="S39" s="16" t="inlineStr">
        <x:is>
          <x:t xml:space="preserve">none</x:t>
        </x:is>
      </x:c>
      <x:c r="T39" s="17" t="inlineStr">
        <x:is>
          <x:t xml:space="preserve">01-0669150</x:t>
        </x:is>
      </x:c>
      <x:c r="U39" s="17" t="inlineStr">
        <x:is>
          <x:t xml:space="preserve">202503109349303655</x:t>
        </x:is>
      </x:c>
      <x:c r="V39" s="16" t="inlineStr">
        <x:is>
          <x:t xml:space="preserve">https://apps.irs.gov/pub/epostcard/990/xml/2025/202503109349303655_public.xml</x:t>
        </x:is>
      </x:c>
      <x:c r="W39" s="16" t="inlineStr">
        <x:is>
          <x:t xml:space="preserve">https://projects.propublica.org/nonprofits/organizations/10669150</x:t>
        </x:is>
      </x:c>
    </x:row>
    <x:row r="40">
      <x:c r="A40" s="17" t="inlineStr">
        <x:is>
          <x:t xml:space="preserve">Precision Development</x:t>
        </x:is>
      </x:c>
      <x:c r="B40" s="17" t="inlineStr">
        <x:is>
          <x:t xml:space="preserve">A</x:t>
        </x:is>
      </x:c>
      <x:c r="C40" s="17" t="inlineStr">
        <x:is>
          <x:t xml:space="preserve">EA-adjacent</x:t>
        </x:is>
      </x:c>
      <x:c r="D40" s="17" t="inlineStr">
        <x:is>
          <x:t xml:space="preserve">Chief Executive Officer</x:t>
        </x:is>
      </x:c>
      <x:c r="E40" s="17" t="n">
        <x:v>2023</x:v>
      </x:c>
      <x:c r="F40" s="18" t="n">
        <x:v>1.095885345744019</x:v>
      </x:c>
      <x:c r="G40" s="19" t="n">
        <x:v>224927</x:v>
      </x:c>
      <x:c r="H40" s="19" t="n">
        <x:v>0</x:v>
      </x:c>
      <x:c r="I40" s="19" t="n">
        <x:v>22600</x:v>
      </x:c>
      <x:c r="J40" s="20" t="n">
        <x:f>G40+H40</x:f>
        <x:v>224927</x:v>
      </x:c>
      <x:c r="K40" s="20" t="n">
        <x:f>J40+I40</x:f>
        <x:v>247527</x:v>
      </x:c>
      <x:c r="L40" s="20" t="n">
        <x:f>J40*F40</x:f>
        <x:v>246494.20316216495</x:v>
      </x:c>
      <x:c r="M40" s="20" t="n">
        <x:f>K40*F40</x:f>
        <x:v>271261.2119759798</x:v>
      </x:c>
      <x:c r="N40" s="19" t="n"/>
      <x:c r="O40" s="19" t="n">
        <x:v>5234047</x:v>
      </x:c>
      <x:c r="P40" s="21" t="n">
        <x:v>12</x:v>
      </x:c>
      <x:c r="Q40" s="21" t="n">
        <x:v>76</x:v>
      </x:c>
      <x:c r="R40" s="16" t="inlineStr">
        <x:is>
          <x:t xml:space="preserve">primary_older_clean</x:t>
        </x:is>
      </x:c>
      <x:c r="S40" s="16" t="inlineStr">
        <x:is>
          <x:t xml:space="preserve">older_clean_due_transition</x:t>
        </x:is>
      </x:c>
      <x:c r="T40" s="17" t="inlineStr">
        <x:is>
          <x:t xml:space="preserve">81-0779400</x:t>
        </x:is>
      </x:c>
      <x:c r="U40" s="17" t="inlineStr">
        <x:is>
          <x:t xml:space="preserve">202433199349302193</x:t>
        </x:is>
      </x:c>
      <x:c r="V40" s="16" t="inlineStr">
        <x:is>
          <x:t xml:space="preserve">https://apps.irs.gov/pub/epostcard/990/xml/2024/202433199349302193_public.xml</x:t>
        </x:is>
      </x:c>
      <x:c r="W40" s="16" t="inlineStr">
        <x:is>
          <x:t xml:space="preserve">https://projects.propublica.org/nonprofits/organizations/810779400</x:t>
        </x:is>
      </x:c>
    </x:row>
    <x:row r="41">
      <x:c r="A41" s="17" t="inlineStr">
        <x:is>
          <x:t xml:space="preserve">Results for Development</x:t>
        </x:is>
      </x:c>
      <x:c r="B41" s="17" t="inlineStr">
        <x:is>
          <x:t xml:space="preserve">A</x:t>
        </x:is>
      </x:c>
      <x:c r="C41" s="17" t="inlineStr">
        <x:is>
          <x:t xml:space="preserve">EA-adjacent</x:t>
        </x:is>
      </x:c>
      <x:c r="D41" s="17" t="inlineStr">
        <x:is>
          <x:t xml:space="preserve">President &amp; CEO</x:t>
        </x:is>
      </x:c>
      <x:c r="E41" s="17" t="n">
        <x:v>2024</x:v>
      </x:c>
      <x:c r="F41" s="18" t="n">
        <x:v>1.06448800377019</x:v>
      </x:c>
      <x:c r="G41" s="19" t="n">
        <x:v>384084</x:v>
      </x:c>
      <x:c r="H41" s="19" t="n">
        <x:v>0</x:v>
      </x:c>
      <x:c r="I41" s="19" t="n">
        <x:v>13800</x:v>
      </x:c>
      <x:c r="J41" s="20" t="n">
        <x:f>G41+H41</x:f>
        <x:v>384084</x:v>
      </x:c>
      <x:c r="K41" s="20" t="n">
        <x:f>J41+I41</x:f>
        <x:v>397884</x:v>
      </x:c>
      <x:c r="L41" s="20" t="n">
        <x:f>J41*F41</x:f>
        <x:v>408852.81044006965</x:v>
      </x:c>
      <x:c r="M41" s="20" t="n">
        <x:f>K41*F41</x:f>
        <x:v>423542.7448920983</x:v>
      </x:c>
      <x:c r="N41" s="19" t="n"/>
      <x:c r="O41" s="19" t="n">
        <x:v>48542325</x:v>
      </x:c>
      <x:c r="P41" s="21" t="n">
        <x:v>140</x:v>
      </x:c>
      <x:c r="Q41" s="21" t="n">
        <x:v>76</x:v>
      </x:c>
      <x:c r="R41" s="16" t="inlineStr">
        <x:is>
          <x:t xml:space="preserve">primary_with_structure_flag</x:t>
        </x:is>
      </x:c>
      <x:c r="S41" s="16" t="inlineStr">
        <x:is>
          <x:t xml:space="preserve">above_primary_scale</x:t>
        </x:is>
      </x:c>
      <x:c r="T41" s="17" t="inlineStr">
        <x:is>
          <x:t xml:space="preserve">20-8530747</x:t>
        </x:is>
      </x:c>
      <x:c r="U41" s="17" t="inlineStr">
        <x:is>
          <x:t xml:space="preserve">202512739349302306</x:t>
        </x:is>
      </x:c>
      <x:c r="V41" s="16" t="inlineStr">
        <x:is>
          <x:t xml:space="preserve">https://apps.irs.gov/pub/epostcard/990/xml/2025/202512739349302306_public.xml</x:t>
        </x:is>
      </x:c>
      <x:c r="W41" s="16" t="inlineStr">
        <x:is>
          <x:t xml:space="preserve">https://projects.propublica.org/nonprofits/organizations/208530747</x:t>
        </x:is>
      </x:c>
    </x:row>
    <x:row r="42">
      <x:c r="A42" s="17" t="inlineStr">
        <x:is>
          <x:t xml:space="preserve">Last Mile Health</x:t>
        </x:is>
      </x:c>
      <x:c r="B42" s="17" t="inlineStr">
        <x:is>
          <x:t xml:space="preserve">B</x:t>
        </x:is>
      </x:c>
      <x:c r="C42" s="17" t="inlineStr">
        <x:is>
          <x:t xml:space="preserve">EA-adjacent</x:t>
        </x:is>
      </x:c>
      <x:c r="D42" s="17" t="inlineStr">
        <x:is>
          <x:t xml:space="preserve">Chief Executive Officer</x:t>
        </x:is>
      </x:c>
      <x:c r="E42" s="17" t="n">
        <x:v>2024</x:v>
      </x:c>
      <x:c r="F42" s="18" t="n">
        <x:v>1.06448800377019</x:v>
      </x:c>
      <x:c r="G42" s="19" t="n">
        <x:v>249008</x:v>
      </x:c>
      <x:c r="H42" s="19" t="n">
        <x:v>0</x:v>
      </x:c>
      <x:c r="I42" s="19" t="n">
        <x:v>7164</x:v>
      </x:c>
      <x:c r="J42" s="20" t="n">
        <x:f>G42+H42</x:f>
        <x:v>249008</x:v>
      </x:c>
      <x:c r="K42" s="20" t="n">
        <x:f>J42+I42</x:f>
        <x:v>256172</x:v>
      </x:c>
      <x:c r="L42" s="20" t="n">
        <x:f>J42*F42</x:f>
        <x:v>265066.02884280746</x:v>
      </x:c>
      <x:c r="M42" s="20" t="n">
        <x:f>K42*F42</x:f>
        <x:v>272692.02090181713</x:v>
      </x:c>
      <x:c r="N42" s="19" t="n"/>
      <x:c r="O42" s="19" t="n">
        <x:v>26962344</x:v>
      </x:c>
      <x:c r="P42" s="21" t="n">
        <x:v>55</x:v>
      </x:c>
      <x:c r="Q42" s="21" t="n">
        <x:v>78</x:v>
      </x:c>
      <x:c r="R42" s="16" t="inlineStr">
        <x:is>
          <x:t xml:space="preserve">primary_with_structure_flag</x:t>
        </x:is>
      </x:c>
      <x:c r="S42" s="16" t="inlineStr">
        <x:is>
          <x:t xml:space="preserve">delivery_hybrid</x:t>
        </x:is>
      </x:c>
      <x:c r="T42" s="17" t="inlineStr">
        <x:is>
          <x:t xml:space="preserve">26-1401736</x:t>
        </x:is>
      </x:c>
      <x:c r="U42" s="17" t="inlineStr">
        <x:is>
          <x:t xml:space="preserve">202631359349305343</x:t>
        </x:is>
      </x:c>
      <x:c r="V42" s="16" t="inlineStr">
        <x:is>
          <x:t xml:space="preserve">https://apps.irs.gov/pub/epostcard/990/xml/2026/202631359349305343_public.xml</x:t>
        </x:is>
      </x:c>
      <x:c r="W42" s="16" t="inlineStr">
        <x:is>
          <x:t xml:space="preserve">https://projects.propublica.org/nonprofits/organizations/261401736</x:t>
        </x:is>
      </x:c>
    </x:row>
    <x:row r="43">
      <x:c r="A43" s="17" t="inlineStr">
        <x:is>
          <x:t xml:space="preserve">StrongMinds</x:t>
        </x:is>
      </x:c>
      <x:c r="B43" s="17" t="inlineStr">
        <x:is>
          <x:t xml:space="preserve">B</x:t>
        </x:is>
      </x:c>
      <x:c r="C43" s="17" t="inlineStr">
        <x:is>
          <x:t xml:space="preserve">EA-adjacent</x:t>
        </x:is>
      </x:c>
      <x:c r="D43" s="17" t="inlineStr">
        <x:is>
          <x:t xml:space="preserve">Chief Executive Officer</x:t>
        </x:is>
      </x:c>
      <x:c r="E43" s="17" t="n">
        <x:v>2024</x:v>
      </x:c>
      <x:c r="F43" s="18" t="n">
        <x:v>1.06448800377019</x:v>
      </x:c>
      <x:c r="G43" s="19" t="n">
        <x:v>240015</x:v>
      </x:c>
      <x:c r="H43" s="19" t="n">
        <x:v>0</x:v>
      </x:c>
      <x:c r="I43" s="19" t="n">
        <x:v>7453</x:v>
      </x:c>
      <x:c r="J43" s="20" t="n">
        <x:f>G43+H43</x:f>
        <x:v>240015</x:v>
      </x:c>
      <x:c r="K43" s="20" t="n">
        <x:f>J43+I43</x:f>
        <x:v>247468</x:v>
      </x:c>
      <x:c r="L43" s="20" t="n">
        <x:f>J43*F43</x:f>
        <x:v>255493.08822490217</x:v>
      </x:c>
      <x:c r="M43" s="20" t="n">
        <x:f>K43*F43</x:f>
        <x:v>263426.71731700137</x:v>
      </x:c>
      <x:c r="N43" s="19" t="n"/>
      <x:c r="O43" s="19" t="n">
        <x:v>9651790</x:v>
      </x:c>
      <x:c r="P43" s="21" t="n">
        <x:v>25</x:v>
      </x:c>
      <x:c r="Q43" s="21" t="n">
        <x:v>78</x:v>
      </x:c>
      <x:c r="R43" s="16" t="inlineStr">
        <x:is>
          <x:t xml:space="preserve">primary_with_structure_flag</x:t>
        </x:is>
      </x:c>
      <x:c r="S43" s="16" t="inlineStr">
        <x:is>
          <x:t xml:space="preserve">delivery_hybrid</x:t>
        </x:is>
      </x:c>
      <x:c r="T43" s="17" t="inlineStr">
        <x:is>
          <x:t xml:space="preserve">46-2090059</x:t>
        </x:is>
      </x:c>
      <x:c r="U43" s="17" t="inlineStr">
        <x:is>
          <x:t xml:space="preserve">202511719349300036</x:t>
        </x:is>
      </x:c>
      <x:c r="V43" s="16" t="inlineStr">
        <x:is>
          <x:t xml:space="preserve">https://apps.irs.gov/pub/epostcard/990/xml/2025/202511719349300036_public.xml</x:t>
        </x:is>
      </x:c>
      <x:c r="W43" s="16" t="inlineStr">
        <x:is>
          <x:t xml:space="preserve">https://projects.propublica.org/nonprofits/organizations/462090059</x:t>
        </x:is>
      </x:c>
    </x:row>
    <x:row r="44">
      <x:c r="A44" s="17" t="inlineStr">
        <x:is>
          <x:t xml:space="preserve">Animal Legal Defense Fund</x:t>
        </x:is>
      </x:c>
      <x:c r="B44" s="17" t="inlineStr">
        <x:is>
          <x:t xml:space="preserve">B</x:t>
        </x:is>
      </x:c>
      <x:c r="C44" s="17" t="inlineStr">
        <x:is>
          <x:t xml:space="preserve">EA-adjacent</x:t>
        </x:is>
      </x:c>
      <x:c r="D44" s="17" t="inlineStr">
        <x:is>
          <x:t xml:space="preserve">Executive Director</x:t>
        </x:is>
      </x:c>
      <x:c r="E44" s="17" t="n">
        <x:v>2024</x:v>
      </x:c>
      <x:c r="F44" s="18" t="n">
        <x:v>1.06448800377019</x:v>
      </x:c>
      <x:c r="G44" s="19" t="n">
        <x:v>287102</x:v>
      </x:c>
      <x:c r="H44" s="19" t="n">
        <x:v>0</x:v>
      </x:c>
      <x:c r="I44" s="19" t="n">
        <x:v>29811</x:v>
      </x:c>
      <x:c r="J44" s="20" t="n">
        <x:f>G44+H44</x:f>
        <x:v>287102</x:v>
      </x:c>
      <x:c r="K44" s="20" t="n">
        <x:f>J44+I44</x:f>
        <x:v>316913</x:v>
      </x:c>
      <x:c r="L44" s="20" t="n">
        <x:f>J44*F44</x:f>
        <x:v>305616.6348584291</x:v>
      </x:c>
      <x:c r="M44" s="20" t="n">
        <x:f>K44*F44</x:f>
        <x:v>337350.0867388222</x:v>
      </x:c>
      <x:c r="N44" s="19" t="n"/>
      <x:c r="O44" s="19" t="n">
        <x:v>17525202</x:v>
      </x:c>
      <x:c r="P44" s="21" t="n">
        <x:v>109</x:v>
      </x:c>
      <x:c r="Q44" s="21" t="n">
        <x:v>75</x:v>
      </x:c>
      <x:c r="R44" s="16" t="inlineStr">
        <x:is>
          <x:t xml:space="preserve">primary_with_structure_flag</x:t>
        </x:is>
      </x:c>
      <x:c r="S44" s="16" t="inlineStr">
        <x:is>
          <x:t xml:space="preserve">legal_advocacy_hybrid</x:t>
        </x:is>
      </x:c>
      <x:c r="T44" s="17" t="inlineStr">
        <x:is>
          <x:t xml:space="preserve">94-2681680</x:t>
        </x:is>
      </x:c>
      <x:c r="U44" s="17" t="inlineStr">
        <x:is>
          <x:t xml:space="preserve">202631249349301878</x:t>
        </x:is>
      </x:c>
      <x:c r="V44" s="16" t="inlineStr">
        <x:is>
          <x:t xml:space="preserve">https://apps.irs.gov/pub/epostcard/990/xml/2026/202631249349301878_public.xml</x:t>
        </x:is>
      </x:c>
      <x:c r="W44" s="16" t="inlineStr">
        <x:is>
          <x:t xml:space="preserve">https://projects.propublica.org/nonprofits/organizations/942681680</x:t>
        </x:is>
      </x:c>
    </x:row>
    <x:row r="45">
      <x:c r="A45" s="17" t="inlineStr">
        <x:is>
          <x:t xml:space="preserve">Exponent Philanthropy</x:t>
        </x:is>
      </x:c>
      <x:c r="B45" s="17" t="inlineStr">
        <x:is>
          <x:t xml:space="preserve">B</x:t>
        </x:is>
      </x:c>
      <x:c r="C45" s="17" t="inlineStr">
        <x:is>
          <x:t xml:space="preserve">functional-only</x:t>
        </x:is>
      </x:c>
      <x:c r="D45" s="17" t="inlineStr">
        <x:is>
          <x:t xml:space="preserve">Chief Executive Officer</x:t>
        </x:is>
      </x:c>
      <x:c r="E45" s="17" t="n">
        <x:v>2025</x:v>
      </x:c>
      <x:c r="F45" s="18" t="n">
        <x:v>1.037196025383375</x:v>
      </x:c>
      <x:c r="G45" s="19" t="n">
        <x:v>297424</x:v>
      </x:c>
      <x:c r="H45" s="19" t="n">
        <x:v>0</x:v>
      </x:c>
      <x:c r="I45" s="19" t="n">
        <x:v>53300</x:v>
      </x:c>
      <x:c r="J45" s="20" t="n">
        <x:f>G45+H45</x:f>
        <x:v>297424</x:v>
      </x:c>
      <x:c r="K45" s="20" t="n">
        <x:f>J45+I45</x:f>
        <x:v>350724</x:v>
      </x:c>
      <x:c r="L45" s="20" t="n">
        <x:f>J45*F45</x:f>
        <x:v>308486.99065362493</x:v>
      </x:c>
      <x:c r="M45" s="20" t="n">
        <x:f>K45*F45</x:f>
        <x:v>363769.5388065588</x:v>
      </x:c>
      <x:c r="N45" s="19" t="n"/>
      <x:c r="O45" s="19" t="n">
        <x:v>3343665</x:v>
      </x:c>
      <x:c r="P45" s="21" t="n">
        <x:v>19</x:v>
      </x:c>
      <x:c r="Q45" s="21" t="n">
        <x:v>74</x:v>
      </x:c>
      <x:c r="R45" s="16" t="inlineStr">
        <x:is>
          <x:t xml:space="preserve">primary</x:t>
        </x:is>
      </x:c>
      <x:c r="S45" s="16" t="inlineStr">
        <x:is>
          <x:t xml:space="preserve">below_primary_scale</x:t>
        </x:is>
      </x:c>
      <x:c r="T45" s="17" t="inlineStr">
        <x:is>
          <x:t xml:space="preserve">65-0617866</x:t>
        </x:is>
      </x:c>
      <x:c r="U45" s="17" t="inlineStr">
        <x:is>
          <x:t xml:space="preserve">202621699349300132</x:t>
        </x:is>
      </x:c>
      <x:c r="V45" s="16" t="inlineStr">
        <x:is>
          <x:t xml:space="preserve">https://apps.irs.gov/pub/epostcard/990/xml/2026/202621699349300132_public.xml</x:t>
        </x:is>
      </x:c>
      <x:c r="W45" s="16" t="inlineStr">
        <x:is>
          <x:t xml:space="preserve">https://projects.propublica.org/nonprofits/organizations/650617866</x:t>
        </x:is>
      </x:c>
    </x:row>
    <x:row r="46">
      <x:c r="A46" s="17" t="inlineStr">
        <x:is>
          <x:t xml:space="preserve">Living Goods</x:t>
        </x:is>
      </x:c>
      <x:c r="B46" s="17" t="inlineStr">
        <x:is>
          <x:t xml:space="preserve">B</x:t>
        </x:is>
      </x:c>
      <x:c r="C46" s="17" t="inlineStr">
        <x:is>
          <x:t xml:space="preserve">EA-adjacent</x:t>
        </x:is>
      </x:c>
      <x:c r="D46" s="17" t="inlineStr">
        <x:is>
          <x:t xml:space="preserve">CEO/Officer</x:t>
        </x:is>
      </x:c>
      <x:c r="E46" s="17" t="n">
        <x:v>2023</x:v>
      </x:c>
      <x:c r="F46" s="18" t="n">
        <x:v>1.095885345744019</x:v>
      </x:c>
      <x:c r="G46" s="19" t="n">
        <x:v>247500</x:v>
      </x:c>
      <x:c r="H46" s="19" t="n">
        <x:v>0</x:v>
      </x:c>
      <x:c r="I46" s="19" t="n">
        <x:v>0</x:v>
      </x:c>
      <x:c r="J46" s="20" t="n">
        <x:f>G46+H46</x:f>
        <x:v>247500</x:v>
      </x:c>
      <x:c r="K46" s="20" t="n">
        <x:f>J46+I46</x:f>
        <x:v>247500</x:v>
      </x:c>
      <x:c r="L46" s="20" t="n">
        <x:f>J46*F46</x:f>
        <x:v>271231.6230716447</x:v>
      </x:c>
      <x:c r="M46" s="20" t="n">
        <x:f>K46*F46</x:f>
        <x:v>271231.6230716447</x:v>
      </x:c>
      <x:c r="N46" s="19" t="n"/>
      <x:c r="O46" s="19" t="n">
        <x:v>23722146</x:v>
      </x:c>
      <x:c r="P46" s="21" t="n">
        <x:v>17</x:v>
      </x:c>
      <x:c r="Q46" s="21" t="n">
        <x:v>73</x:v>
      </x:c>
      <x:c r="R46" s="16" t="inlineStr">
        <x:is>
          <x:t xml:space="preserve">primary_with_structure_flag</x:t>
        </x:is>
      </x:c>
      <x:c r="S46" s="16" t="inlineStr">
        <x:is>
          <x:t xml:space="preserve">delivery_hybrid_older_clean</x:t>
        </x:is>
      </x:c>
      <x:c r="T46" s="17" t="inlineStr">
        <x:is>
          <x:t xml:space="preserve">20-5010527</x:t>
        </x:is>
      </x:c>
      <x:c r="U46" s="17" t="inlineStr">
        <x:is>
          <x:t xml:space="preserve">202433199349307518</x:t>
        </x:is>
      </x:c>
      <x:c r="V46" s="16" t="inlineStr">
        <x:is>
          <x:t xml:space="preserve">https://apps.irs.gov/pub/epostcard/990/xml/2024/202433199349307518_public.xml</x:t>
        </x:is>
      </x:c>
      <x:c r="W46" s="16" t="inlineStr">
        <x:is>
          <x:t xml:space="preserve">https://projects.propublica.org/nonprofits/organizations/205010527</x:t>
        </x:is>
      </x:c>
    </x:row>
    <x:row r="47">
      <x:c r="A47" s="17" t="inlineStr">
        <x:is>
          <x:t xml:space="preserve">The Humane League</x:t>
        </x:is>
      </x:c>
      <x:c r="B47" s="17" t="inlineStr">
        <x:is>
          <x:t xml:space="preserve">B</x:t>
        </x:is>
      </x:c>
      <x:c r="C47" s="17" t="inlineStr">
        <x:is>
          <x:t xml:space="preserve">EA-adjacent</x:t>
        </x:is>
      </x:c>
      <x:c r="D47" s="17" t="inlineStr">
        <x:is>
          <x:t xml:space="preserve">President</x:t>
        </x:is>
      </x:c>
      <x:c r="E47" s="17" t="n">
        <x:v>2024</x:v>
      </x:c>
      <x:c r="F47" s="18" t="n">
        <x:v>1.06448800377019</x:v>
      </x:c>
      <x:c r="G47" s="19" t="n">
        <x:v>223031</x:v>
      </x:c>
      <x:c r="H47" s="19" t="n">
        <x:v>0</x:v>
      </x:c>
      <x:c r="I47" s="19" t="n">
        <x:v>23029</x:v>
      </x:c>
      <x:c r="J47" s="20" t="n">
        <x:f>G47+H47</x:f>
        <x:v>223031</x:v>
      </x:c>
      <x:c r="K47" s="20" t="n">
        <x:f>J47+I47</x:f>
        <x:v>246060</x:v>
      </x:c>
      <x:c r="L47" s="20" t="n">
        <x:f>J47*F47</x:f>
        <x:v>237413.82396886926</x:v>
      </x:c>
      <x:c r="M47" s="20" t="n">
        <x:f>K47*F47</x:f>
        <x:v>261927.91820769297</x:v>
      </x:c>
      <x:c r="N47" s="19" t="n"/>
      <x:c r="O47" s="19" t="n">
        <x:v>19963588</x:v>
      </x:c>
      <x:c r="P47" s="21" t="n">
        <x:v>112</x:v>
      </x:c>
      <x:c r="Q47" s="21" t="n">
        <x:v>73</x:v>
      </x:c>
      <x:c r="R47" s="16" t="inlineStr">
        <x:is>
          <x:t xml:space="preserve">primary_with_structure_flag</x:t>
        </x:is>
      </x:c>
      <x:c r="S47" s="16" t="inlineStr">
        <x:is>
          <x:t xml:space="preserve">campaign_advocacy_model</x:t>
        </x:is>
      </x:c>
      <x:c r="T47" s="17" t="inlineStr">
        <x:is>
          <x:t xml:space="preserve">04-3817491</x:t>
        </x:is>
      </x:c>
      <x:c r="U47" s="17" t="inlineStr">
        <x:is>
          <x:t xml:space="preserve">202512489349301801</x:t>
        </x:is>
      </x:c>
      <x:c r="V47" s="16" t="inlineStr">
        <x:is>
          <x:t xml:space="preserve">https://apps.irs.gov/pub/epostcard/990/xml/2025/202512489349301801_public.xml</x:t>
        </x:is>
      </x:c>
      <x:c r="W47" s="16" t="inlineStr">
        <x:is>
          <x:t xml:space="preserve">https://projects.propublica.org/nonprofits/organizations/043817491</x:t>
        </x:is>
      </x:c>
    </x:row>
    <x:row r="48">
      <x:c r="A48" s="17" t="inlineStr">
        <x:is>
          <x:t xml:space="preserve">Mercy For Animals</x:t>
        </x:is>
      </x:c>
      <x:c r="B48" s="17" t="inlineStr">
        <x:is>
          <x:t xml:space="preserve">B</x:t>
        </x:is>
      </x:c>
      <x:c r="C48" s="17" t="inlineStr">
        <x:is>
          <x:t xml:space="preserve">EA-adjacent</x:t>
        </x:is>
      </x:c>
      <x:c r="D48" s="17" t="inlineStr">
        <x:is>
          <x:t xml:space="preserve">Chief Executive Officer</x:t>
        </x:is>
      </x:c>
      <x:c r="E48" s="17" t="n">
        <x:v>2024</x:v>
      </x:c>
      <x:c r="F48" s="18" t="n">
        <x:v>1.06448800377019</x:v>
      </x:c>
      <x:c r="G48" s="19" t="n">
        <x:v>195079</x:v>
      </x:c>
      <x:c r="H48" s="19" t="n">
        <x:v>0</x:v>
      </x:c>
      <x:c r="I48" s="19" t="n">
        <x:v>7282</x:v>
      </x:c>
      <x:c r="J48" s="20" t="n">
        <x:f>G48+H48</x:f>
        <x:v>195079</x:v>
      </x:c>
      <x:c r="K48" s="20" t="n">
        <x:f>J48+I48</x:f>
        <x:v>202361</x:v>
      </x:c>
      <x:c r="L48" s="20" t="n">
        <x:f>J48*F48</x:f>
        <x:v>207659.2552874849</x:v>
      </x:c>
      <x:c r="M48" s="20" t="n">
        <x:f>K48*F48</x:f>
        <x:v>215410.85693093942</x:v>
      </x:c>
      <x:c r="N48" s="19" t="n"/>
      <x:c r="O48" s="19" t="n">
        <x:v>23908480</x:v>
      </x:c>
      <x:c r="P48" s="21" t="n">
        <x:v>133</x:v>
      </x:c>
      <x:c r="Q48" s="21" t="n">
        <x:v>72</x:v>
      </x:c>
      <x:c r="R48" s="16" t="inlineStr">
        <x:is>
          <x:t xml:space="preserve">primary_with_structure_flag</x:t>
        </x:is>
      </x:c>
      <x:c r="S48" s="16" t="inlineStr">
        <x:is>
          <x:t xml:space="preserve">campaign_advocacy_model</x:t>
        </x:is>
      </x:c>
      <x:c r="T48" s="17" t="inlineStr">
        <x:is>
          <x:t xml:space="preserve">54-2076145</x:t>
        </x:is>
      </x:c>
      <x:c r="U48" s="17" t="inlineStr">
        <x:is>
          <x:t xml:space="preserve">202502259349301135</x:t>
        </x:is>
      </x:c>
      <x:c r="V48" s="16" t="inlineStr">
        <x:is>
          <x:t xml:space="preserve">https://apps.irs.gov/pub/epostcard/990/xml/2025/202502259349301135_public.xml</x:t>
        </x:is>
      </x:c>
      <x:c r="W48" s="16" t="inlineStr">
        <x:is>
          <x:t xml:space="preserve">https://projects.propublica.org/nonprofits/organizations/542076145</x:t>
        </x:is>
      </x:c>
    </x:row>
    <x:row r="49">
      <x:c r="A49" s="17" t="inlineStr">
        <x:is>
          <x:t xml:space="preserve">Village Enterprise</x:t>
        </x:is>
      </x:c>
      <x:c r="B49" s="17" t="inlineStr">
        <x:is>
          <x:t xml:space="preserve">B</x:t>
        </x:is>
      </x:c>
      <x:c r="C49" s="17" t="inlineStr">
        <x:is>
          <x:t xml:space="preserve">EA-adjacent</x:t>
        </x:is>
      </x:c>
      <x:c r="D49" s="17" t="inlineStr">
        <x:is>
          <x:t xml:space="preserve">CEO</x:t>
        </x:is>
      </x:c>
      <x:c r="E49" s="17" t="n">
        <x:v>2024</x:v>
      </x:c>
      <x:c r="F49" s="18" t="n">
        <x:v>1.06448800377019</x:v>
      </x:c>
      <x:c r="G49" s="19" t="n">
        <x:v>273863</x:v>
      </x:c>
      <x:c r="H49" s="19" t="n">
        <x:v>0</x:v>
      </x:c>
      <x:c r="I49" s="19" t="n">
        <x:v>28496</x:v>
      </x:c>
      <x:c r="J49" s="20" t="n">
        <x:f>G49+H49</x:f>
        <x:v>273863</x:v>
      </x:c>
      <x:c r="K49" s="20" t="n">
        <x:f>J49+I49</x:f>
        <x:v>302359</x:v>
      </x:c>
      <x:c r="L49" s="20" t="n">
        <x:f>J49*F49</x:f>
        <x:v>291523.8781765156</x:v>
      </x:c>
      <x:c r="M49" s="20" t="n">
        <x:f>K49*F49</x:f>
        <x:v>321857.5283319509</x:v>
      </x:c>
      <x:c r="N49" s="19" t="n"/>
      <x:c r="O49" s="19" t="n">
        <x:v>20984394</x:v>
      </x:c>
      <x:c r="P49" s="21" t="n">
        <x:v>19</x:v>
      </x:c>
      <x:c r="Q49" s="21" t="n">
        <x:v>72</x:v>
      </x:c>
      <x:c r="R49" s="16" t="inlineStr">
        <x:is>
          <x:t xml:space="preserve">primary_with_structure_flag</x:t>
        </x:is>
      </x:c>
      <x:c r="S49" s="16" t="inlineStr">
        <x:is>
          <x:t xml:space="preserve">delivery_hybrid</x:t>
        </x:is>
      </x:c>
      <x:c r="T49" s="17" t="inlineStr">
        <x:is>
          <x:t xml:space="preserve">22-2852248</x:t>
        </x:is>
      </x:c>
      <x:c r="U49" s="17" t="inlineStr">
        <x:is>
          <x:t xml:space="preserve">202631359349301128</x:t>
        </x:is>
      </x:c>
      <x:c r="V49" s="16" t="inlineStr">
        <x:is>
          <x:t xml:space="preserve">https://apps.irs.gov/pub/epostcard/990/xml/2026/202631359349301128_public.xml</x:t>
        </x:is>
      </x:c>
      <x:c r="W49" s="16" t="inlineStr">
        <x:is>
          <x:t xml:space="preserve">https://projects.propublica.org/nonprofits/organizations/222852248</x:t>
        </x:is>
      </x:c>
    </x:row>
    <x:row r="50">
      <x:c r="A50" s="17" t="inlineStr">
        <x:is>
          <x:t xml:space="preserve">Farm Sanctuary</x:t>
        </x:is>
      </x:c>
      <x:c r="B50" s="17" t="inlineStr">
        <x:is>
          <x:t xml:space="preserve">B</x:t>
        </x:is>
      </x:c>
      <x:c r="C50" s="17" t="inlineStr">
        <x:is>
          <x:t xml:space="preserve">EA-adjacent</x:t>
        </x:is>
      </x:c>
      <x:c r="D50" s="17" t="inlineStr">
        <x:is>
          <x:t xml:space="preserve">CEO</x:t>
        </x:is>
      </x:c>
      <x:c r="E50" s="17" t="n">
        <x:v>2023</x:v>
      </x:c>
      <x:c r="F50" s="18" t="n">
        <x:v>1.095885345744019</x:v>
      </x:c>
      <x:c r="G50" s="19" t="n">
        <x:v>203786</x:v>
      </x:c>
      <x:c r="H50" s="19" t="n">
        <x:v>0</x:v>
      </x:c>
      <x:c r="I50" s="19" t="n">
        <x:v>12709</x:v>
      </x:c>
      <x:c r="J50" s="20" t="n">
        <x:f>G50+H50</x:f>
        <x:v>203786</x:v>
      </x:c>
      <x:c r="K50" s="20" t="n">
        <x:f>J50+I50</x:f>
        <x:v>216495</x:v>
      </x:c>
      <x:c r="L50" s="20" t="n">
        <x:f>J50*F50</x:f>
        <x:v>223326.09106779064</x:v>
      </x:c>
      <x:c r="M50" s="20" t="n">
        <x:f>K50*F50</x:f>
        <x:v>237253.6979268514</x:v>
      </x:c>
      <x:c r="N50" s="19" t="n"/>
      <x:c r="O50" s="19" t="n">
        <x:v>15586548</x:v>
      </x:c>
      <x:c r="P50" s="21" t="n">
        <x:v>126</x:v>
      </x:c>
      <x:c r="Q50" s="21" t="n">
        <x:v>71</x:v>
      </x:c>
      <x:c r="R50" s="16" t="inlineStr">
        <x:is>
          <x:t xml:space="preserve">primary_with_structure_flag</x:t>
        </x:is>
      </x:c>
      <x:c r="S50" s="16" t="inlineStr">
        <x:is>
          <x:t xml:space="preserve">sanctuary_delivery_older_clean</x:t>
        </x:is>
      </x:c>
      <x:c r="T50" s="17" t="inlineStr">
        <x:is>
          <x:t xml:space="preserve">51-0292919</x:t>
        </x:is>
      </x:c>
      <x:c r="U50" s="17" t="inlineStr">
        <x:is>
          <x:t xml:space="preserve">202422699349301652</x:t>
        </x:is>
      </x:c>
      <x:c r="V50" s="16" t="inlineStr">
        <x:is>
          <x:t xml:space="preserve">https://apps.irs.gov/pub/epostcard/990/xml/2024/202422699349301652_public.xml</x:t>
        </x:is>
      </x:c>
      <x:c r="W50" s="16" t="inlineStr">
        <x:is>
          <x:t xml:space="preserve">https://projects.propublica.org/nonprofits/organizations/510292919</x:t>
        </x:is>
      </x:c>
    </x:row>
    <x:row r="51">
      <x:c r="A51" s="17" t="inlineStr">
        <x:is>
          <x:t xml:space="preserve">New Roots Institute</x:t>
        </x:is>
      </x:c>
      <x:c r="B51" s="17" t="inlineStr">
        <x:is>
          <x:t xml:space="preserve">B</x:t>
        </x:is>
      </x:c>
      <x:c r="C51" s="17" t="inlineStr">
        <x:is>
          <x:t xml:space="preserve">EA-adjacent</x:t>
        </x:is>
      </x:c>
      <x:c r="D51" s="17" t="inlineStr">
        <x:is>
          <x:t xml:space="preserve">Executive Director</x:t>
        </x:is>
      </x:c>
      <x:c r="E51" s="17" t="n">
        <x:v>2024</x:v>
      </x:c>
      <x:c r="F51" s="18" t="n">
        <x:v>1.06448800377019</x:v>
      </x:c>
      <x:c r="G51" s="19" t="n">
        <x:v>88945</x:v>
      </x:c>
      <x:c r="H51" s="19" t="n">
        <x:v>0</x:v>
      </x:c>
      <x:c r="I51" s="19" t="n">
        <x:v>6387</x:v>
      </x:c>
      <x:c r="J51" s="20" t="n">
        <x:f>G51+H51</x:f>
        <x:v>88945</x:v>
      </x:c>
      <x:c r="K51" s="20" t="n">
        <x:f>J51+I51</x:f>
        <x:v>95332</x:v>
      </x:c>
      <x:c r="L51" s="20" t="n">
        <x:f>J51*F51</x:f>
        <x:v>94680.88549533955</x:v>
      </x:c>
      <x:c r="M51" s="20" t="n">
        <x:f>K51*F51</x:f>
        <x:v>101479.77037541976</x:v>
      </x:c>
      <x:c r="N51" s="19" t="n"/>
      <x:c r="O51" s="19" t="n">
        <x:v>2260435</x:v>
      </x:c>
      <x:c r="P51" s="21" t="n">
        <x:v>36</x:v>
      </x:c>
      <x:c r="Q51" s="21" t="n">
        <x:v>71</x:v>
      </x:c>
      <x:c r="R51" s="16" t="inlineStr">
        <x:is>
          <x:t xml:space="preserve">primary</x:t>
        </x:is>
      </x:c>
      <x:c r="S51" s="16" t="inlineStr">
        <x:is>
          <x:t xml:space="preserve">below_primary_scale</x:t>
        </x:is>
      </x:c>
      <x:c r="T51" s="17" t="inlineStr">
        <x:is>
          <x:t xml:space="preserve">82-4594246</x:t>
        </x:is>
      </x:c>
      <x:c r="U51" s="17" t="inlineStr">
        <x:is>
          <x:t xml:space="preserve">202523519349301637</x:t>
        </x:is>
      </x:c>
      <x:c r="V51" s="16" t="inlineStr">
        <x:is>
          <x:t xml:space="preserve">https://apps.irs.gov/pub/epostcard/990/xml/2025/202523519349301637_public.xml</x:t>
        </x:is>
      </x:c>
      <x:c r="W51" s="16" t="inlineStr">
        <x:is>
          <x:t xml:space="preserve">https://projects.propublica.org/nonprofits/organizations/824594246</x:t>
        </x:is>
      </x:c>
    </x:row>
    <x:row r="52">
      <x:c r="A52" s="17" t="inlineStr">
        <x:is>
          <x:t xml:space="preserve">Innovations for Poverty Action</x:t>
        </x:is>
      </x:c>
      <x:c r="B52" s="17" t="inlineStr">
        <x:is>
          <x:t xml:space="preserve">B</x:t>
        </x:is>
      </x:c>
      <x:c r="C52" s="17" t="inlineStr">
        <x:is>
          <x:t xml:space="preserve">EA-adjacent</x:t>
        </x:is>
      </x:c>
      <x:c r="D52" s="17" t="inlineStr">
        <x:is>
          <x:t xml:space="preserve">Executive Director</x:t>
        </x:is>
      </x:c>
      <x:c r="E52" s="17" t="n">
        <x:v>2024</x:v>
      </x:c>
      <x:c r="F52" s="18" t="n">
        <x:v>1.06448800377019</x:v>
      </x:c>
      <x:c r="G52" s="19" t="n">
        <x:v>249217</x:v>
      </x:c>
      <x:c r="H52" s="19" t="n">
        <x:v>0</x:v>
      </x:c>
      <x:c r="I52" s="19" t="n">
        <x:v>66190</x:v>
      </x:c>
      <x:c r="J52" s="20" t="n">
        <x:f>G52+H52</x:f>
        <x:v>249217</x:v>
      </x:c>
      <x:c r="K52" s="20" t="n">
        <x:f>J52+I52</x:f>
        <x:v>315407</x:v>
      </x:c>
      <x:c r="L52" s="20" t="n">
        <x:f>J52*F52</x:f>
        <x:v>265288.5068355955</x:v>
      </x:c>
      <x:c r="M52" s="20" t="n">
        <x:f>K52*F52</x:f>
        <x:v>335746.9678051443</x:v>
      </x:c>
      <x:c r="N52" s="19" t="n"/>
      <x:c r="O52" s="19" t="n">
        <x:v>57894421</x:v>
      </x:c>
      <x:c r="P52" s="21" t="n">
        <x:v>110</x:v>
      </x:c>
      <x:c r="Q52" s="21" t="n">
        <x:v>70</x:v>
      </x:c>
      <x:c r="R52" s="16" t="inlineStr">
        <x:is>
          <x:t xml:space="preserve">primary_with_structure_flag</x:t>
        </x:is>
      </x:c>
      <x:c r="S52" s="16" t="inlineStr">
        <x:is>
          <x:t xml:space="preserve">above_primary_scale</x:t>
        </x:is>
      </x:c>
      <x:c r="T52" s="17" t="inlineStr">
        <x:is>
          <x:t xml:space="preserve">06-1660068</x:t>
        </x:is>
      </x:c>
      <x:c r="U52" s="17" t="inlineStr">
        <x:is>
          <x:t xml:space="preserve">202513169349300641</x:t>
        </x:is>
      </x:c>
      <x:c r="V52" s="16" t="inlineStr">
        <x:is>
          <x:t xml:space="preserve">https://apps.irs.gov/pub/epostcard/990/xml/2025/202513169349300641_public.xml</x:t>
        </x:is>
      </x:c>
      <x:c r="W52" s="16" t="inlineStr">
        <x:is>
          <x:t xml:space="preserve">https://projects.propublica.org/nonprofits/organizations/061660068</x:t>
        </x:is>
      </x:c>
    </x:row>
    <x:row r="53">
      <x:c r="A53" s="17" t="inlineStr">
        <x:is>
          <x:t xml:space="preserve">Evidence Action</x:t>
        </x:is>
      </x:c>
      <x:c r="B53" s="17" t="inlineStr">
        <x:is>
          <x:t xml:space="preserve">B</x:t>
        </x:is>
      </x:c>
      <x:c r="C53" s="17" t="inlineStr">
        <x:is>
          <x:t xml:space="preserve">EA-adjacent</x:t>
        </x:is>
      </x:c>
      <x:c r="D53" s="17" t="inlineStr">
        <x:is>
          <x:t xml:space="preserve">Chief Executive Officer</x:t>
        </x:is>
      </x:c>
      <x:c r="E53" s="17" t="n">
        <x:v>2024</x:v>
      </x:c>
      <x:c r="F53" s="18" t="n">
        <x:v>1.06448800377019</x:v>
      </x:c>
      <x:c r="G53" s="19" t="n">
        <x:v>385764</x:v>
      </x:c>
      <x:c r="H53" s="19" t="n">
        <x:v>0</x:v>
      </x:c>
      <x:c r="I53" s="19" t="n">
        <x:v>45901</x:v>
      </x:c>
      <x:c r="J53" s="20" t="n">
        <x:f>G53+H53</x:f>
        <x:v>385764</x:v>
      </x:c>
      <x:c r="K53" s="20" t="n">
        <x:f>J53+I53</x:f>
        <x:v>431665</x:v>
      </x:c>
      <x:c r="L53" s="20" t="n">
        <x:f>J53*F53</x:f>
        <x:v>410641.1502864036</x:v>
      </x:c>
      <x:c r="M53" s="20" t="n">
        <x:f>K53*F53</x:f>
        <x:v>459502.2141474591</x:v>
      </x:c>
      <x:c r="N53" s="19" t="n"/>
      <x:c r="O53" s="19" t="n">
        <x:v>45139532</x:v>
      </x:c>
      <x:c r="P53" s="21" t="n">
        <x:v>98</x:v>
      </x:c>
      <x:c r="Q53" s="21" t="n">
        <x:v>69</x:v>
      </x:c>
      <x:c r="R53" s="16" t="inlineStr">
        <x:is>
          <x:t xml:space="preserve">primary_with_structure_flag</x:t>
        </x:is>
      </x:c>
      <x:c r="S53" s="16" t="inlineStr">
        <x:is>
          <x:t xml:space="preserve">above_scale_delivery_hybrid</x:t>
        </x:is>
      </x:c>
      <x:c r="T53" s="17" t="inlineStr">
        <x:is>
          <x:t xml:space="preserve">90-0874591</x:t>
        </x:is>
      </x:c>
      <x:c r="U53" s="17" t="inlineStr">
        <x:is>
          <x:t xml:space="preserve">202512829349302256</x:t>
        </x:is>
      </x:c>
      <x:c r="V53" s="16" t="inlineStr">
        <x:is>
          <x:t xml:space="preserve">https://apps.irs.gov/pub/epostcard/990/xml/2025/202512829349302256_public.xml</x:t>
        </x:is>
      </x:c>
      <x:c r="W53" s="16" t="inlineStr">
        <x:is>
          <x:t xml:space="preserve">https://projects.propublica.org/nonprofits/organizations/900874591</x:t>
        </x:is>
      </x:c>
    </x:row>
    <x:row r="54">
      <x:c r="A54" s="17" t="inlineStr">
        <x:is>
          <x:t xml:space="preserve">Redwood Research</x:t>
        </x:is>
      </x:c>
      <x:c r="B54" s="17" t="inlineStr">
        <x:is>
          <x:t xml:space="preserve">B</x:t>
        </x:is>
      </x:c>
      <x:c r="C54" s="17" t="inlineStr">
        <x:is>
          <x:t xml:space="preserve">EA-adjacent</x:t>
        </x:is>
      </x:c>
      <x:c r="D54" s="17" t="inlineStr">
        <x:is>
          <x:t xml:space="preserve">CEO, Director</x:t>
        </x:is>
      </x:c>
      <x:c r="E54" s="17" t="n">
        <x:v>2024</x:v>
      </x:c>
      <x:c r="F54" s="18" t="n">
        <x:v>1.06448800377019</x:v>
      </x:c>
      <x:c r="G54" s="19" t="n">
        <x:v>272164</x:v>
      </x:c>
      <x:c r="H54" s="19" t="n">
        <x:v>0</x:v>
      </x:c>
      <x:c r="I54" s="19" t="n">
        <x:v>11301</x:v>
      </x:c>
      <x:c r="J54" s="20" t="n">
        <x:f>G54+H54</x:f>
        <x:v>272164</x:v>
      </x:c>
      <x:c r="K54" s="20" t="n">
        <x:f>J54+I54</x:f>
        <x:v>283465</x:v>
      </x:c>
      <x:c r="L54" s="20" t="n">
        <x:f>J54*F54</x:f>
        <x:v>289715.31305811</x:v>
      </x:c>
      <x:c r="M54" s="20" t="n">
        <x:f>K54*F54</x:f>
        <x:v>301745.0919887169</x:v>
      </x:c>
      <x:c r="N54" s="19" t="n"/>
      <x:c r="O54" s="19" t="n">
        <x:v>2922498</x:v>
      </x:c>
      <x:c r="P54" s="21" t="n">
        <x:v>6</x:v>
      </x:c>
      <x:c r="Q54" s="21" t="n">
        <x:v>66</x:v>
      </x:c>
      <x:c r="R54" s="16" t="inlineStr">
        <x:is>
          <x:t xml:space="preserve">primary</x:t>
        </x:is>
      </x:c>
      <x:c r="S54" s="16" t="inlineStr">
        <x:is>
          <x:t xml:space="preserve">below_scale_revenue_anomaly</x:t>
        </x:is>
      </x:c>
      <x:c r="T54" s="17" t="inlineStr">
        <x:is>
          <x:t xml:space="preserve">87-1702255</x:t>
        </x:is>
      </x:c>
      <x:c r="U54" s="17" t="inlineStr">
        <x:is>
          <x:t xml:space="preserve">202503199349302920</x:t>
        </x:is>
      </x:c>
      <x:c r="V54" s="16" t="inlineStr">
        <x:is>
          <x:t xml:space="preserve">https://apps.irs.gov/pub/epostcard/990/xml/2025/202503199349302920_public.xml</x:t>
        </x:is>
      </x:c>
      <x:c r="W54" s="16" t="inlineStr">
        <x:is>
          <x:t xml:space="preserve">https://projects.propublica.org/nonprofits/organizations/871702255</x:t>
        </x:is>
      </x:c>
    </x:row>
    <x:row r="55">
      <x:c r="A55" s="17" t="inlineStr">
        <x:is>
          <x:t xml:space="preserve">Guttmacher Institute</x:t>
        </x:is>
      </x:c>
      <x:c r="B55" s="17" t="inlineStr">
        <x:is>
          <x:t xml:space="preserve">B</x:t>
        </x:is>
      </x:c>
      <x:c r="C55" s="17" t="inlineStr">
        <x:is>
          <x:t xml:space="preserve">functional-only</x:t>
        </x:is>
      </x:c>
      <x:c r="D55" s="17" t="inlineStr">
        <x:is>
          <x:t xml:space="preserve">President &amp; CEO</x:t>
        </x:is>
      </x:c>
      <x:c r="E55" s="17" t="n">
        <x:v>2022</x:v>
      </x:c>
      <x:c r="F55" s="18" t="n">
        <x:v>1.140995369974885</x:v>
      </x:c>
      <x:c r="G55" s="19" t="n">
        <x:v>371060</x:v>
      </x:c>
      <x:c r="H55" s="19" t="n">
        <x:v>0</x:v>
      </x:c>
      <x:c r="I55" s="19" t="n">
        <x:v>48391</x:v>
      </x:c>
      <x:c r="J55" s="20" t="n">
        <x:f>G55+H55</x:f>
        <x:v>371060</x:v>
      </x:c>
      <x:c r="K55" s="20" t="n">
        <x:f>J55+I55</x:f>
        <x:v>419451</x:v>
      </x:c>
      <x:c r="L55" s="20" t="n">
        <x:f>J55*F55</x:f>
        <x:v>423377.7419828808</x:v>
      </x:c>
      <x:c r="M55" s="20" t="n">
        <x:f>K55*F55</x:f>
        <x:v>478591.6489313355</x:v>
      </x:c>
      <x:c r="N55" s="19" t="n"/>
      <x:c r="O55" s="19" t="n">
        <x:v>27769947</x:v>
      </x:c>
      <x:c r="P55" s="21" t="n">
        <x:v>145</x:v>
      </x:c>
      <x:c r="Q55" s="21" t="n">
        <x:v>68</x:v>
      </x:c>
      <x:c r="R55" s="16" t="inlineStr">
        <x:is>
          <x:t xml:space="preserve">primary_older_clean</x:t>
        </x:is>
      </x:c>
      <x:c r="S55" s="16" t="inlineStr">
        <x:is>
          <x:t xml:space="preserve">older_clean_due_transition</x:t>
        </x:is>
      </x:c>
      <x:c r="T55" s="17" t="inlineStr">
        <x:is>
          <x:t xml:space="preserve">13-2890727</x:t>
        </x:is>
      </x:c>
      <x:c r="U55" s="17" t="inlineStr">
        <x:is>
          <x:t xml:space="preserve">202341989349301459</x:t>
        </x:is>
      </x:c>
      <x:c r="V55" s="16" t="inlineStr">
        <x:is>
          <x:t xml:space="preserve">https://apps.irs.gov/pub/epostcard/990/xml/2023/202341989349301459_public.xml</x:t>
        </x:is>
      </x:c>
      <x:c r="W55" s="16" t="inlineStr">
        <x:is>
          <x:t xml:space="preserve">https://projects.propublica.org/nonprofits/organizations/132890727</x:t>
        </x:is>
      </x:c>
    </x:row>
    <x:row r="56">
      <x:c r="A56" s="17" t="inlineStr">
        <x:is>
          <x:t xml:space="preserve">Economic Policy Institute</x:t>
        </x:is>
      </x:c>
      <x:c r="B56" s="17" t="inlineStr">
        <x:is>
          <x:t xml:space="preserve">A</x:t>
        </x:is>
      </x:c>
      <x:c r="C56" s="17" t="inlineStr">
        <x:is>
          <x:t xml:space="preserve">functional-only</x:t>
        </x:is>
      </x:c>
      <x:c r="D56" s="17" t="inlineStr">
        <x:is>
          <x:t xml:space="preserve">President</x:t>
        </x:is>
      </x:c>
      <x:c r="E56" s="17" t="n">
        <x:v>2024</x:v>
      </x:c>
      <x:c r="F56" s="18" t="n">
        <x:v>1.06448800377019</x:v>
      </x:c>
      <x:c r="G56" s="19" t="n">
        <x:v>239242</x:v>
      </x:c>
      <x:c r="H56" s="19" t="n">
        <x:v>0</x:v>
      </x:c>
      <x:c r="I56" s="19" t="n">
        <x:v>36671</x:v>
      </x:c>
      <x:c r="J56" s="20" t="n">
        <x:f>G56+H56</x:f>
        <x:v>239242</x:v>
      </x:c>
      <x:c r="K56" s="20" t="n">
        <x:f>J56+I56</x:f>
        <x:v>275913</x:v>
      </x:c>
      <x:c r="L56" s="20" t="n">
        <x:f>J56*F56</x:f>
        <x:v>254670.2389979878</x:v>
      </x:c>
      <x:c r="M56" s="20" t="n">
        <x:f>K56*F56</x:f>
        <x:v>293706.0785842444</x:v>
      </x:c>
      <x:c r="N56" s="19" t="n"/>
      <x:c r="O56" s="19" t="n">
        <x:v>13581055</x:v>
      </x:c>
      <x:c r="P56" s="21" t="n"/>
      <x:c r="Q56" s="21" t="n">
        <x:v>86</x:v>
      </x:c>
      <x:c r="R56" s="16" t="inlineStr">
        <x:is>
          <x:t xml:space="preserve">primary</x:t>
        </x:is>
      </x:c>
      <x:c r="S56" s="16" t="inlineStr">
        <x:is>
          <x:t xml:space="preserve">none</x:t>
        </x:is>
      </x:c>
      <x:c r="T56" s="17" t="inlineStr">
        <x:is>
          <x:t xml:space="preserve">52-1368964</x:t>
        </x:is>
      </x:c>
      <x:c r="U56" s="17" t="inlineStr">
        <x:is>
          <x:t xml:space="preserve">202542469349301614</x:t>
        </x:is>
      </x:c>
      <x:c r="V56" s="16" t="inlineStr">
        <x:is>
          <x:t xml:space="preserve">https://apps.irs.gov/pub/epostcard/990/xml/2025/202542469349301614_public.xml</x:t>
        </x:is>
      </x:c>
      <x:c r="W56" s="16" t="inlineStr">
        <x:is>
          <x:t xml:space="preserve">https://projects.propublica.org/nonprofits/organizations/521368964</x:t>
        </x:is>
      </x:c>
    </x:row>
    <x:row r="57">
      <x:c r="A57" s="17" t="inlineStr">
        <x:is>
          <x:t xml:space="preserve">Tax Foundation</x:t>
        </x:is>
      </x:c>
      <x:c r="B57" s="17" t="inlineStr">
        <x:is>
          <x:t xml:space="preserve">A</x:t>
        </x:is>
      </x:c>
      <x:c r="C57" s="17" t="inlineStr">
        <x:is>
          <x:t xml:space="preserve">functional-only</x:t>
        </x:is>
      </x:c>
      <x:c r="D57" s="17" t="inlineStr">
        <x:is>
          <x:t xml:space="preserve">President &amp; CEO and Board Secretary</x:t>
        </x:is>
      </x:c>
      <x:c r="E57" s="17" t="n">
        <x:v>2025</x:v>
      </x:c>
      <x:c r="F57" s="18" t="n">
        <x:v>1.037196025383375</x:v>
      </x:c>
      <x:c r="G57" s="19" t="n">
        <x:v>362681</x:v>
      </x:c>
      <x:c r="H57" s="19" t="n">
        <x:v>0</x:v>
      </x:c>
      <x:c r="I57" s="19" t="n">
        <x:v>45865</x:v>
      </x:c>
      <x:c r="J57" s="20" t="n">
        <x:f>G57+H57</x:f>
        <x:v>362681</x:v>
      </x:c>
      <x:c r="K57" s="20" t="n">
        <x:f>J57+I57</x:f>
        <x:v>408546</x:v>
      </x:c>
      <x:c r="L57" s="20" t="n">
        <x:f>J57*F57</x:f>
        <x:v>376171.2916820678</x:v>
      </x:c>
      <x:c r="M57" s="20" t="n">
        <x:f>K57*F57</x:f>
        <x:v>423742.2873862763</x:v>
      </x:c>
      <x:c r="N57" s="19" t="n"/>
      <x:c r="O57" s="19" t="n">
        <x:v>9094340</x:v>
      </x:c>
      <x:c r="P57" s="21" t="n"/>
      <x:c r="Q57" s="21" t="n">
        <x:v>88</x:v>
      </x:c>
      <x:c r="R57" s="16" t="inlineStr">
        <x:is>
          <x:t xml:space="preserve">primary</x:t>
        </x:is>
      </x:c>
      <x:c r="S57" s="16" t="inlineStr">
        <x:is>
          <x:t xml:space="preserve">none</x:t>
        </x:is>
      </x:c>
      <x:c r="T57" s="17" t="inlineStr">
        <x:is>
          <x:t xml:space="preserve">52-1703065</x:t>
        </x:is>
      </x:c>
      <x:c r="U57" s="17" t="inlineStr">
        <x:is>
          <x:t xml:space="preserve">202631959349301758</x:t>
        </x:is>
      </x:c>
      <x:c r="V57" s="16" t="inlineStr">
        <x:is>
          <x:t xml:space="preserve">https://apps.irs.gov/pub/epostcard/990/xml/2026/202631959349301758_public.xml</x:t>
        </x:is>
      </x:c>
      <x:c r="W57" s="16" t="inlineStr">
        <x:is>
          <x:t xml:space="preserve">https://projects.propublica.org/nonprofits/organizations/521703065</x:t>
        </x:is>
      </x:c>
    </x:row>
    <x:row r="58">
      <x:c r="A58" s="17" t="inlineStr">
        <x:is>
          <x:t xml:space="preserve">Institute on Taxation and Economic Policy</x:t>
        </x:is>
      </x:c>
      <x:c r="B58" s="17" t="inlineStr">
        <x:is>
          <x:t xml:space="preserve">A</x:t>
        </x:is>
      </x:c>
      <x:c r="C58" s="17" t="inlineStr">
        <x:is>
          <x:t xml:space="preserve">functional-only</x:t>
        </x:is>
      </x:c>
      <x:c r="D58" s="17" t="inlineStr">
        <x:is>
          <x:t xml:space="preserve">Executive Director</x:t>
        </x:is>
      </x:c>
      <x:c r="E58" s="17" t="n">
        <x:v>2025</x:v>
      </x:c>
      <x:c r="F58" s="18" t="n">
        <x:v>1.037196025383375</x:v>
      </x:c>
      <x:c r="G58" s="19" t="n">
        <x:v>219286</x:v>
      </x:c>
      <x:c r="H58" s="19" t="n">
        <x:v>0</x:v>
      </x:c>
      <x:c r="I58" s="19" t="n">
        <x:v>87929</x:v>
      </x:c>
      <x:c r="J58" s="20" t="n">
        <x:f>G58+H58</x:f>
        <x:v>219286</x:v>
      </x:c>
      <x:c r="K58" s="20" t="n">
        <x:f>J58+I58</x:f>
        <x:v>307215</x:v>
      </x:c>
      <x:c r="L58" s="20" t="n">
        <x:f>J58*F58</x:f>
        <x:v>227442.56762221878</x:v>
      </x:c>
      <x:c r="M58" s="20" t="n">
        <x:f>K58*F58</x:f>
        <x:v>318642.1769381535</x:v>
      </x:c>
      <x:c r="N58" s="19" t="n"/>
      <x:c r="O58" s="19" t="n">
        <x:v>4822380</x:v>
      </x:c>
      <x:c r="P58" s="21" t="n"/>
      <x:c r="Q58" s="21" t="n">
        <x:v>84</x:v>
      </x:c>
      <x:c r="R58" s="16" t="inlineStr">
        <x:is>
          <x:t xml:space="preserve">primary</x:t>
        </x:is>
      </x:c>
      <x:c r="S58" s="16" t="inlineStr">
        <x:is>
          <x:t xml:space="preserve">lower_edge_expense</x:t>
        </x:is>
      </x:c>
      <x:c r="T58" s="17" t="inlineStr">
        <x:is>
          <x:t xml:space="preserve">04-2688165</x:t>
        </x:is>
      </x:c>
      <x:c r="U58" s="17" t="inlineStr">
        <x:is>
          <x:t xml:space="preserve">202611559349300546</x:t>
        </x:is>
      </x:c>
      <x:c r="V58" s="16" t="inlineStr">
        <x:is>
          <x:t xml:space="preserve">https://apps.irs.gov/pub/epostcard/990/xml/2026/202611559349300546_public.xml</x:t>
        </x:is>
      </x:c>
      <x:c r="W58" s="16" t="inlineStr">
        <x:is>
          <x:t xml:space="preserve">https://projects.propublica.org/nonprofits/organizations/042688165</x:t>
        </x:is>
      </x:c>
    </x:row>
    <x:row r="59">
      <x:c r="A59" s="17" t="inlineStr">
        <x:is>
          <x:t xml:space="preserve">Roosevelt Institute</x:t>
        </x:is>
      </x:c>
      <x:c r="B59" s="17" t="inlineStr">
        <x:is>
          <x:t xml:space="preserve">A</x:t>
        </x:is>
      </x:c>
      <x:c r="C59" s="17" t="inlineStr">
        <x:is>
          <x:t xml:space="preserve">functional-only</x:t>
        </x:is>
      </x:c>
      <x:c r="D59" s="17" t="inlineStr">
        <x:is>
          <x:t xml:space="preserve">President &amp; CEO</x:t>
        </x:is>
      </x:c>
      <x:c r="E59" s="17" t="n">
        <x:v>2024</x:v>
      </x:c>
      <x:c r="F59" s="18" t="n">
        <x:v>1.06448800377019</x:v>
      </x:c>
      <x:c r="G59" s="19" t="n">
        <x:v>515721</x:v>
      </x:c>
      <x:c r="H59" s="19" t="n">
        <x:v>0</x:v>
      </x:c>
      <x:c r="I59" s="19" t="n">
        <x:v>51141</x:v>
      </x:c>
      <x:c r="J59" s="20" t="n">
        <x:f>G59+H59</x:f>
        <x:v>515721</x:v>
      </x:c>
      <x:c r="K59" s="20" t="n">
        <x:f>J59+I59</x:f>
        <x:v>566862</x:v>
      </x:c>
      <x:c r="L59" s="20" t="n">
        <x:f>J59*F59</x:f>
        <x:v>548978.8177923661</x:v>
      </x:c>
      <x:c r="M59" s="20" t="n">
        <x:f>K59*F59</x:f>
        <x:v>603417.7987931775</x:v>
      </x:c>
      <x:c r="N59" s="19" t="n"/>
      <x:c r="O59" s="19" t="n">
        <x:v>14132654</x:v>
      </x:c>
      <x:c r="P59" s="21" t="n"/>
      <x:c r="Q59" s="21" t="n">
        <x:v>84</x:v>
      </x:c>
      <x:c r="R59" s="16" t="inlineStr">
        <x:is>
          <x:t xml:space="preserve">primary</x:t>
        </x:is>
      </x:c>
      <x:c r="S59" s="16" t="inlineStr">
        <x:is>
          <x:t xml:space="preserve">none</x:t>
        </x:is>
      </x:c>
      <x:c r="T59" s="17" t="inlineStr">
        <x:is>
          <x:t xml:space="preserve">23-7213592</x:t>
        </x:is>
      </x:c>
      <x:c r="U59" s="17" t="inlineStr">
        <x:is>
          <x:t xml:space="preserve">202532729349301978</x:t>
        </x:is>
      </x:c>
      <x:c r="V59" s="16" t="inlineStr">
        <x:is>
          <x:t xml:space="preserve">https://apps.irs.gov/pub/epostcard/990/xml/2025/202532729349301978_public.xml</x:t>
        </x:is>
      </x:c>
      <x:c r="W59" s="16" t="inlineStr">
        <x:is>
          <x:t xml:space="preserve">https://projects.propublica.org/nonprofits/organizations/237213592</x:t>
        </x:is>
      </x:c>
    </x:row>
    <x:row r="60">
      <x:c r="A60" s="17" t="inlineStr">
        <x:is>
          <x:t xml:space="preserve">Bipartisan Policy Center</x:t>
        </x:is>
      </x:c>
      <x:c r="B60" s="17" t="inlineStr">
        <x:is>
          <x:t xml:space="preserve">B</x:t>
        </x:is>
      </x:c>
      <x:c r="C60" s="17" t="inlineStr">
        <x:is>
          <x:t xml:space="preserve">functional-only</x:t>
        </x:is>
      </x:c>
      <x:c r="D60" s="17" t="inlineStr">
        <x:is>
          <x:t xml:space="preserve">President &amp; CEO</x:t>
        </x:is>
      </x:c>
      <x:c r="E60" s="17" t="n">
        <x:v>2024</x:v>
      </x:c>
      <x:c r="F60" s="18" t="n">
        <x:v>1.06448800377019</x:v>
      </x:c>
      <x:c r="G60" s="19" t="n">
        <x:v>781500</x:v>
      </x:c>
      <x:c r="H60" s="19" t="n">
        <x:v>195375</x:v>
      </x:c>
      <x:c r="I60" s="19" t="n">
        <x:v>46194</x:v>
      </x:c>
      <x:c r="J60" s="20" t="n">
        <x:f>G60+H60</x:f>
        <x:v>976875</x:v>
      </x:c>
      <x:c r="K60" s="20" t="n">
        <x:f>J60+I60</x:f>
        <x:v>1023069</x:v>
      </x:c>
      <x:c r="L60" s="20" t="n">
        <x:f>J60*F60</x:f>
        <x:v>1039871.7186830044</x:v>
      </x:c>
      <x:c r="M60" s="20" t="n">
        <x:f>K60*F60</x:f>
        <x:v>1089044.6775291646</x:v>
      </x:c>
      <x:c r="N60" s="19" t="n"/>
      <x:c r="O60" s="19" t="n">
        <x:v>35378989</x:v>
      </x:c>
      <x:c r="P60" s="21" t="n"/>
      <x:c r="Q60" s="21" t="n">
        <x:v>75</x:v>
      </x:c>
      <x:c r="R60" s="16" t="inlineStr">
        <x:is>
          <x:t xml:space="preserve">primary_with_structure_flag</x:t>
        </x:is>
      </x:c>
      <x:c r="S60" s="16" t="inlineStr">
        <x:is>
          <x:t xml:space="preserve">above_scale_related_org_pay</x:t>
        </x:is>
      </x:c>
      <x:c r="T60" s="17" t="inlineStr">
        <x:is>
          <x:t xml:space="preserve">73-1628382</x:t>
        </x:is>
      </x:c>
      <x:c r="U60" s="17" t="inlineStr">
        <x:is>
          <x:t xml:space="preserve">202513109349302561</x:t>
        </x:is>
      </x:c>
      <x:c r="V60" s="16" t="inlineStr">
        <x:is>
          <x:t xml:space="preserve">https://apps.irs.gov/pub/epostcard/990/xml/2025/202513109349302561_public.xml</x:t>
        </x:is>
      </x:c>
      <x:c r="W60" s="16" t="inlineStr">
        <x:is>
          <x:t xml:space="preserve">https://projects.propublica.org/nonprofits/organizations/731628382</x:t>
        </x:is>
      </x:c>
    </x:row>
    <x:row r="61">
      <x:c r="A61" s="17" t="inlineStr">
        <x:is>
          <x:t xml:space="preserve">Third Way Institute</x:t>
        </x:is>
      </x:c>
      <x:c r="B61" s="17" t="inlineStr">
        <x:is>
          <x:t xml:space="preserve">B</x:t>
        </x:is>
      </x:c>
      <x:c r="C61" s="17" t="inlineStr">
        <x:is>
          <x:t xml:space="preserve">functional-only</x:t>
        </x:is>
      </x:c>
      <x:c r="D61" s="17" t="inlineStr">
        <x:is>
          <x:t xml:space="preserve">President</x:t>
        </x:is>
      </x:c>
      <x:c r="E61" s="17" t="n">
        <x:v>2024</x:v>
      </x:c>
      <x:c r="F61" s="18" t="n">
        <x:v>1.06448800377019</x:v>
      </x:c>
      <x:c r="G61" s="19" t="n">
        <x:v>0</x:v>
      </x:c>
      <x:c r="H61" s="19" t="n">
        <x:v>413118</x:v>
      </x:c>
      <x:c r="I61" s="19" t="n">
        <x:v>41470</x:v>
      </x:c>
      <x:c r="J61" s="20" t="n">
        <x:f>G61+H61</x:f>
        <x:v>413118</x:v>
      </x:c>
      <x:c r="K61" s="20" t="n">
        <x:f>J61+I61</x:f>
        <x:v>454588</x:v>
      </x:c>
      <x:c r="L61" s="20" t="n">
        <x:f>J61*F61</x:f>
        <x:v>439759.15514153335</x:v>
      </x:c>
      <x:c r="M61" s="20" t="n">
        <x:f>K61*F61</x:f>
        <x:v>483903.47265788313</x:v>
      </x:c>
      <x:c r="N61" s="19" t="n"/>
      <x:c r="O61" s="19" t="n">
        <x:v>22331511</x:v>
      </x:c>
      <x:c r="P61" s="21" t="n"/>
      <x:c r="Q61" s="21" t="n">
        <x:v>76</x:v>
      </x:c>
      <x:c r="R61" s="16" t="inlineStr">
        <x:is>
          <x:t xml:space="preserve">primary_with_structure_flag</x:t>
        </x:is>
      </x:c>
      <x:c r="S61" s="16" t="inlineStr">
        <x:is>
          <x:t xml:space="preserve">all_cash_from_related_org</x:t>
        </x:is>
      </x:c>
      <x:c r="T61" s="17" t="inlineStr">
        <x:is>
          <x:t xml:space="preserve">26-0535276</x:t>
        </x:is>
      </x:c>
      <x:c r="U61" s="17" t="inlineStr">
        <x:is>
          <x:t xml:space="preserve">202543159349301669</x:t>
        </x:is>
      </x:c>
      <x:c r="V61" s="16" t="inlineStr">
        <x:is>
          <x:t xml:space="preserve">https://apps.irs.gov/pub/epostcard/990/xml/2025/202543159349301669_public.xml</x:t>
        </x:is>
      </x:c>
      <x:c r="W61" s="16" t="inlineStr">
        <x:is>
          <x:t xml:space="preserve">https://projects.propublica.org/nonprofits/organizations/260535276</x:t>
        </x:is>
      </x:c>
    </x:row>
    <x:row r="62">
      <x:c r="A62" s="17" t="inlineStr">
        <x:is>
          <x:t xml:space="preserve">New America</x:t>
        </x:is>
      </x:c>
      <x:c r="B62" s="17" t="inlineStr">
        <x:is>
          <x:t xml:space="preserve">B</x:t>
        </x:is>
      </x:c>
      <x:c r="C62" s="17" t="inlineStr">
        <x:is>
          <x:t xml:space="preserve">functional-only</x:t>
        </x:is>
      </x:c>
      <x:c r="D62" s="17" t="inlineStr">
        <x:is>
          <x:t xml:space="preserve">CEO</x:t>
        </x:is>
      </x:c>
      <x:c r="E62" s="17" t="n">
        <x:v>2024</x:v>
      </x:c>
      <x:c r="F62" s="18" t="n">
        <x:v>1.06448800377019</x:v>
      </x:c>
      <x:c r="G62" s="19" t="n">
        <x:v>570709</x:v>
      </x:c>
      <x:c r="H62" s="19" t="n">
        <x:v>0</x:v>
      </x:c>
      <x:c r="I62" s="19" t="n">
        <x:v>39151</x:v>
      </x:c>
      <x:c r="J62" s="20" t="n">
        <x:f>G62+H62</x:f>
        <x:v>570709</x:v>
      </x:c>
      <x:c r="K62" s="20" t="n">
        <x:f>J62+I62</x:f>
        <x:v>609860</x:v>
      </x:c>
      <x:c r="L62" s="20" t="n">
        <x:f>J62*F62</x:f>
        <x:v>607512.8841436814</x:v>
      </x:c>
      <x:c r="M62" s="20" t="n">
        <x:f>K62*F62</x:f>
        <x:v>649188.6539792881</x:v>
      </x:c>
      <x:c r="N62" s="19" t="n"/>
      <x:c r="O62" s="19" t="n">
        <x:v>41339553</x:v>
      </x:c>
      <x:c r="P62" s="21" t="n"/>
      <x:c r="Q62" s="21" t="n">
        <x:v>77</x:v>
      </x:c>
      <x:c r="R62" s="16" t="inlineStr">
        <x:is>
          <x:t xml:space="preserve">primary_with_structure_flag</x:t>
        </x:is>
      </x:c>
      <x:c r="S62" s="16" t="inlineStr">
        <x:is>
          <x:t xml:space="preserve">above_primary_scale</x:t>
        </x:is>
      </x:c>
      <x:c r="T62" s="17" t="inlineStr">
        <x:is>
          <x:t xml:space="preserve">52-2096845</x:t>
        </x:is>
      </x:c>
      <x:c r="U62" s="17" t="inlineStr">
        <x:is>
          <x:t xml:space="preserve">202513109349304131</x:t>
        </x:is>
      </x:c>
      <x:c r="V62" s="16" t="inlineStr">
        <x:is>
          <x:t xml:space="preserve">https://apps.irs.gov/pub/epostcard/990/xml/2025/202513109349304131_public.xml</x:t>
        </x:is>
      </x:c>
      <x:c r="W62" s="16" t="inlineStr">
        <x:is>
          <x:t xml:space="preserve">https://projects.propublica.org/nonprofits/organizations/522096845</x:t>
        </x:is>
      </x:c>
    </x:row>
    <x:row r="63">
      <x:c r="A63" s="17" t="inlineStr">
        <x:is>
          <x:t xml:space="preserve">FrameWorks Institute</x:t>
        </x:is>
      </x:c>
      <x:c r="B63" s="17" t="inlineStr">
        <x:is>
          <x:t xml:space="preserve">A</x:t>
        </x:is>
      </x:c>
      <x:c r="C63" s="17" t="inlineStr">
        <x:is>
          <x:t xml:space="preserve">functional-only</x:t>
        </x:is>
      </x:c>
      <x:c r="D63" s="17" t="inlineStr">
        <x:is>
          <x:t xml:space="preserve">Chief Executive Officer</x:t>
        </x:is>
      </x:c>
      <x:c r="E63" s="17" t="n">
        <x:v>2024</x:v>
      </x:c>
      <x:c r="F63" s="18" t="n">
        <x:v>1.06448800377019</x:v>
      </x:c>
      <x:c r="G63" s="19" t="n">
        <x:v>426832</x:v>
      </x:c>
      <x:c r="H63" s="19" t="n">
        <x:v>0</x:v>
      </x:c>
      <x:c r="I63" s="19" t="n">
        <x:v>61329</x:v>
      </x:c>
      <x:c r="J63" s="20" t="n">
        <x:f>G63+H63</x:f>
        <x:v>426832</x:v>
      </x:c>
      <x:c r="K63" s="20" t="n">
        <x:f>J63+I63</x:f>
        <x:v>488161</x:v>
      </x:c>
      <x:c r="L63" s="20" t="n">
        <x:f>J63*F63</x:f>
        <x:v>454357.54362523777</x:v>
      </x:c>
      <x:c r="M63" s="20" t="n">
        <x:f>K63*F63</x:f>
        <x:v>519641.52840845974</x:v>
      </x:c>
      <x:c r="N63" s="19" t="n"/>
      <x:c r="O63" s="19" t="n">
        <x:v>10039139</x:v>
      </x:c>
      <x:c r="P63" s="21" t="n"/>
      <x:c r="Q63" s="21" t="n">
        <x:v>92</x:v>
      </x:c>
      <x:c r="R63" s="16" t="inlineStr">
        <x:is>
          <x:t xml:space="preserve">primary</x:t>
        </x:is>
      </x:c>
      <x:c r="S63" s="16" t="inlineStr">
        <x:is>
          <x:t xml:space="preserve">none</x:t>
        </x:is>
      </x:c>
      <x:c r="T63" s="17" t="inlineStr">
        <x:is>
          <x:t xml:space="preserve">71-0891642</x:t>
        </x:is>
      </x:c>
      <x:c r="U63" s="17" t="inlineStr">
        <x:is>
          <x:t xml:space="preserve">202641389349300439</x:t>
        </x:is>
      </x:c>
      <x:c r="V63" s="16" t="inlineStr">
        <x:is>
          <x:t xml:space="preserve">https://apps.irs.gov/pub/epostcard/990/xml/2026/202641389349300439_public.xml</x:t>
        </x:is>
      </x:c>
      <x:c r="W63" s="16" t="inlineStr">
        <x:is>
          <x:t xml:space="preserve">https://projects.propublica.org/nonprofits/organizations/710891642</x:t>
        </x:is>
      </x:c>
    </x:row>
    <x:row r="64">
      <x:c r="A64" s="17" t="inlineStr">
        <x:is>
          <x:t xml:space="preserve">Data Quality Campaign</x:t>
        </x:is>
      </x:c>
      <x:c r="B64" s="17" t="inlineStr">
        <x:is>
          <x:t xml:space="preserve">A</x:t>
        </x:is>
      </x:c>
      <x:c r="C64" s="17" t="inlineStr">
        <x:is>
          <x:t xml:space="preserve">functional-only</x:t>
        </x:is>
      </x:c>
      <x:c r="D64" s="17" t="inlineStr">
        <x:is>
          <x:t xml:space="preserve">CEO/President</x:t>
        </x:is>
      </x:c>
      <x:c r="E64" s="17" t="n">
        <x:v>2024</x:v>
      </x:c>
      <x:c r="F64" s="18" t="n">
        <x:v>1.06448800377019</x:v>
      </x:c>
      <x:c r="G64" s="19" t="n">
        <x:v>411509</x:v>
      </x:c>
      <x:c r="H64" s="19" t="n">
        <x:v>0</x:v>
      </x:c>
      <x:c r="I64" s="19" t="n">
        <x:v>46847</x:v>
      </x:c>
      <x:c r="J64" s="20" t="n">
        <x:f>G64+H64</x:f>
        <x:v>411509</x:v>
      </x:c>
      <x:c r="K64" s="20" t="n">
        <x:f>J64+I64</x:f>
        <x:v>458356</x:v>
      </x:c>
      <x:c r="L64" s="20" t="n">
        <x:f>J64*F64</x:f>
        <x:v>438046.3939434671</x:v>
      </x:c>
      <x:c r="M64" s="20" t="n">
        <x:f>K64*F64</x:f>
        <x:v>487914.4634560892</x:v>
      </x:c>
      <x:c r="N64" s="19" t="n"/>
      <x:c r="O64" s="19" t="n">
        <x:v>6466981</x:v>
      </x:c>
      <x:c r="P64" s="21" t="n"/>
      <x:c r="Q64" s="21" t="n">
        <x:v>86</x:v>
      </x:c>
      <x:c r="R64" s="16" t="inlineStr">
        <x:is>
          <x:t xml:space="preserve">primary</x:t>
        </x:is>
      </x:c>
      <x:c r="S64" s="16" t="inlineStr">
        <x:is>
          <x:t xml:space="preserve">none</x:t>
        </x:is>
      </x:c>
      <x:c r="T64" s="17" t="inlineStr">
        <x:is>
          <x:t xml:space="preserve">27-4566795</x:t>
        </x:is>
      </x:c>
      <x:c r="U64" s="17" t="inlineStr">
        <x:is>
          <x:t xml:space="preserve">202621339349304737</x:t>
        </x:is>
      </x:c>
      <x:c r="V64" s="16" t="inlineStr">
        <x:is>
          <x:t xml:space="preserve">https://apps.irs.gov/pub/epostcard/990/xml/2026/202621339349304737_public.xml</x:t>
        </x:is>
      </x:c>
      <x:c r="W64" s="16" t="inlineStr">
        <x:is>
          <x:t xml:space="preserve">https://projects.propublica.org/nonprofits/organizations/274566795</x:t>
        </x:is>
      </x:c>
    </x:row>
    <x:row r="65">
      <x:c r="A65" s="17" t="inlineStr">
        <x:is>
          <x:t xml:space="preserve">Public Agenda</x:t>
        </x:is>
      </x:c>
      <x:c r="B65" s="17" t="inlineStr">
        <x:is>
          <x:t xml:space="preserve">A</x:t>
        </x:is>
      </x:c>
      <x:c r="C65" s="17" t="inlineStr">
        <x:is>
          <x:t xml:space="preserve">functional-only</x:t>
        </x:is>
      </x:c>
      <x:c r="D65" s="17" t="inlineStr">
        <x:is>
          <x:t xml:space="preserve">President</x:t>
        </x:is>
      </x:c>
      <x:c r="E65" s="17" t="n">
        <x:v>2024</x:v>
      </x:c>
      <x:c r="F65" s="18" t="n">
        <x:v>1.06448800377019</x:v>
      </x:c>
      <x:c r="G65" s="19" t="n">
        <x:v>255662</x:v>
      </x:c>
      <x:c r="H65" s="19" t="n">
        <x:v>0</x:v>
      </x:c>
      <x:c r="I65" s="19" t="n">
        <x:v>31061</x:v>
      </x:c>
      <x:c r="J65" s="20" t="n">
        <x:f>G65+H65</x:f>
        <x:v>255662</x:v>
      </x:c>
      <x:c r="K65" s="20" t="n">
        <x:f>J65+I65</x:f>
        <x:v>286723</x:v>
      </x:c>
      <x:c r="L65" s="20" t="n">
        <x:f>J65*F65</x:f>
        <x:v>272149.1320198943</x:v>
      </x:c>
      <x:c r="M65" s="20" t="n">
        <x:f>K65*F65</x:f>
        <x:v>305213.1939050002</x:v>
      </x:c>
      <x:c r="N65" s="19" t="n"/>
      <x:c r="O65" s="19" t="n">
        <x:v>3449526</x:v>
      </x:c>
      <x:c r="P65" s="21" t="n"/>
      <x:c r="Q65" s="21" t="n">
        <x:v>84</x:v>
      </x:c>
      <x:c r="R65" s="16" t="inlineStr">
        <x:is>
          <x:t xml:space="preserve">primary</x:t>
        </x:is>
      </x:c>
      <x:c r="S65" s="16" t="inlineStr">
        <x:is>
          <x:t xml:space="preserve">lower_edge_expense</x:t>
        </x:is>
      </x:c>
      <x:c r="T65" s="17" t="inlineStr">
        <x:is>
          <x:t xml:space="preserve">13-2847587</x:t>
        </x:is>
      </x:c>
      <x:c r="U65" s="17" t="inlineStr">
        <x:is>
          <x:t xml:space="preserve">202631029349300503</x:t>
        </x:is>
      </x:c>
      <x:c r="V65" s="16" t="inlineStr">
        <x:is>
          <x:t xml:space="preserve">https://apps.irs.gov/pub/epostcard/990/xml/2026/202631029349300503_public.xml</x:t>
        </x:is>
      </x:c>
      <x:c r="W65" s="16" t="inlineStr">
        <x:is>
          <x:t xml:space="preserve">https://projects.propublica.org/nonprofits/organizations/132847587</x:t>
        </x:is>
      </x:c>
    </x:row>
    <x:row r="66">
      <x:c r="A66" s="17" t="inlineStr">
        <x:is>
          <x:t xml:space="preserve">National Employment Law Project</x:t>
        </x:is>
      </x:c>
      <x:c r="B66" s="17" t="inlineStr">
        <x:is>
          <x:t xml:space="preserve">A</x:t>
        </x:is>
      </x:c>
      <x:c r="C66" s="17" t="inlineStr">
        <x:is>
          <x:t xml:space="preserve">functional-only</x:t>
        </x:is>
      </x:c>
      <x:c r="D66" s="17" t="inlineStr">
        <x:is>
          <x:t xml:space="preserve">President &amp; CEO</x:t>
        </x:is>
      </x:c>
      <x:c r="E66" s="17" t="n">
        <x:v>2024</x:v>
      </x:c>
      <x:c r="F66" s="18" t="n">
        <x:v>1.06448800377019</x:v>
      </x:c>
      <x:c r="G66" s="19" t="n">
        <x:v>346615</x:v>
      </x:c>
      <x:c r="H66" s="19" t="n">
        <x:v>0</x:v>
      </x:c>
      <x:c r="I66" s="19" t="n">
        <x:v>79051</x:v>
      </x:c>
      <x:c r="J66" s="20" t="n">
        <x:f>G66+H66</x:f>
        <x:v>346615</x:v>
      </x:c>
      <x:c r="K66" s="20" t="n">
        <x:f>J66+I66</x:f>
        <x:v>425666</x:v>
      </x:c>
      <x:c r="L66" s="20" t="n">
        <x:f>J66*F66</x:f>
        <x:v>368967.50942680443</x:v>
      </x:c>
      <x:c r="M66" s="20" t="n">
        <x:f>K66*F66</x:f>
        <x:v>453116.3506128417</x:v>
      </x:c>
      <x:c r="N66" s="19" t="n"/>
      <x:c r="O66" s="19" t="n">
        <x:v>13263163</x:v>
      </x:c>
      <x:c r="P66" s="21" t="n"/>
      <x:c r="Q66" s="21" t="n">
        <x:v>83</x:v>
      </x:c>
      <x:c r="R66" s="16" t="inlineStr">
        <x:is>
          <x:t xml:space="preserve">primary</x:t>
        </x:is>
      </x:c>
      <x:c r="S66" s="16" t="inlineStr">
        <x:is>
          <x:t xml:space="preserve">policy_plus_advocacy</x:t>
        </x:is>
      </x:c>
      <x:c r="T66" s="17" t="inlineStr">
        <x:is>
          <x:t xml:space="preserve">13-2758558</x:t>
        </x:is>
      </x:c>
      <x:c r="U66" s="17" t="inlineStr">
        <x:is>
          <x:t xml:space="preserve">202523089349302957</x:t>
        </x:is>
      </x:c>
      <x:c r="V66" s="16" t="inlineStr">
        <x:is>
          <x:t xml:space="preserve">https://apps.irs.gov/pub/epostcard/990/xml/2025/202523089349302957_public.xml</x:t>
        </x:is>
      </x:c>
      <x:c r="W66" s="16" t="inlineStr">
        <x:is>
          <x:t xml:space="preserve">https://projects.propublica.org/nonprofits/organizations/132758558</x:t>
        </x:is>
      </x:c>
    </x:row>
    <x:row r="67">
      <x:c r="A67" s="17" t="inlineStr">
        <x:is>
          <x:t xml:space="preserve">The Sentencing Project</x:t>
        </x:is>
      </x:c>
      <x:c r="B67" s="17" t="inlineStr">
        <x:is>
          <x:t xml:space="preserve">A</x:t>
        </x:is>
      </x:c>
      <x:c r="C67" s="17" t="inlineStr">
        <x:is>
          <x:t xml:space="preserve">functional-only</x:t>
        </x:is>
      </x:c>
      <x:c r="D67" s="17" t="inlineStr">
        <x:is>
          <x:t xml:space="preserve">Executive Director</x:t>
        </x:is>
      </x:c>
      <x:c r="E67" s="17" t="n">
        <x:v>2024</x:v>
      </x:c>
      <x:c r="F67" s="18" t="n">
        <x:v>1.06448800377019</x:v>
      </x:c>
      <x:c r="G67" s="19" t="n">
        <x:v>195000</x:v>
      </x:c>
      <x:c r="H67" s="19" t="n">
        <x:v>0</x:v>
      </x:c>
      <x:c r="I67" s="19" t="n">
        <x:v>26207</x:v>
      </x:c>
      <x:c r="J67" s="20" t="n">
        <x:f>G67+H67</x:f>
        <x:v>195000</x:v>
      </x:c>
      <x:c r="K67" s="20" t="n">
        <x:f>J67+I67</x:f>
        <x:v>221207</x:v>
      </x:c>
      <x:c r="L67" s="20" t="n">
        <x:f>J67*F67</x:f>
        <x:v>207575.16073518706</x:v>
      </x:c>
      <x:c r="M67" s="20" t="n">
        <x:f>K67*F67</x:f>
        <x:v>235472.19784999243</x:v>
      </x:c>
      <x:c r="N67" s="19" t="n"/>
      <x:c r="O67" s="19" t="n">
        <x:v>5599399</x:v>
      </x:c>
      <x:c r="P67" s="21" t="n"/>
      <x:c r="Q67" s="21" t="n">
        <x:v>83</x:v>
      </x:c>
      <x:c r="R67" s="16" t="inlineStr">
        <x:is>
          <x:t xml:space="preserve">primary</x:t>
        </x:is>
      </x:c>
      <x:c r="S67" s="16" t="inlineStr">
        <x:is>
          <x:t xml:space="preserve">none</x:t>
        </x:is>
      </x:c>
      <x:c r="T67" s="17" t="inlineStr">
        <x:is>
          <x:t xml:space="preserve">52-1472546</x:t>
        </x:is>
      </x:c>
      <x:c r="U67" s="17" t="inlineStr">
        <x:is>
          <x:t xml:space="preserve">202522829349301367</x:t>
        </x:is>
      </x:c>
      <x:c r="V67" s="16" t="inlineStr">
        <x:is>
          <x:t xml:space="preserve">https://apps.irs.gov/pub/epostcard/990/xml/2025/202522829349301367_public.xml</x:t>
        </x:is>
      </x:c>
      <x:c r="W67" s="16" t="inlineStr">
        <x:is>
          <x:t xml:space="preserve">https://projects.propublica.org/nonprofits/organizations/521472546</x:t>
        </x:is>
      </x:c>
    </x:row>
    <x:row r="68">
      <x:c r="A68" s="17" t="inlineStr">
        <x:is>
          <x:t xml:space="preserve">Open Markets Institute</x:t>
        </x:is>
      </x:c>
      <x:c r="B68" s="17" t="inlineStr">
        <x:is>
          <x:t xml:space="preserve">B</x:t>
        </x:is>
      </x:c>
      <x:c r="C68" s="17" t="inlineStr">
        <x:is>
          <x:t xml:space="preserve">functional-only</x:t>
        </x:is>
      </x:c>
      <x:c r="D68" s="17" t="inlineStr">
        <x:is>
          <x:t xml:space="preserve">Executive Director</x:t>
        </x:is>
      </x:c>
      <x:c r="E68" s="17" t="n">
        <x:v>2024</x:v>
      </x:c>
      <x:c r="F68" s="18" t="n">
        <x:v>1.06448800377019</x:v>
      </x:c>
      <x:c r="G68" s="19" t="n">
        <x:v>184842</x:v>
      </x:c>
      <x:c r="H68" s="19" t="n">
        <x:v>0</x:v>
      </x:c>
      <x:c r="I68" s="19" t="n">
        <x:v>34111</x:v>
      </x:c>
      <x:c r="J68" s="20" t="n">
        <x:f>G68+H68</x:f>
        <x:v>184842</x:v>
      </x:c>
      <x:c r="K68" s="20" t="n">
        <x:f>J68+I68</x:f>
        <x:v>218953</x:v>
      </x:c>
      <x:c r="L68" s="20" t="n">
        <x:f>J68*F68</x:f>
        <x:v>196762.09159288945</x:v>
      </x:c>
      <x:c r="M68" s="20" t="n">
        <x:f>K68*F68</x:f>
        <x:v>233072.84188949442</x:v>
      </x:c>
      <x:c r="N68" s="19" t="n"/>
      <x:c r="O68" s="19" t="n">
        <x:v>3918043</x:v>
      </x:c>
      <x:c r="P68" s="21" t="n"/>
      <x:c r="Q68" s="21" t="n">
        <x:v>78</x:v>
      </x:c>
      <x:c r="R68" s="16" t="inlineStr">
        <x:is>
          <x:t xml:space="preserve">primary</x:t>
        </x:is>
      </x:c>
      <x:c r="S68" s="16" t="inlineStr">
        <x:is>
          <x:t xml:space="preserve">lower_edge_expense</x:t>
        </x:is>
      </x:c>
      <x:c r="T68" s="17" t="inlineStr">
        <x:is>
          <x:t xml:space="preserve">82-2529375</x:t>
        </x:is>
      </x:c>
      <x:c r="U68" s="17" t="inlineStr">
        <x:is>
          <x:t xml:space="preserve">202533209349300548</x:t>
        </x:is>
      </x:c>
      <x:c r="V68" s="16" t="inlineStr">
        <x:is>
          <x:t xml:space="preserve">https://apps.irs.gov/pub/epostcard/990/xml/2025/202533209349300548_public.xml</x:t>
        </x:is>
      </x:c>
      <x:c r="W68" s="16" t="inlineStr">
        <x:is>
          <x:t xml:space="preserve">https://projects.propublica.org/nonprofits/organizations/822529375</x:t>
        </x:is>
      </x:c>
    </x:row>
    <x:row r="69">
      <x:c r="A69" s="17" t="inlineStr">
        <x:is>
          <x:t xml:space="preserve">Committee for a Responsible Federal Budget</x:t>
        </x:is>
      </x:c>
      <x:c r="B69" s="17" t="inlineStr">
        <x:is>
          <x:t xml:space="preserve">A</x:t>
        </x:is>
      </x:c>
      <x:c r="C69" s="17" t="inlineStr">
        <x:is>
          <x:t xml:space="preserve">functional-only</x:t>
        </x:is>
      </x:c>
      <x:c r="D69" s="17" t="inlineStr">
        <x:is>
          <x:t xml:space="preserve">President</x:t>
        </x:is>
      </x:c>
      <x:c r="E69" s="17" t="n">
        <x:v>2025</x:v>
      </x:c>
      <x:c r="F69" s="18" t="n">
        <x:v>1.037196025383375</x:v>
      </x:c>
      <x:c r="G69" s="19" t="n">
        <x:v>612079</x:v>
      </x:c>
      <x:c r="H69" s="19" t="n">
        <x:v>0</x:v>
      </x:c>
      <x:c r="I69" s="19" t="n">
        <x:v>60152</x:v>
      </x:c>
      <x:c r="J69" s="20" t="n">
        <x:f>G69+H69</x:f>
        <x:v>612079</x:v>
      </x:c>
      <x:c r="K69" s="20" t="n">
        <x:f>J69+I69</x:f>
        <x:v>672231</x:v>
      </x:c>
      <x:c r="L69" s="20" t="n">
        <x:f>J69*F69</x:f>
        <x:v>634845.9060206307</x:v>
      </x:c>
      <x:c r="M69" s="20" t="n">
        <x:f>K69*F69</x:f>
        <x:v>697235.3213394915</x:v>
      </x:c>
      <x:c r="N69" s="19" t="n"/>
      <x:c r="O69" s="19" t="n">
        <x:v>6703049</x:v>
      </x:c>
      <x:c r="P69" s="21" t="n"/>
      <x:c r="Q69" s="21" t="n">
        <x:v>87</x:v>
      </x:c>
      <x:c r="R69" s="16" t="inlineStr">
        <x:is>
          <x:t xml:space="preserve">primary</x:t>
        </x:is>
      </x:c>
      <x:c r="S69" s="16" t="inlineStr">
        <x:is>
          <x:t xml:space="preserve">none</x:t>
        </x:is>
      </x:c>
      <x:c r="T69" s="17" t="inlineStr">
        <x:is>
          <x:t xml:space="preserve">52-1231278</x:t>
        </x:is>
      </x:c>
      <x:c r="U69" s="17" t="inlineStr">
        <x:is>
          <x:t xml:space="preserve">202611949349301721</x:t>
        </x:is>
      </x:c>
      <x:c r="V69" s="16" t="inlineStr">
        <x:is>
          <x:t xml:space="preserve">https://apps.irs.gov/pub/epostcard/990/xml/2026/202611949349301721_public.xml</x:t>
        </x:is>
      </x:c>
      <x:c r="W69" s="16" t="inlineStr">
        <x:is>
          <x:t xml:space="preserve">https://projects.propublica.org/nonprofits/organizations/521231278</x:t>
        </x:is>
      </x:c>
    </x:row>
    <x:row r="70">
      <x:c r="A70" s="17" t="inlineStr">
        <x:is>
          <x:t xml:space="preserve">Chicago Council on Global Affairs</x:t>
        </x:is>
      </x:c>
      <x:c r="B70" s="17" t="inlineStr">
        <x:is>
          <x:t xml:space="preserve">A</x:t>
        </x:is>
      </x:c>
      <x:c r="C70" s="17" t="inlineStr">
        <x:is>
          <x:t xml:space="preserve">functional-only</x:t>
        </x:is>
      </x:c>
      <x:c r="D70" s="17" t="inlineStr">
        <x:is>
          <x:t xml:space="preserve">President</x:t>
        </x:is>
      </x:c>
      <x:c r="E70" s="17" t="n">
        <x:v>2024</x:v>
      </x:c>
      <x:c r="F70" s="18" t="n">
        <x:v>1.06448800377019</x:v>
      </x:c>
      <x:c r="G70" s="19" t="n">
        <x:v>482447</x:v>
      </x:c>
      <x:c r="H70" s="19" t="n">
        <x:v>0</x:v>
      </x:c>
      <x:c r="I70" s="19" t="n">
        <x:v>32475</x:v>
      </x:c>
      <x:c r="J70" s="20" t="n">
        <x:f>G70+H70</x:f>
        <x:v>482447</x:v>
      </x:c>
      <x:c r="K70" s="20" t="n">
        <x:f>J70+I70</x:f>
        <x:v>514922</x:v>
      </x:c>
      <x:c r="L70" s="20" t="n">
        <x:f>J70*F70</x:f>
        <x:v>513559.0439549169</x:v>
      </x:c>
      <x:c r="M70" s="20" t="n">
        <x:f>K70*F70</x:f>
        <x:v>548128.2918773538</x:v>
      </x:c>
      <x:c r="N70" s="19" t="n"/>
      <x:c r="O70" s="19" t="n">
        <x:v>11944089</x:v>
      </x:c>
      <x:c r="P70" s="21" t="n"/>
      <x:c r="Q70" s="21" t="n">
        <x:v>84</x:v>
      </x:c>
      <x:c r="R70" s="16" t="inlineStr">
        <x:is>
          <x:t xml:space="preserve">primary</x:t>
        </x:is>
      </x:c>
      <x:c r="S70" s="16" t="inlineStr">
        <x:is>
          <x:t xml:space="preserve">membership_and_events_mix</x:t>
        </x:is>
      </x:c>
      <x:c r="T70" s="17" t="inlineStr">
        <x:is>
          <x:t xml:space="preserve">36-2181969</x:t>
        </x:is>
      </x:c>
      <x:c r="U70" s="17" t="inlineStr">
        <x:is>
          <x:t xml:space="preserve">202543179349309229</x:t>
        </x:is>
      </x:c>
      <x:c r="V70" s="16" t="inlineStr">
        <x:is>
          <x:t xml:space="preserve">https://apps.irs.gov/pub/epostcard/990/xml/2025/202543179349309229_public.xml</x:t>
        </x:is>
      </x:c>
      <x:c r="W70" s="16" t="inlineStr">
        <x:is>
          <x:t xml:space="preserve">https://projects.propublica.org/nonprofits/organizations/362181969</x:t>
        </x:is>
      </x:c>
    </x:row>
    <x:row r="71">
      <x:c r="A71" s="17" t="inlineStr">
        <x:is>
          <x:t xml:space="preserve">American Immigration Council</x:t>
        </x:is>
      </x:c>
      <x:c r="B71" s="17" t="inlineStr">
        <x:is>
          <x:t xml:space="preserve">A</x:t>
        </x:is>
      </x:c>
      <x:c r="C71" s="17" t="inlineStr">
        <x:is>
          <x:t xml:space="preserve">functional-only</x:t>
        </x:is>
      </x:c>
      <x:c r="D71" s="17" t="inlineStr">
        <x:is>
          <x:t xml:space="preserve">Executive Director</x:t>
        </x:is>
      </x:c>
      <x:c r="E71" s="17" t="n">
        <x:v>2024</x:v>
      </x:c>
      <x:c r="F71" s="18" t="n">
        <x:v>1.06448800377019</x:v>
      </x:c>
      <x:c r="G71" s="19" t="n">
        <x:v>327947</x:v>
      </x:c>
      <x:c r="H71" s="19" t="n">
        <x:v>0</x:v>
      </x:c>
      <x:c r="I71" s="19" t="n">
        <x:v>9912</x:v>
      </x:c>
      <x:c r="J71" s="20" t="n">
        <x:f>G71+H71</x:f>
        <x:v>327947</x:v>
      </x:c>
      <x:c r="K71" s="20" t="n">
        <x:f>J71+I71</x:f>
        <x:v>337859</x:v>
      </x:c>
      <x:c r="L71" s="20" t="n">
        <x:f>J71*F71</x:f>
        <x:v>349095.6473724225</x:v>
      </x:c>
      <x:c r="M71" s="20" t="n">
        <x:f>K71*F71</x:f>
        <x:v>359646.8524657926</x:v>
      </x:c>
      <x:c r="N71" s="19" t="n"/>
      <x:c r="O71" s="19" t="n">
        <x:v>12429698</x:v>
      </x:c>
      <x:c r="P71" s="21" t="n"/>
      <x:c r="Q71" s="21" t="n">
        <x:v>81</x:v>
      </x:c>
      <x:c r="R71" s="16" t="inlineStr">
        <x:is>
          <x:t xml:space="preserve">primary</x:t>
        </x:is>
      </x:c>
      <x:c r="S71" s="16" t="inlineStr">
        <x:is>
          <x:t xml:space="preserve">research_plus_legal_programs</x:t>
        </x:is>
      </x:c>
      <x:c r="T71" s="17" t="inlineStr">
        <x:is>
          <x:t xml:space="preserve">52-1549711</x:t>
        </x:is>
      </x:c>
      <x:c r="U71" s="17" t="inlineStr">
        <x:is>
          <x:t xml:space="preserve">202542979349301509</x:t>
        </x:is>
      </x:c>
      <x:c r="V71" s="16" t="inlineStr">
        <x:is>
          <x:t xml:space="preserve">https://apps.irs.gov/pub/epostcard/990/xml/2025/202542979349301509_public.xml</x:t>
        </x:is>
      </x:c>
      <x:c r="W71" s="16" t="inlineStr">
        <x:is>
          <x:t xml:space="preserve">https://projects.propublica.org/nonprofits/organizations/521549711</x:t>
        </x:is>
      </x:c>
    </x:row>
    <x:row r="72">
      <x:c r="A72" s="17" t="inlineStr">
        <x:is>
          <x:t xml:space="preserve">Institute for Policy Studies</x:t>
        </x:is>
      </x:c>
      <x:c r="B72" s="17" t="inlineStr">
        <x:is>
          <x:t xml:space="preserve">A</x:t>
        </x:is>
      </x:c>
      <x:c r="C72" s="17" t="inlineStr">
        <x:is>
          <x:t xml:space="preserve">functional-only</x:t>
        </x:is>
      </x:c>
      <x:c r="D72" s="17" t="inlineStr">
        <x:is>
          <x:t xml:space="preserve">Executive Director</x:t>
        </x:is>
      </x:c>
      <x:c r="E72" s="17" t="n">
        <x:v>2024</x:v>
      </x:c>
      <x:c r="F72" s="18" t="n">
        <x:v>1.06448800377019</x:v>
      </x:c>
      <x:c r="G72" s="19" t="n">
        <x:v>161376</x:v>
      </x:c>
      <x:c r="H72" s="19" t="n">
        <x:v>0</x:v>
      </x:c>
      <x:c r="I72" s="19" t="n">
        <x:v>27313</x:v>
      </x:c>
      <x:c r="J72" s="20" t="n">
        <x:f>G72+H72</x:f>
        <x:v>161376</x:v>
      </x:c>
      <x:c r="K72" s="20" t="n">
        <x:f>J72+I72</x:f>
        <x:v>188689</x:v>
      </x:c>
      <x:c r="L72" s="20" t="n">
        <x:f>J72*F72</x:f>
        <x:v>171782.8160964182</x:v>
      </x:c>
      <x:c r="M72" s="20" t="n">
        <x:f>K72*F72</x:f>
        <x:v>200857.1769433934</x:v>
      </x:c>
      <x:c r="N72" s="19" t="n"/>
      <x:c r="O72" s="19" t="n">
        <x:v>5230308</x:v>
      </x:c>
      <x:c r="P72" s="21" t="n"/>
      <x:c r="Q72" s="21" t="n">
        <x:v>84</x:v>
      </x:c>
      <x:c r="R72" s="16" t="inlineStr">
        <x:is>
          <x:t xml:space="preserve">primary</x:t>
        </x:is>
      </x:c>
      <x:c r="S72" s="16" t="inlineStr">
        <x:is>
          <x:t xml:space="preserve">none</x:t>
        </x:is>
      </x:c>
      <x:c r="T72" s="17" t="inlineStr">
        <x:is>
          <x:t xml:space="preserve">52-0788947</x:t>
        </x:is>
      </x:c>
      <x:c r="U72" s="17" t="inlineStr">
        <x:is>
          <x:t xml:space="preserve">202513219349302816</x:t>
        </x:is>
      </x:c>
      <x:c r="V72" s="16" t="inlineStr">
        <x:is>
          <x:t xml:space="preserve">https://apps.irs.gov/pub/epostcard/990/xml/2025/202513219349302816_public.xml</x:t>
        </x:is>
      </x:c>
      <x:c r="W72" s="16" t="inlineStr">
        <x:is>
          <x:t xml:space="preserve">https://projects.propublica.org/nonprofits/organizations/520788947</x:t>
        </x:is>
      </x:c>
    </x:row>
    <x:row r="73">
      <x:c r="A73" s="17" t="inlineStr">
        <x:is>
          <x:t xml:space="preserve">Institute for Security and Technology</x:t>
        </x:is>
      </x:c>
      <x:c r="B73" s="17" t="inlineStr">
        <x:is>
          <x:t xml:space="preserve">B</x:t>
        </x:is>
      </x:c>
      <x:c r="C73" s="17" t="inlineStr">
        <x:is>
          <x:t xml:space="preserve">EA-adjacent</x:t>
        </x:is>
      </x:c>
      <x:c r="D73" s="17" t="inlineStr">
        <x:is>
          <x:t xml:space="preserve">CEO</x:t>
        </x:is>
      </x:c>
      <x:c r="E73" s="17" t="n">
        <x:v>2024</x:v>
      </x:c>
      <x:c r="F73" s="18" t="n">
        <x:v>1.06448800377019</x:v>
      </x:c>
      <x:c r="G73" s="19" t="n">
        <x:v>324624</x:v>
      </x:c>
      <x:c r="H73" s="19" t="n">
        <x:v>0</x:v>
      </x:c>
      <x:c r="I73" s="19" t="n">
        <x:v>41801</x:v>
      </x:c>
      <x:c r="J73" s="20" t="n">
        <x:f>G73+H73</x:f>
        <x:v>324624</x:v>
      </x:c>
      <x:c r="K73" s="20" t="n">
        <x:f>J73+I73</x:f>
        <x:v>366425</x:v>
      </x:c>
      <x:c r="L73" s="20" t="n">
        <x:f>J73*F73</x:f>
        <x:v>345558.3537358942</x:v>
      </x:c>
      <x:c r="M73" s="20" t="n">
        <x:f>K73*F73</x:f>
        <x:v>390055.01678149187</x:v>
      </x:c>
      <x:c r="N73" s="19" t="n"/>
      <x:c r="O73" s="19" t="n">
        <x:v>4436894</x:v>
      </x:c>
      <x:c r="P73" s="21" t="n"/>
      <x:c r="Q73" s="21" t="n">
        <x:v>86</x:v>
      </x:c>
      <x:c r="R73" s="16" t="inlineStr">
        <x:is>
          <x:t xml:space="preserve">primary</x:t>
        </x:is>
      </x:c>
      <x:c r="S73" s="16" t="inlineStr">
        <x:is>
          <x:t xml:space="preserve">lower_edge_scale</x:t>
        </x:is>
      </x:c>
      <x:c r="T73" s="17" t="inlineStr">
        <x:is>
          <x:t xml:space="preserve">47-5677755</x:t>
        </x:is>
      </x:c>
      <x:c r="U73" s="17" t="inlineStr">
        <x:is>
          <x:t xml:space="preserve">202523219349310552</x:t>
        </x:is>
      </x:c>
      <x:c r="V73" s="16" t="inlineStr">
        <x:is>
          <x:t xml:space="preserve">https://apps.irs.gov/pub/epostcard/990/xml/2025/202523219349310552_public.xml</x:t>
        </x:is>
      </x:c>
      <x:c r="W73" s="16" t="inlineStr">
        <x:is>
          <x:t xml:space="preserve">https://projects.propublica.org/nonprofits/organizations/475677755</x:t>
        </x:is>
      </x:c>
    </x:row>
    <x:row r="74">
      <x:c r="A74" s="17" t="inlineStr">
        <x:is>
          <x:t xml:space="preserve">Quincy Institute for Responsible Statecraft</x:t>
        </x:is>
      </x:c>
      <x:c r="B74" s="17" t="inlineStr">
        <x:is>
          <x:t xml:space="preserve">A</x:t>
        </x:is>
      </x:c>
      <x:c r="C74" s="17" t="inlineStr">
        <x:is>
          <x:t xml:space="preserve">EA-adjacent</x:t>
        </x:is>
      </x:c>
      <x:c r="D74" s="17" t="inlineStr">
        <x:is>
          <x:t xml:space="preserve">Chief Executive Officer</x:t>
        </x:is>
      </x:c>
      <x:c r="E74" s="17" t="n">
        <x:v>2024</x:v>
      </x:c>
      <x:c r="F74" s="18" t="n">
        <x:v>1.06448800377019</x:v>
      </x:c>
      <x:c r="G74" s="19" t="n">
        <x:v>287373</x:v>
      </x:c>
      <x:c r="H74" s="19" t="n">
        <x:v>0</x:v>
      </x:c>
      <x:c r="I74" s="19" t="n">
        <x:v>52655</x:v>
      </x:c>
      <x:c r="J74" s="20" t="n">
        <x:f>G74+H74</x:f>
        <x:v>287373</x:v>
      </x:c>
      <x:c r="K74" s="20" t="n">
        <x:f>J74+I74</x:f>
        <x:v>340028</x:v>
      </x:c>
      <x:c r="L74" s="20" t="n">
        <x:f>J74*F74</x:f>
        <x:v>305905.1111074508</x:v>
      </x:c>
      <x:c r="M74" s="20" t="n">
        <x:f>K74*F74</x:f>
        <x:v>361955.7269459702</x:v>
      </x:c>
      <x:c r="N74" s="19" t="n"/>
      <x:c r="O74" s="19" t="n">
        <x:v>7389743</x:v>
      </x:c>
      <x:c r="P74" s="21" t="n"/>
      <x:c r="Q74" s="21" t="n">
        <x:v>91</x:v>
      </x:c>
      <x:c r="R74" s="16" t="inlineStr">
        <x:is>
          <x:t xml:space="preserve">primary</x:t>
        </x:is>
      </x:c>
      <x:c r="S74" s="16" t="inlineStr">
        <x:is>
          <x:t xml:space="preserve">none</x:t>
        </x:is>
      </x:c>
      <x:c r="T74" s="17" t="inlineStr">
        <x:is>
          <x:t xml:space="preserve">84-2285143</x:t>
        </x:is>
      </x:c>
      <x:c r="U74" s="17" t="inlineStr">
        <x:is>
          <x:t xml:space="preserve">202523169349300137</x:t>
        </x:is>
      </x:c>
      <x:c r="V74" s="16" t="inlineStr">
        <x:is>
          <x:t xml:space="preserve">https://apps.irs.gov/pub/epostcard/990/xml/2025/202523169349300137_public.xml</x:t>
        </x:is>
      </x:c>
      <x:c r="W74" s="16" t="inlineStr">
        <x:is>
          <x:t xml:space="preserve">https://projects.propublica.org/nonprofits/organizations/842285143</x:t>
        </x:is>
      </x:c>
    </x:row>
    <x:row r="75">
      <x:c r="A75" s="17" t="inlineStr">
        <x:is>
          <x:t xml:space="preserve">Center for a New American Security</x:t>
        </x:is>
      </x:c>
      <x:c r="B75" s="17" t="inlineStr">
        <x:is>
          <x:t xml:space="preserve">A</x:t>
        </x:is>
      </x:c>
      <x:c r="C75" s="17" t="inlineStr">
        <x:is>
          <x:t xml:space="preserve">EA-adjacent</x:t>
        </x:is>
      </x:c>
      <x:c r="D75" s="17" t="inlineStr">
        <x:is>
          <x:t xml:space="preserve">CEO</x:t>
        </x:is>
      </x:c>
      <x:c r="E75" s="17" t="n">
        <x:v>2023</x:v>
      </x:c>
      <x:c r="F75" s="18" t="n">
        <x:v>1.095885345744019</x:v>
      </x:c>
      <x:c r="G75" s="19" t="n">
        <x:v>777325</x:v>
      </x:c>
      <x:c r="H75" s="19" t="n">
        <x:v>0</x:v>
      </x:c>
      <x:c r="I75" s="19" t="n">
        <x:v>0</x:v>
      </x:c>
      <x:c r="J75" s="20" t="n">
        <x:f>G75+H75</x:f>
        <x:v>777325</x:v>
      </x:c>
      <x:c r="K75" s="20" t="n">
        <x:f>J75+I75</x:f>
        <x:v>777325</x:v>
      </x:c>
      <x:c r="L75" s="20" t="n">
        <x:f>J75*F75</x:f>
        <x:v>851859.0763804695</x:v>
      </x:c>
      <x:c r="M75" s="20" t="n">
        <x:f>K75*F75</x:f>
        <x:v>851859.0763804695</x:v>
      </x:c>
      <x:c r="N75" s="19" t="n"/>
      <x:c r="O75" s="19" t="n">
        <x:v>13803095</x:v>
      </x:c>
      <x:c r="P75" s="21" t="n"/>
      <x:c r="Q75" s="21" t="n">
        <x:v>86</x:v>
      </x:c>
      <x:c r="R75" s="16" t="inlineStr">
        <x:is>
          <x:t xml:space="preserve">primary</x:t>
        </x:is>
      </x:c>
      <x:c r="S75" s="16" t="inlineStr">
        <x:is>
          <x:t xml:space="preserve">none</x:t>
        </x:is>
      </x:c>
      <x:c r="T75" s="17" t="inlineStr">
        <x:is>
          <x:t xml:space="preserve">20-8084828</x:t>
        </x:is>
      </x:c>
      <x:c r="U75" s="17" t="inlineStr">
        <x:is>
          <x:t xml:space="preserve">202542329349300819</x:t>
        </x:is>
      </x:c>
      <x:c r="V75" s="16" t="inlineStr">
        <x:is>
          <x:t xml:space="preserve">https://apps.irs.gov/pub/epostcard/990/xml/2025/202542329349300819_public.xml</x:t>
        </x:is>
      </x:c>
      <x:c r="W75" s="16" t="inlineStr">
        <x:is>
          <x:t xml:space="preserve">https://projects.propublica.org/nonprofits/organizations/208084828</x:t>
        </x:is>
      </x:c>
    </x:row>
    <x:row r="76">
      <x:c r="A76" s="17" t="inlineStr">
        <x:is>
          <x:t xml:space="preserve">Information Technology and Innovation Foundation</x:t>
        </x:is>
      </x:c>
      <x:c r="B76" s="17" t="inlineStr">
        <x:is>
          <x:t xml:space="preserve">A</x:t>
        </x:is>
      </x:c>
      <x:c r="C76" s="17" t="inlineStr">
        <x:is>
          <x:t xml:space="preserve">EA-adjacent</x:t>
        </x:is>
      </x:c>
      <x:c r="D76" s="17" t="inlineStr">
        <x:is>
          <x:t xml:space="preserve">President</x:t>
        </x:is>
      </x:c>
      <x:c r="E76" s="17" t="n">
        <x:v>2024</x:v>
      </x:c>
      <x:c r="F76" s="18" t="n">
        <x:v>1.06448800377019</x:v>
      </x:c>
      <x:c r="G76" s="19" t="n">
        <x:v>606902</x:v>
      </x:c>
      <x:c r="H76" s="19" t="n">
        <x:v>0</x:v>
      </x:c>
      <x:c r="I76" s="19" t="n">
        <x:v>41857</x:v>
      </x:c>
      <x:c r="J76" s="20" t="n">
        <x:f>G76+H76</x:f>
        <x:v>606902</x:v>
      </x:c>
      <x:c r="K76" s="20" t="n">
        <x:f>J76+I76</x:f>
        <x:v>648759</x:v>
      </x:c>
      <x:c r="L76" s="20" t="n">
        <x:f>J76*F76</x:f>
        <x:v>646039.8984641358</x:v>
      </x:c>
      <x:c r="M76" s="20" t="n">
        <x:f>K76*F76</x:f>
        <x:v>690596.1728379447</x:v>
      </x:c>
      <x:c r="N76" s="19" t="n"/>
      <x:c r="O76" s="19" t="n">
        <x:v>6925232</x:v>
      </x:c>
      <x:c r="P76" s="21" t="n"/>
      <x:c r="Q76" s="21" t="n">
        <x:v>90</x:v>
      </x:c>
      <x:c r="R76" s="16" t="inlineStr">
        <x:is>
          <x:t xml:space="preserve">primary</x:t>
        </x:is>
      </x:c>
      <x:c r="S76" s="16" t="inlineStr">
        <x:is>
          <x:t xml:space="preserve">none</x:t>
        </x:is>
      </x:c>
      <x:c r="T76" s="17" t="inlineStr">
        <x:is>
          <x:t xml:space="preserve">20-4403497</x:t>
        </x:is>
      </x:c>
      <x:c r="U76" s="17" t="inlineStr">
        <x:is>
          <x:t xml:space="preserve">202630159349300603</x:t>
        </x:is>
      </x:c>
      <x:c r="V76" s="16" t="inlineStr">
        <x:is>
          <x:t xml:space="preserve">https://apps.irs.gov/pub/epostcard/990/xml/2026/202630159349300603_public.xml</x:t>
        </x:is>
      </x:c>
      <x:c r="W76" s="16" t="inlineStr">
        <x:is>
          <x:t xml:space="preserve">https://projects.propublica.org/nonprofits/organizations/204403497</x:t>
        </x:is>
      </x:c>
    </x:row>
    <x:row r="77">
      <x:c r="A77" s="17" t="inlineStr">
        <x:is>
          <x:t xml:space="preserve">Climate Central</x:t>
        </x:is>
      </x:c>
      <x:c r="B77" s="17" t="inlineStr">
        <x:is>
          <x:t xml:space="preserve">A</x:t>
        </x:is>
      </x:c>
      <x:c r="C77" s="17" t="inlineStr">
        <x:is>
          <x:t xml:space="preserve">EA-adjacent</x:t>
        </x:is>
      </x:c>
      <x:c r="D77" s="17" t="inlineStr">
        <x:is>
          <x:t xml:space="preserve">CEO &amp; Chief Scientist</x:t>
        </x:is>
      </x:c>
      <x:c r="E77" s="17" t="n">
        <x:v>2025</x:v>
      </x:c>
      <x:c r="F77" s="18" t="n">
        <x:v>1.037196025383375</x:v>
      </x:c>
      <x:c r="G77" s="19" t="n">
        <x:v>309795</x:v>
      </x:c>
      <x:c r="H77" s="19" t="n">
        <x:v>0</x:v>
      </x:c>
      <x:c r="I77" s="19" t="n">
        <x:v>82196</x:v>
      </x:c>
      <x:c r="J77" s="20" t="n">
        <x:f>G77+H77</x:f>
        <x:v>309795</x:v>
      </x:c>
      <x:c r="K77" s="20" t="n">
        <x:f>J77+I77</x:f>
        <x:v>391991</x:v>
      </x:c>
      <x:c r="L77" s="20" t="n">
        <x:f>J77*F77</x:f>
        <x:v>321318.1426836426</x:v>
      </x:c>
      <x:c r="M77" s="20" t="n">
        <x:f>K77*F77</x:f>
        <x:v>406571.50718605454</x:v>
      </x:c>
      <x:c r="N77" s="19" t="n"/>
      <x:c r="O77" s="19" t="n">
        <x:v>11535677</x:v>
      </x:c>
      <x:c r="P77" s="21" t="n"/>
      <x:c r="Q77" s="21" t="n">
        <x:v>91</x:v>
      </x:c>
      <x:c r="R77" s="16" t="inlineStr">
        <x:is>
          <x:t xml:space="preserve">primary</x:t>
        </x:is>
      </x:c>
      <x:c r="S77" s="16" t="inlineStr">
        <x:is>
          <x:t xml:space="preserve">none</x:t>
        </x:is>
      </x:c>
      <x:c r="T77" s="17" t="inlineStr">
        <x:is>
          <x:t xml:space="preserve">26-1797336</x:t>
        </x:is>
      </x:c>
      <x:c r="U77" s="17" t="inlineStr">
        <x:is>
          <x:t xml:space="preserve">202631769349300823</x:t>
        </x:is>
      </x:c>
      <x:c r="V77" s="16" t="inlineStr">
        <x:is>
          <x:t xml:space="preserve">https://apps.irs.gov/pub/epostcard/990/xml/2026/202631769349300823_public.xml</x:t>
        </x:is>
      </x:c>
      <x:c r="W77" s="16" t="inlineStr">
        <x:is>
          <x:t xml:space="preserve">https://projects.propublica.org/nonprofits/organizations/261797336</x:t>
        </x:is>
      </x:c>
    </x:row>
    <x:row r="78">
      <x:c r="A78" s="17" t="inlineStr">
        <x:is>
          <x:t xml:space="preserve">Breakthrough Institute</x:t>
        </x:is>
      </x:c>
      <x:c r="B78" s="17" t="inlineStr">
        <x:is>
          <x:t xml:space="preserve">A</x:t>
        </x:is>
      </x:c>
      <x:c r="C78" s="17" t="inlineStr">
        <x:is>
          <x:t xml:space="preserve">EA-adjacent</x:t>
        </x:is>
      </x:c>
      <x:c r="D78" s="17" t="inlineStr">
        <x:is>
          <x:t xml:space="preserve">Executive Director</x:t>
        </x:is>
      </x:c>
      <x:c r="E78" s="17" t="n">
        <x:v>2025</x:v>
      </x:c>
      <x:c r="F78" s="18" t="n">
        <x:v>1.037196025383375</x:v>
      </x:c>
      <x:c r="G78" s="19" t="n">
        <x:v>320000</x:v>
      </x:c>
      <x:c r="H78" s="19" t="n">
        <x:v>0</x:v>
      </x:c>
      <x:c r="I78" s="19" t="n">
        <x:v>50737</x:v>
      </x:c>
      <x:c r="J78" s="20" t="n">
        <x:f>G78+H78</x:f>
        <x:v>320000</x:v>
      </x:c>
      <x:c r="K78" s="20" t="n">
        <x:f>J78+I78</x:f>
        <x:v>370737</x:v>
      </x:c>
      <x:c r="L78" s="20" t="n">
        <x:f>J78*F78</x:f>
        <x:v>331902.72812268</x:v>
      </x:c>
      <x:c r="M78" s="20" t="n">
        <x:f>K78*F78</x:f>
        <x:v>384526.94286255626</x:v>
      </x:c>
      <x:c r="N78" s="19" t="n"/>
      <x:c r="O78" s="19" t="n">
        <x:v>5783654</x:v>
      </x:c>
      <x:c r="P78" s="21" t="n"/>
      <x:c r="Q78" s="21" t="n">
        <x:v>88</x:v>
      </x:c>
      <x:c r="R78" s="16" t="inlineStr">
        <x:is>
          <x:t xml:space="preserve">primary</x:t>
        </x:is>
      </x:c>
      <x:c r="S78" s="16" t="inlineStr">
        <x:is>
          <x:t xml:space="preserve">none</x:t>
        </x:is>
      </x:c>
      <x:c r="T78" s="17" t="inlineStr">
        <x:is>
          <x:t xml:space="preserve">81-4526660</x:t>
        </x:is>
      </x:c>
      <x:c r="U78" s="17" t="inlineStr">
        <x:is>
          <x:t xml:space="preserve">202631469349301333</x:t>
        </x:is>
      </x:c>
      <x:c r="V78" s="16" t="inlineStr">
        <x:is>
          <x:t xml:space="preserve">https://apps.irs.gov/pub/epostcard/990/xml/2026/202631469349301333_public.xml</x:t>
        </x:is>
      </x:c>
      <x:c r="W78" s="16" t="inlineStr">
        <x:is>
          <x:t xml:space="preserve">https://projects.propublica.org/nonprofits/organizations/814526660</x:t>
        </x:is>
      </x:c>
    </x:row>
    <x:row r="79">
      <x:c r="A79" s="17" t="inlineStr">
        <x:is>
          <x:t xml:space="preserve">Center for Climate and Energy Solutions</x:t>
        </x:is>
      </x:c>
      <x:c r="B79" s="17" t="inlineStr">
        <x:is>
          <x:t xml:space="preserve">A</x:t>
        </x:is>
      </x:c>
      <x:c r="C79" s="17" t="inlineStr">
        <x:is>
          <x:t xml:space="preserve">EA-adjacent</x:t>
        </x:is>
      </x:c>
      <x:c r="D79" s="17" t="inlineStr">
        <x:is>
          <x:t xml:space="preserve">President</x:t>
        </x:is>
      </x:c>
      <x:c r="E79" s="17" t="n">
        <x:v>2024</x:v>
      </x:c>
      <x:c r="F79" s="18" t="n">
        <x:v>1.06448800377019</x:v>
      </x:c>
      <x:c r="G79" s="19" t="n">
        <x:v>529164</x:v>
      </x:c>
      <x:c r="H79" s="19" t="n">
        <x:v>0</x:v>
      </x:c>
      <x:c r="I79" s="19" t="n">
        <x:v>21504</x:v>
      </x:c>
      <x:c r="J79" s="20" t="n">
        <x:f>G79+H79</x:f>
        <x:v>529164</x:v>
      </x:c>
      <x:c r="K79" s="20" t="n">
        <x:f>J79+I79</x:f>
        <x:v>550668</x:v>
      </x:c>
      <x:c r="L79" s="20" t="n">
        <x:f>J79*F79</x:f>
        <x:v>563288.7300270488</x:v>
      </x:c>
      <x:c r="M79" s="20" t="n">
        <x:f>K79*F79</x:f>
        <x:v>586179.480060123</x:v>
      </x:c>
      <x:c r="N79" s="19" t="n"/>
      <x:c r="O79" s="19" t="n">
        <x:v>20611639</x:v>
      </x:c>
      <x:c r="P79" s="21" t="n"/>
      <x:c r="Q79" s="21" t="n">
        <x:v>88</x:v>
      </x:c>
      <x:c r="R79" s="16" t="inlineStr">
        <x:is>
          <x:t xml:space="preserve">primary_with_structure_flag</x:t>
        </x:is>
      </x:c>
      <x:c r="S79" s="16" t="inlineStr">
        <x:is>
          <x:t xml:space="preserve">upper_edge_scale</x:t>
        </x:is>
      </x:c>
      <x:c r="T79" s="17" t="inlineStr">
        <x:is>
          <x:t xml:space="preserve">54-1892252</x:t>
        </x:is>
      </x:c>
      <x:c r="U79" s="17" t="inlineStr">
        <x:is>
          <x:t xml:space="preserve">202631619349300808</x:t>
        </x:is>
      </x:c>
      <x:c r="V79" s="16" t="inlineStr">
        <x:is>
          <x:t xml:space="preserve">https://apps.irs.gov/pub/epostcard/990/xml/2026/202631619349300808_public.xml</x:t>
        </x:is>
      </x:c>
      <x:c r="W79" s="16" t="inlineStr">
        <x:is>
          <x:t xml:space="preserve">https://projects.propublica.org/nonprofits/organizations/541892252</x:t>
        </x:is>
      </x:c>
    </x:row>
    <x:row r="80">
      <x:c r="A80" s="17" t="inlineStr">
        <x:is>
          <x:t xml:space="preserve">Institute for Energy Economics and Financial Analysis</x:t>
        </x:is>
      </x:c>
      <x:c r="B80" s="17" t="inlineStr">
        <x:is>
          <x:t xml:space="preserve">A</x:t>
        </x:is>
      </x:c>
      <x:c r="C80" s="17" t="inlineStr">
        <x:is>
          <x:t xml:space="preserve">EA-adjacent</x:t>
        </x:is>
      </x:c>
      <x:c r="D80" s="17" t="inlineStr">
        <x:is>
          <x:t xml:space="preserve">CEO/Board Secretary</x:t>
        </x:is>
      </x:c>
      <x:c r="E80" s="17" t="n">
        <x:v>2024</x:v>
      </x:c>
      <x:c r="F80" s="18" t="n">
        <x:v>1.06448800377019</x:v>
      </x:c>
      <x:c r="G80" s="19" t="n">
        <x:v>273000</x:v>
      </x:c>
      <x:c r="H80" s="19" t="n">
        <x:v>0</x:v>
      </x:c>
      <x:c r="I80" s="19" t="n">
        <x:v>32082</x:v>
      </x:c>
      <x:c r="J80" s="20" t="n">
        <x:f>G80+H80</x:f>
        <x:v>273000</x:v>
      </x:c>
      <x:c r="K80" s="20" t="n">
        <x:f>J80+I80</x:f>
        <x:v>305082</x:v>
      </x:c>
      <x:c r="L80" s="20" t="n">
        <x:f>J80*F80</x:f>
        <x:v>290605.2250292619</x:v>
      </x:c>
      <x:c r="M80" s="20" t="n">
        <x:f>K80*F80</x:f>
        <x:v>324756.1291662171</x:v>
      </x:c>
      <x:c r="N80" s="19" t="n"/>
      <x:c r="O80" s="19" t="n">
        <x:v>13341578</x:v>
      </x:c>
      <x:c r="P80" s="21" t="n"/>
      <x:c r="Q80" s="21" t="n">
        <x:v>90</x:v>
      </x:c>
      <x:c r="R80" s="16" t="inlineStr">
        <x:is>
          <x:t xml:space="preserve">primary</x:t>
        </x:is>
      </x:c>
      <x:c r="S80" s="16" t="inlineStr">
        <x:is>
          <x:t xml:space="preserve">none</x:t>
        </x:is>
      </x:c>
      <x:c r="T80" s="17" t="inlineStr">
        <x:is>
          <x:t xml:space="preserve">45-4244605</x:t>
        </x:is>
      </x:c>
      <x:c r="U80" s="17" t="inlineStr">
        <x:is>
          <x:t xml:space="preserve">202541979349300319</x:t>
        </x:is>
      </x:c>
      <x:c r="V80" s="16" t="inlineStr">
        <x:is>
          <x:t xml:space="preserve">https://apps.irs.gov/pub/epostcard/990/xml/2025/202541979349300319_public.xml</x:t>
        </x:is>
      </x:c>
      <x:c r="W80" s="16" t="inlineStr">
        <x:is>
          <x:t xml:space="preserve">https://projects.propublica.org/nonprofits/organizations/454244605</x:t>
        </x:is>
      </x:c>
    </x:row>
    <x:row r="81">
      <x:c r="A81" s="17" t="inlineStr">
        <x:is>
          <x:t xml:space="preserve">Demos</x:t>
        </x:is>
      </x:c>
      <x:c r="B81" s="17" t="inlineStr">
        <x:is>
          <x:t xml:space="preserve">A</x:t>
        </x:is>
      </x:c>
      <x:c r="C81" s="17" t="inlineStr">
        <x:is>
          <x:t xml:space="preserve">EA-adjacent</x:t>
        </x:is>
      </x:c>
      <x:c r="D81" s="17" t="inlineStr">
        <x:is>
          <x:t xml:space="preserve">President</x:t>
        </x:is>
      </x:c>
      <x:c r="E81" s="17" t="n">
        <x:v>2024</x:v>
      </x:c>
      <x:c r="F81" s="18" t="n">
        <x:v>1.06448800377019</x:v>
      </x:c>
      <x:c r="G81" s="19" t="n">
        <x:v>290800</x:v>
      </x:c>
      <x:c r="H81" s="19" t="n">
        <x:v>0</x:v>
      </x:c>
      <x:c r="I81" s="19" t="n">
        <x:v>57692</x:v>
      </x:c>
      <x:c r="J81" s="20" t="n">
        <x:f>G81+H81</x:f>
        <x:v>290800</x:v>
      </x:c>
      <x:c r="K81" s="20" t="n">
        <x:f>J81+I81</x:f>
        <x:v>348492</x:v>
      </x:c>
      <x:c r="L81" s="20" t="n">
        <x:f>J81*F81</x:f>
        <x:v>309553.1114963713</x:v>
      </x:c>
      <x:c r="M81" s="20" t="n">
        <x:f>K81*F81</x:f>
        <x:v>370965.5534098811</x:v>
      </x:c>
      <x:c r="N81" s="19" t="n"/>
      <x:c r="O81" s="19" t="n">
        <x:v>8584066</x:v>
      </x:c>
      <x:c r="P81" s="21" t="n"/>
      <x:c r="Q81" s="21" t="n">
        <x:v>91</x:v>
      </x:c>
      <x:c r="R81" s="16" t="inlineStr">
        <x:is>
          <x:t xml:space="preserve">primary</x:t>
        </x:is>
      </x:c>
      <x:c r="S81" s="16" t="inlineStr">
        <x:is>
          <x:t xml:space="preserve">none</x:t>
        </x:is>
      </x:c>
      <x:c r="T81" s="17" t="inlineStr">
        <x:is>
          <x:t xml:space="preserve">13-4105066</x:t>
        </x:is>
      </x:c>
      <x:c r="U81" s="17" t="inlineStr">
        <x:is>
          <x:t xml:space="preserve">202503159349306085</x:t>
        </x:is>
      </x:c>
      <x:c r="V81" s="16" t="inlineStr">
        <x:is>
          <x:t xml:space="preserve">https://apps.irs.gov/pub/epostcard/990/xml/2025/202503159349306085_public.xml</x:t>
        </x:is>
      </x:c>
      <x:c r="W81" s="16" t="inlineStr">
        <x:is>
          <x:t xml:space="preserve">https://projects.propublica.org/nonprofits/organizations/134105066</x:t>
        </x:is>
      </x:c>
    </x:row>
    <x:row r="82">
      <x:c r="A82" s="17" t="inlineStr">
        <x:is>
          <x:t xml:space="preserve">Vera Institute of Justice</x:t>
        </x:is>
      </x:c>
      <x:c r="B82" s="17" t="inlineStr">
        <x:is>
          <x:t xml:space="preserve">C</x:t>
        </x:is>
      </x:c>
      <x:c r="C82" s="17" t="inlineStr">
        <x:is>
          <x:t xml:space="preserve">functional-only</x:t>
        </x:is>
      </x:c>
      <x:c r="D82" s="17" t="inlineStr">
        <x:is>
          <x:t xml:space="preserve">President</x:t>
        </x:is>
      </x:c>
      <x:c r="E82" s="17" t="n">
        <x:v>2024</x:v>
      </x:c>
      <x:c r="F82" s="18" t="n">
        <x:v>1.06448800377019</x:v>
      </x:c>
      <x:c r="G82" s="19" t="n">
        <x:v>596633</x:v>
      </x:c>
      <x:c r="H82" s="19" t="n">
        <x:v>0</x:v>
      </x:c>
      <x:c r="I82" s="19" t="n">
        <x:v>66532</x:v>
      </x:c>
      <x:c r="J82" s="20" t="n">
        <x:f>G82+H82</x:f>
        <x:v>596633</x:v>
      </x:c>
      <x:c r="K82" s="20" t="n">
        <x:f>J82+I82</x:f>
        <x:v>663165</x:v>
      </x:c>
      <x:c r="L82" s="20" t="n">
        <x:f>J82*F82</x:f>
        <x:v>635108.6711534198</x:v>
      </x:c>
      <x:c r="M82" s="20" t="n">
        <x:f>K82*F82</x:f>
        <x:v>705931.187020258</x:v>
      </x:c>
      <x:c r="N82" s="19" t="n"/>
      <x:c r="O82" s="19" t="n">
        <x:v>50053981</x:v>
      </x:c>
      <x:c r="P82" s="21" t="n"/>
      <x:c r="Q82" s="21" t="n">
        <x:v>72</x:v>
      </x:c>
      <x:c r="R82" s="16" t="inlineStr">
        <x:is>
          <x:t xml:space="preserve">primary_with_structure_flag</x:t>
        </x:is>
      </x:c>
      <x:c r="S82" s="16" t="inlineStr">
        <x:is>
          <x:t xml:space="preserve">large_scale_and_implementation_mix</x:t>
        </x:is>
      </x:c>
      <x:c r="T82" s="17" t="inlineStr">
        <x:is>
          <x:t xml:space="preserve">13-1941627</x:t>
        </x:is>
      </x:c>
      <x:c r="U82" s="17" t="inlineStr">
        <x:is>
          <x:t xml:space="preserve">202631359349314463</x:t>
        </x:is>
      </x:c>
      <x:c r="V82" s="16" t="inlineStr">
        <x:is>
          <x:t xml:space="preserve">https://apps.irs.gov/pub/epostcard/990/xml/2026/202631359349314463_public.xml</x:t>
        </x:is>
      </x:c>
      <x:c r="W82" s="16" t="inlineStr">
        <x:is>
          <x:t xml:space="preserve">https://projects.propublica.org/nonprofits/organizations/131941627</x:t>
        </x:is>
      </x:c>
    </x:row>
    <x:row r="83">
      <x:c r="A83" s="17" t="inlineStr">
        <x:is>
          <x:t xml:space="preserve">Center for Public Integrity</x:t>
        </x:is>
      </x:c>
      <x:c r="B83" s="17" t="inlineStr">
        <x:is>
          <x:t xml:space="preserve">B</x:t>
        </x:is>
      </x:c>
      <x:c r="C83" s="17" t="inlineStr">
        <x:is>
          <x:t xml:space="preserve">EA-adjacent</x:t>
        </x:is>
      </x:c>
      <x:c r="D83" s="17" t="inlineStr">
        <x:is>
          <x:t xml:space="preserve">Chief Executive Officer</x:t>
        </x:is>
      </x:c>
      <x:c r="E83" s="17" t="n">
        <x:v>2023</x:v>
      </x:c>
      <x:c r="F83" s="18" t="n">
        <x:v>1.095885345744019</x:v>
      </x:c>
      <x:c r="G83" s="19" t="n">
        <x:v>306912</x:v>
      </x:c>
      <x:c r="H83" s="19" t="n">
        <x:v>0</x:v>
      </x:c>
      <x:c r="I83" s="19" t="n">
        <x:v>28061</x:v>
      </x:c>
      <x:c r="J83" s="20" t="n">
        <x:f>G83+H83</x:f>
        <x:v>306912</x:v>
      </x:c>
      <x:c r="K83" s="20" t="n">
        <x:f>J83+I83</x:f>
        <x:v>334973</x:v>
      </x:c>
      <x:c r="L83" s="20" t="n">
        <x:f>J83*F83</x:f>
        <x:v>336340.36323298834</x:v>
      </x:c>
      <x:c r="M83" s="20" t="n">
        <x:f>K83*F83</x:f>
        <x:v>367092.00191991124</x:v>
      </x:c>
      <x:c r="N83" s="19" t="n"/>
      <x:c r="O83" s="19" t="n">
        <x:v>6141454</x:v>
      </x:c>
      <x:c r="P83" s="21" t="n"/>
      <x:c r="Q83" s="21" t="n">
        <x:v>84</x:v>
      </x:c>
      <x:c r="R83" s="16" t="inlineStr">
        <x:is>
          <x:t xml:space="preserve">primary_older_clean</x:t>
        </x:is>
      </x:c>
      <x:c r="S83" s="16" t="inlineStr">
        <x:is>
          <x:t xml:space="preserve">older_clean_due_transition</x:t>
        </x:is>
      </x:c>
      <x:c r="T83" s="17" t="inlineStr">
        <x:is>
          <x:t xml:space="preserve">54-1512177</x:t>
        </x:is>
      </x:c>
      <x:c r="U83" s="17" t="inlineStr">
        <x:is>
          <x:t xml:space="preserve">202412399349300756</x:t>
        </x:is>
      </x:c>
      <x:c r="V83" s="16" t="inlineStr">
        <x:is>
          <x:t xml:space="preserve">https://apps.irs.gov/pub/epostcard/990/xml/2024/202412399349300756_public.xml</x:t>
        </x:is>
      </x:c>
      <x:c r="W83" s="16" t="inlineStr">
        <x:is>
          <x:t xml:space="preserve">https://projects.propublica.org/nonprofits/organizations/541512177</x:t>
        </x:is>
      </x:c>
    </x:row>
    <x:row r="84">
      <x:c r="A84" s="17" t="inlineStr">
        <x:is>
          <x:t xml:space="preserve">GivingTuesday</x:t>
        </x:is>
      </x:c>
      <x:c r="B84" s="17" t="inlineStr">
        <x:is>
          <x:t xml:space="preserve">A</x:t>
        </x:is>
      </x:c>
      <x:c r="C84" s="17" t="inlineStr">
        <x:is>
          <x:t xml:space="preserve">EA-adjacent</x:t>
        </x:is>
      </x:c>
      <x:c r="D84" s="17" t="inlineStr">
        <x:is>
          <x:t xml:space="preserve">Chief Executive Officer and President</x:t>
        </x:is>
      </x:c>
      <x:c r="E84" s="17" t="n">
        <x:v>2024</x:v>
      </x:c>
      <x:c r="F84" s="18" t="n">
        <x:v>1.06448800377019</x:v>
      </x:c>
      <x:c r="G84" s="19" t="n">
        <x:v>420352</x:v>
      </x:c>
      <x:c r="H84" s="19" t="n">
        <x:v>0</x:v>
      </x:c>
      <x:c r="I84" s="19" t="n">
        <x:v>42521</x:v>
      </x:c>
      <x:c r="J84" s="20" t="n">
        <x:f>G84+H84</x:f>
        <x:v>420352</x:v>
      </x:c>
      <x:c r="K84" s="20" t="n">
        <x:f>J84+I84</x:f>
        <x:v>462873</x:v>
      </x:c>
      <x:c r="L84" s="20" t="n">
        <x:f>J84*F84</x:f>
        <x:v>447459.6613608069</x:v>
      </x:c>
      <x:c r="M84" s="20" t="n">
        <x:f>K84*F84</x:f>
        <x:v>492722.7557691192</x:v>
      </x:c>
      <x:c r="N84" s="19" t="n"/>
      <x:c r="O84" s="19" t="n">
        <x:v>8638316</x:v>
      </x:c>
      <x:c r="P84" s="21" t="n"/>
      <x:c r="Q84" s="21" t="n">
        <x:v>92</x:v>
      </x:c>
      <x:c r="R84" s="16" t="inlineStr">
        <x:is>
          <x:t xml:space="preserve">primary</x:t>
        </x:is>
      </x:c>
      <x:c r="S84" s="16" t="inlineStr">
        <x:is>
          <x:t xml:space="preserve">none</x:t>
        </x:is>
      </x:c>
      <x:c r="T84" s="17" t="inlineStr">
        <x:is>
          <x:t xml:space="preserve">84-2929872</x:t>
        </x:is>
      </x:c>
      <x:c r="U84" s="17" t="inlineStr">
        <x:is>
          <x:t xml:space="preserve">202601219349300720</x:t>
        </x:is>
      </x:c>
      <x:c r="V84" s="16" t="inlineStr">
        <x:is>
          <x:t xml:space="preserve">https://apps.irs.gov/pub/epostcard/990/xml/2026/202601219349300720_public.xml</x:t>
        </x:is>
      </x:c>
      <x:c r="W84" s="16" t="inlineStr">
        <x:is>
          <x:t xml:space="preserve">https://projects.propublica.org/nonprofits/organizations/842929872</x:t>
        </x:is>
      </x:c>
    </x:row>
    <x:row r="85">
      <x:c r="A85" s="17" t="inlineStr">
        <x:is>
          <x:t xml:space="preserve">Institute for Nonprofit News</x:t>
        </x:is>
      </x:c>
      <x:c r="B85" s="17" t="inlineStr">
        <x:is>
          <x:t xml:space="preserve">A</x:t>
        </x:is>
      </x:c>
      <x:c r="C85" s="17" t="inlineStr">
        <x:is>
          <x:t xml:space="preserve">functional-only</x:t>
        </x:is>
      </x:c>
      <x:c r="D85" s="17" t="inlineStr">
        <x:is>
          <x:t xml:space="preserve">Chief Executive Officer</x:t>
        </x:is>
      </x:c>
      <x:c r="E85" s="17" t="n">
        <x:v>2024</x:v>
      </x:c>
      <x:c r="F85" s="18" t="n">
        <x:v>1.06448800377019</x:v>
      </x:c>
      <x:c r="G85" s="19" t="n">
        <x:v>214828</x:v>
      </x:c>
      <x:c r="H85" s="19" t="n">
        <x:v>0</x:v>
      </x:c>
      <x:c r="I85" s="19" t="n">
        <x:v>0</x:v>
      </x:c>
      <x:c r="J85" s="20" t="n">
        <x:f>G85+H85</x:f>
        <x:v>214828</x:v>
      </x:c>
      <x:c r="K85" s="20" t="n">
        <x:f>J85+I85</x:f>
        <x:v>214828</x:v>
      </x:c>
      <x:c r="L85" s="20" t="n">
        <x:f>J85*F85</x:f>
        <x:v>228681.82887394237</x:v>
      </x:c>
      <x:c r="M85" s="20" t="n">
        <x:f>K85*F85</x:f>
        <x:v>228681.82887394237</x:v>
      </x:c>
      <x:c r="N85" s="19" t="n"/>
      <x:c r="O85" s="19" t="n">
        <x:v>15663213</x:v>
      </x:c>
      <x:c r="P85" s="21" t="n"/>
      <x:c r="Q85" s="21" t="n">
        <x:v>87</x:v>
      </x:c>
      <x:c r="R85" s="16" t="inlineStr">
        <x:is>
          <x:t xml:space="preserve">primary</x:t>
        </x:is>
      </x:c>
      <x:c r="S85" s="16" t="inlineStr">
        <x:is>
          <x:t xml:space="preserve">membership_and_grant_support_mix</x:t>
        </x:is>
      </x:c>
      <x:c r="T85" s="17" t="inlineStr">
        <x:is>
          <x:t xml:space="preserve">27-2614911</x:t>
        </x:is>
      </x:c>
      <x:c r="U85" s="17" t="inlineStr">
        <x:is>
          <x:t xml:space="preserve">202630269349301213</x:t>
        </x:is>
      </x:c>
      <x:c r="V85" s="16" t="inlineStr">
        <x:is>
          <x:t xml:space="preserve">https://apps.irs.gov/pub/epostcard/990/xml/2026/202630269349301213_public.xml</x:t>
        </x:is>
      </x:c>
      <x:c r="W85" s="16" t="inlineStr">
        <x:is>
          <x:t xml:space="preserve">https://projects.propublica.org/nonprofits/organizations/272614911</x:t>
        </x:is>
      </x:c>
    </x:row>
    <x:row r="86">
      <x:c r="A86" s="17" t="inlineStr">
        <x:is>
          <x:t xml:space="preserve">Creative Commons</x:t>
        </x:is>
      </x:c>
      <x:c r="B86" s="17" t="inlineStr">
        <x:is>
          <x:t xml:space="preserve">B</x:t>
        </x:is>
      </x:c>
      <x:c r="C86" s="17" t="inlineStr">
        <x:is>
          <x:t xml:space="preserve">EA-adjacent</x:t>
        </x:is>
      </x:c>
      <x:c r="D86" s="17" t="inlineStr">
        <x:is>
          <x:t xml:space="preserve">Chief Executive Officer</x:t>
        </x:is>
      </x:c>
      <x:c r="E86" s="17" t="n">
        <x:v>2024</x:v>
      </x:c>
      <x:c r="F86" s="18" t="n">
        <x:v>1.06448800377019</x:v>
      </x:c>
      <x:c r="G86" s="19" t="n">
        <x:v>230000</x:v>
      </x:c>
      <x:c r="H86" s="19" t="n">
        <x:v>0</x:v>
      </x:c>
      <x:c r="I86" s="19" t="n">
        <x:v>24431</x:v>
      </x:c>
      <x:c r="J86" s="20" t="n">
        <x:f>G86+H86</x:f>
        <x:v>230000</x:v>
      </x:c>
      <x:c r="K86" s="20" t="n">
        <x:f>J86+I86</x:f>
        <x:v>254431</x:v>
      </x:c>
      <x:c r="L86" s="20" t="n">
        <x:f>J86*F86</x:f>
        <x:v>244832.2408671437</x:v>
      </x:c>
      <x:c r="M86" s="20" t="n">
        <x:f>K86*F86</x:f>
        <x:v>270838.7472872532</x:v>
      </x:c>
      <x:c r="N86" s="19" t="n"/>
      <x:c r="O86" s="19" t="n">
        <x:v>3912384</x:v>
      </x:c>
      <x:c r="P86" s="21" t="n"/>
      <x:c r="Q86" s="21" t="n">
        <x:v>88</x:v>
      </x:c>
      <x:c r="R86" s="16" t="inlineStr">
        <x:is>
          <x:t xml:space="preserve">primary</x:t>
        </x:is>
      </x:c>
      <x:c r="S86" s="16" t="inlineStr">
        <x:is>
          <x:t xml:space="preserve">below_primary_scale_global_network</x:t>
        </x:is>
      </x:c>
      <x:c r="T86" s="17" t="inlineStr">
        <x:is>
          <x:t xml:space="preserve">04-3585301</x:t>
        </x:is>
      </x:c>
      <x:c r="U86" s="17" t="inlineStr">
        <x:is>
          <x:t xml:space="preserve">202543179349306294</x:t>
        </x:is>
      </x:c>
      <x:c r="V86" s="16" t="inlineStr">
        <x:is>
          <x:t xml:space="preserve">https://apps.irs.gov/pub/epostcard/990/xml/2025/202543179349306294_public.xml</x:t>
        </x:is>
      </x:c>
      <x:c r="W86" s="16" t="inlineStr">
        <x:is>
          <x:t xml:space="preserve">https://projects.propublica.org/nonprofits/organizations/043585301</x:t>
        </x:is>
      </x:c>
    </x:row>
    <x:row r="87">
      <x:c r="A87" s="17" t="inlineStr">
        <x:is>
          <x:t xml:space="preserve">Sightline Institute</x:t>
        </x:is>
      </x:c>
      <x:c r="B87" s="17" t="inlineStr">
        <x:is>
          <x:t xml:space="preserve">B</x:t>
        </x:is>
      </x:c>
      <x:c r="C87" s="17" t="inlineStr">
        <x:is>
          <x:t xml:space="preserve">functional-only</x:t>
        </x:is>
      </x:c>
      <x:c r="D87" s="17" t="inlineStr">
        <x:is>
          <x:t xml:space="preserve">Executive Director</x:t>
        </x:is>
      </x:c>
      <x:c r="E87" s="17" t="n">
        <x:v>2024</x:v>
      </x:c>
      <x:c r="F87" s="18" t="n">
        <x:v>1.06448800377019</x:v>
      </x:c>
      <x:c r="G87" s="19" t="n">
        <x:v>198548</x:v>
      </x:c>
      <x:c r="H87" s="19" t="n">
        <x:v>0</x:v>
      </x:c>
      <x:c r="I87" s="19" t="n">
        <x:v>29398</x:v>
      </x:c>
      <x:c r="J87" s="20" t="n">
        <x:f>G87+H87</x:f>
        <x:v>198548</x:v>
      </x:c>
      <x:c r="K87" s="20" t="n">
        <x:f>J87+I87</x:f>
        <x:v>227946</x:v>
      </x:c>
      <x:c r="L87" s="20" t="n">
        <x:f>J87*F87</x:f>
        <x:v>211351.9641725637</x:v>
      </x:c>
      <x:c r="M87" s="20" t="n">
        <x:f>K87*F87</x:f>
        <x:v>242645.78250739974</x:v>
      </x:c>
      <x:c r="N87" s="19" t="n"/>
      <x:c r="O87" s="19" t="n">
        <x:v>3249823</x:v>
      </x:c>
      <x:c r="P87" s="21" t="n"/>
      <x:c r="Q87" s="21" t="n">
        <x:v>82</x:v>
      </x:c>
      <x:c r="R87" s="16" t="inlineStr">
        <x:is>
          <x:t xml:space="preserve">primary</x:t>
        </x:is>
      </x:c>
      <x:c r="S87" s="16" t="inlineStr">
        <x:is>
          <x:t xml:space="preserve">below_primary_scale_regional</x:t>
        </x:is>
      </x:c>
      <x:c r="T87" s="17" t="inlineStr">
        <x:is>
          <x:t xml:space="preserve">52-1833599</x:t>
        </x:is>
      </x:c>
      <x:c r="U87" s="17" t="inlineStr">
        <x:is>
          <x:t xml:space="preserve">202522249349300332</x:t>
        </x:is>
      </x:c>
      <x:c r="V87" s="16" t="inlineStr">
        <x:is>
          <x:t xml:space="preserve">https://apps.irs.gov/pub/epostcard/990/xml/2025/202522249349300332_public.xml</x:t>
        </x:is>
      </x:c>
      <x:c r="W87" s="16" t="inlineStr">
        <x:is>
          <x:t xml:space="preserve">https://projects.propublica.org/nonprofits/organizations/521833599</x:t>
        </x:is>
      </x:c>
    </x:row>
    <x:row r="88">
      <x:c r="A88" s="17" t="inlineStr">
        <x:is>
          <x:t xml:space="preserve">Clean Air Task Force</x:t>
        </x:is>
      </x:c>
      <x:c r="B88" s="17" t="inlineStr">
        <x:is>
          <x:t xml:space="preserve">C</x:t>
        </x:is>
      </x:c>
      <x:c r="C88" s="17" t="inlineStr">
        <x:is>
          <x:t xml:space="preserve">EA-adjacent</x:t>
        </x:is>
      </x:c>
      <x:c r="D88" s="17" t="inlineStr">
        <x:is>
          <x:t xml:space="preserve">Executive Director</x:t>
        </x:is>
      </x:c>
      <x:c r="E88" s="17" t="n">
        <x:v>2024</x:v>
      </x:c>
      <x:c r="F88" s="18" t="n">
        <x:v>1.06448800377019</x:v>
      </x:c>
      <x:c r="G88" s="19" t="n">
        <x:v>350340</x:v>
      </x:c>
      <x:c r="H88" s="19" t="n">
        <x:v>0</x:v>
      </x:c>
      <x:c r="I88" s="19" t="n">
        <x:v>45275</x:v>
      </x:c>
      <x:c r="J88" s="20" t="n">
        <x:f>G88+H88</x:f>
        <x:v>350340</x:v>
      </x:c>
      <x:c r="K88" s="20" t="n">
        <x:f>J88+I88</x:f>
        <x:v>395615</x:v>
      </x:c>
      <x:c r="L88" s="20" t="n">
        <x:f>J88*F88</x:f>
        <x:v>372932.72724084835</x:v>
      </x:c>
      <x:c r="M88" s="20" t="n">
        <x:f>K88*F88</x:f>
        <x:v>421127.42161154374</x:v>
      </x:c>
      <x:c r="N88" s="19" t="n"/>
      <x:c r="O88" s="19" t="n">
        <x:v>40445925</x:v>
      </x:c>
      <x:c r="P88" s="21" t="n"/>
      <x:c r="Q88" s="21" t="n">
        <x:v>75</x:v>
      </x:c>
      <x:c r="R88" s="16" t="inlineStr">
        <x:is>
          <x:t xml:space="preserve">primary_with_structure_flag</x:t>
        </x:is>
      </x:c>
      <x:c r="S88" s="16" t="inlineStr">
        <x:is>
          <x:t xml:space="preserve">above_primary_scale</x:t>
        </x:is>
      </x:c>
      <x:c r="T88" s="17" t="inlineStr">
        <x:is>
          <x:t xml:space="preserve">04-3512550</x:t>
        </x:is>
      </x:c>
      <x:c r="U88" s="17" t="inlineStr">
        <x:is>
          <x:t xml:space="preserve">202522829349300322</x:t>
        </x:is>
      </x:c>
      <x:c r="V88" s="16" t="inlineStr">
        <x:is>
          <x:t xml:space="preserve">https://apps.irs.gov/pub/epostcard/990/xml/2025/202522829349300322_public.xml</x:t>
        </x:is>
      </x:c>
      <x:c r="W88" s="16" t="inlineStr">
        <x:is>
          <x:t xml:space="preserve">https://projects.propublica.org/nonprofits/organizations/043512550</x:t>
        </x:is>
      </x:c>
    </x:row>
    <x:row r="89">
      <x:c r="A89" s="17" t="inlineStr">
        <x:is>
          <x:t xml:space="preserve">Sentient Media</x:t>
        </x:is>
      </x:c>
      <x:c r="B89" s="17" t="inlineStr">
        <x:is>
          <x:t xml:space="preserve">C</x:t>
        </x:is>
      </x:c>
      <x:c r="C89" s="17" t="inlineStr">
        <x:is>
          <x:t xml:space="preserve">EA-adjacent</x:t>
        </x:is>
      </x:c>
      <x:c r="D89" s="17" t="inlineStr">
        <x:is>
          <x:t xml:space="preserve">Executive Director</x:t>
        </x:is>
      </x:c>
      <x:c r="E89" s="17" t="n">
        <x:v>2024</x:v>
      </x:c>
      <x:c r="F89" s="18" t="n">
        <x:v>1.06448800377019</x:v>
      </x:c>
      <x:c r="G89" s="19" t="n">
        <x:v>100000</x:v>
      </x:c>
      <x:c r="H89" s="19" t="n">
        <x:v>0</x:v>
      </x:c>
      <x:c r="I89" s="19" t="n">
        <x:v>0</x:v>
      </x:c>
      <x:c r="J89" s="20" t="n">
        <x:f>G89+H89</x:f>
        <x:v>100000</x:v>
      </x:c>
      <x:c r="K89" s="20" t="n">
        <x:f>J89+I89</x:f>
        <x:v>100000</x:v>
      </x:c>
      <x:c r="L89" s="20" t="n">
        <x:f>J89*F89</x:f>
        <x:v>106448.800377019</x:v>
      </x:c>
      <x:c r="M89" s="20" t="n">
        <x:f>K89*F89</x:f>
        <x:v>106448.800377019</x:v>
      </x:c>
      <x:c r="N89" s="19" t="n"/>
      <x:c r="O89" s="19" t="n">
        <x:v>1194078</x:v>
      </x:c>
      <x:c r="P89" s="21" t="n"/>
      <x:c r="Q89" s="21" t="n">
        <x:v>69</x:v>
      </x:c>
      <x:c r="R89" s="16" t="inlineStr">
        <x:is>
          <x:t xml:space="preserve">primary_with_structure_flag</x:t>
        </x:is>
      </x:c>
      <x:c r="S89" s="16" t="inlineStr">
        <x:is>
          <x:t xml:space="preserve">well_below_scale_media_model</x:t>
        </x:is>
      </x:c>
      <x:c r="T89" s="17" t="inlineStr">
        <x:is>
          <x:t xml:space="preserve">83-0804345</x:t>
        </x:is>
      </x:c>
      <x:c r="U89" s="17" t="inlineStr">
        <x:is>
          <x:t xml:space="preserve">202512829349301726</x:t>
        </x:is>
      </x:c>
      <x:c r="V89" s="16" t="inlineStr">
        <x:is>
          <x:t xml:space="preserve">https://apps.irs.gov/pub/epostcard/990/xml/2025/202512829349301726_public.xml</x:t>
        </x:is>
      </x:c>
      <x:c r="W89" s="16" t="inlineStr">
        <x:is>
          <x:t xml:space="preserve">https://projects.propublica.org/nonprofits/organizations/830804345</x:t>
        </x:is>
      </x:c>
    </x:row>
    <x:row r="90">
      <x:c r="A90" s="17" t="inlineStr">
        <x:is>
          <x:t xml:space="preserve">Project Healthy Children</x:t>
        </x:is>
      </x:c>
      <x:c r="B90" s="17" t="inlineStr">
        <x:is>
          <x:t xml:space="preserve">B</x:t>
        </x:is>
      </x:c>
      <x:c r="C90" s="17" t="inlineStr">
        <x:is>
          <x:t xml:space="preserve">EA-adjacent</x:t>
        </x:is>
      </x:c>
      <x:c r="D90" s="17" t="inlineStr">
        <x:is>
          <x:t xml:space="preserve">President and Chief Executive Officer</x:t>
        </x:is>
      </x:c>
      <x:c r="E90" s="17" t="n">
        <x:v>2022</x:v>
      </x:c>
      <x:c r="F90" s="18" t="n">
        <x:v>1.140995369974885</x:v>
      </x:c>
      <x:c r="G90" s="19" t="n">
        <x:v>97940</x:v>
      </x:c>
      <x:c r="H90" s="19" t="n">
        <x:v>0</x:v>
      </x:c>
      <x:c r="I90" s="19" t="n">
        <x:v>114549</x:v>
      </x:c>
      <x:c r="J90" s="20" t="n">
        <x:f>G90+H90</x:f>
        <x:v>97940</x:v>
      </x:c>
      <x:c r="K90" s="20" t="n">
        <x:f>J90+I90</x:f>
        <x:v>212489</x:v>
      </x:c>
      <x:c r="L90" s="20" t="n">
        <x:f>J90*F90</x:f>
        <x:v>111749.08653534023</x:v>
      </x:c>
      <x:c r="M90" s="20" t="n">
        <x:f>K90*F90</x:f>
        <x:v>242448.96517059332</x:v>
      </x:c>
      <x:c r="N90" s="19" t="n"/>
      <x:c r="O90" s="19" t="n">
        <x:v>9122441</x:v>
      </x:c>
      <x:c r="P90" s="21" t="n"/>
      <x:c r="Q90" s="21" t="n">
        <x:v>83</x:v>
      </x:c>
      <x:c r="R90" s="16" t="inlineStr">
        <x:is>
          <x:t xml:space="preserve">primary_older_clean</x:t>
        </x:is>
      </x:c>
      <x:c r="S90" s="16" t="inlineStr">
        <x:is>
          <x:t xml:space="preserve">unusually_high_other_compensation_older_clean</x:t>
        </x:is>
      </x:c>
      <x:c r="T90" s="17" t="inlineStr">
        <x:is>
          <x:t xml:space="preserve">83-0396815</x:t>
        </x:is>
      </x:c>
      <x:c r="U90" s="17" t="inlineStr">
        <x:is>
          <x:t xml:space="preserve">202422259349302007</x:t>
        </x:is>
      </x:c>
      <x:c r="V90" s="16" t="inlineStr">
        <x:is>
          <x:t xml:space="preserve">https://apps.irs.gov/pub/epostcard/990/xml/2024/202422259349302007_public.xml</x:t>
        </x:is>
      </x:c>
      <x:c r="W90" s="16" t="inlineStr">
        <x:is>
          <x:t xml:space="preserve">https://projects.propublica.org/nonprofits/organizations/830396815</x:t>
        </x:is>
      </x:c>
    </x:row>
    <x:row r="91">
      <x:c r="A91" s="17" t="inlineStr">
        <x:is>
          <x:t xml:space="preserve">Environmental Law Institute</x:t>
        </x:is>
      </x:c>
      <x:c r="B91" s="17" t="inlineStr">
        <x:is>
          <x:t xml:space="preserve">A</x:t>
        </x:is>
      </x:c>
      <x:c r="C91" s="17" t="inlineStr">
        <x:is>
          <x:t xml:space="preserve">functional-only</x:t>
        </x:is>
      </x:c>
      <x:c r="D91" s="17" t="inlineStr">
        <x:is>
          <x:t xml:space="preserve">President</x:t>
        </x:is>
      </x:c>
      <x:c r="E91" s="17" t="n">
        <x:v>2024</x:v>
      </x:c>
      <x:c r="F91" s="18" t="n">
        <x:v>1.06448800377019</x:v>
      </x:c>
      <x:c r="G91" s="19" t="n">
        <x:v>300743</x:v>
      </x:c>
      <x:c r="H91" s="19" t="n">
        <x:v>0</x:v>
      </x:c>
      <x:c r="I91" s="19" t="n">
        <x:v>20344</x:v>
      </x:c>
      <x:c r="J91" s="20" t="n">
        <x:f>G91+H91</x:f>
        <x:v>300743</x:v>
      </x:c>
      <x:c r="K91" s="20" t="n">
        <x:f>J91+I91</x:f>
        <x:v>321087</x:v>
      </x:c>
      <x:c r="L91" s="20" t="n">
        <x:f>J91*F91</x:f>
        <x:v>320137.31571785826</x:v>
      </x:c>
      <x:c r="M91" s="20" t="n">
        <x:f>K91*F91</x:f>
        <x:v>341793.259666559</x:v>
      </x:c>
      <x:c r="N91" s="19" t="n"/>
      <x:c r="O91" s="19" t="n">
        <x:v>8907598</x:v>
      </x:c>
      <x:c r="P91" s="21" t="n"/>
      <x:c r="Q91" s="21" t="n">
        <x:v>90</x:v>
      </x:c>
      <x:c r="R91" s="16" t="inlineStr">
        <x:is>
          <x:t xml:space="preserve">primary</x:t>
        </x:is>
      </x:c>
      <x:c r="S91" s="16" t="inlineStr">
        <x:is>
          <x:t xml:space="preserve">none</x:t>
        </x:is>
      </x:c>
      <x:c r="T91" s="17" t="inlineStr">
        <x:is>
          <x:t xml:space="preserve">52-0901863</x:t>
        </x:is>
      </x:c>
      <x:c r="U91" s="17" t="inlineStr">
        <x:is>
          <x:t xml:space="preserve">202522619349300012</x:t>
        </x:is>
      </x:c>
      <x:c r="V91" s="16" t="inlineStr">
        <x:is>
          <x:t xml:space="preserve">https://apps.irs.gov/pub/epostcard/990/xml/2025/202522619349300012_public.xml</x:t>
        </x:is>
      </x:c>
      <x:c r="W91" s="16" t="inlineStr">
        <x:is>
          <x:t xml:space="preserve">https://projects.propublica.org/nonprofits/organizations/520901863</x:t>
        </x:is>
      </x:c>
    </x:row>
    <x:row r="92">
      <x:c r="A92" s="17" t="inlineStr">
        <x:is>
          <x:t xml:space="preserve">Food Animal Concerns Trust</x:t>
        </x:is>
      </x:c>
      <x:c r="B92" s="17" t="inlineStr">
        <x:is>
          <x:t xml:space="preserve">C</x:t>
        </x:is>
      </x:c>
      <x:c r="C92" s="17" t="inlineStr">
        <x:is>
          <x:t xml:space="preserve">EA-adjacent</x:t>
        </x:is>
      </x:c>
      <x:c r="D92" s="17" t="inlineStr">
        <x:is>
          <x:t xml:space="preserve">Executive Director</x:t>
        </x:is>
      </x:c>
      <x:c r="E92" s="17" t="n">
        <x:v>2024</x:v>
      </x:c>
      <x:c r="F92" s="18" t="n">
        <x:v>1.06448800377019</x:v>
      </x:c>
      <x:c r="G92" s="19" t="n">
        <x:v>124934</x:v>
      </x:c>
      <x:c r="H92" s="19" t="n">
        <x:v>0</x:v>
      </x:c>
      <x:c r="I92" s="19" t="n">
        <x:v>0</x:v>
      </x:c>
      <x:c r="J92" s="20" t="n">
        <x:f>G92+H92</x:f>
        <x:v>124934</x:v>
      </x:c>
      <x:c r="K92" s="20" t="n">
        <x:f>J92+I92</x:f>
        <x:v>124934</x:v>
      </x:c>
      <x:c r="L92" s="20" t="n">
        <x:f>J92*F92</x:f>
        <x:v>132990.7442630249</x:v>
      </x:c>
      <x:c r="M92" s="20" t="n">
        <x:f>K92*F92</x:f>
        <x:v>132990.7442630249</x:v>
      </x:c>
      <x:c r="N92" s="19" t="n"/>
      <x:c r="O92" s="19" t="n">
        <x:v>1058203</x:v>
      </x:c>
      <x:c r="P92" s="21" t="n"/>
      <x:c r="Q92" s="21" t="n">
        <x:v>65</x:v>
      </x:c>
      <x:c r="R92" s="16" t="inlineStr">
        <x:is>
          <x:t xml:space="preserve">primary_with_structure_flag</x:t>
        </x:is>
      </x:c>
      <x:c r="S92" s="16" t="inlineStr">
        <x:is>
          <x:t xml:space="preserve">well_below_scale</x:t>
        </x:is>
      </x:c>
      <x:c r="T92" s="17" t="inlineStr">
        <x:is>
          <x:t xml:space="preserve">36-3172605</x:t>
        </x:is>
      </x:c>
      <x:c r="U92" s="17" t="inlineStr">
        <x:is>
          <x:t xml:space="preserve">202620149349300022</x:t>
        </x:is>
      </x:c>
      <x:c r="V92" s="16" t="inlineStr">
        <x:is>
          <x:t xml:space="preserve">https://apps.irs.gov/pub/epostcard/990/xml/2026/202620149349300022_public.xml</x:t>
        </x:is>
      </x:c>
      <x:c r="W92" s="16" t="inlineStr">
        <x:is>
          <x:t xml:space="preserve">https://projects.propublica.org/nonprofits/organizations/363172605</x:t>
        </x:is>
      </x:c>
    </x:row>
    <x:row r="93">
      <x:c r="A93" s="17" t="inlineStr">
        <x:is>
          <x:t xml:space="preserve">Internet Security Research Group</x:t>
        </x:is>
      </x:c>
      <x:c r="B93" s="17" t="inlineStr">
        <x:is>
          <x:t xml:space="preserve">A</x:t>
        </x:is>
      </x:c>
      <x:c r="C93" s="17" t="inlineStr">
        <x:is>
          <x:t xml:space="preserve">EA-adjacent</x:t>
        </x:is>
      </x:c>
      <x:c r="D93" s="17" t="inlineStr">
        <x:is>
          <x:t xml:space="preserve">Executive Director</x:t>
        </x:is>
      </x:c>
      <x:c r="E93" s="17" t="n">
        <x:v>2024</x:v>
      </x:c>
      <x:c r="F93" s="18" t="n">
        <x:v>1.06448800377019</x:v>
      </x:c>
      <x:c r="G93" s="19" t="n">
        <x:v>352850</x:v>
      </x:c>
      <x:c r="H93" s="19" t="n">
        <x:v>0</x:v>
      </x:c>
      <x:c r="I93" s="19" t="n">
        <x:v>44856</x:v>
      </x:c>
      <x:c r="J93" s="20" t="n">
        <x:f>G93+H93</x:f>
        <x:v>352850</x:v>
      </x:c>
      <x:c r="K93" s="20" t="n">
        <x:f>J93+I93</x:f>
        <x:v>397706</x:v>
      </x:c>
      <x:c r="L93" s="20" t="n">
        <x:f>J93*F93</x:f>
        <x:v>375604.59213031153</x:v>
      </x:c>
      <x:c r="M93" s="20" t="n">
        <x:f>K93*F93</x:f>
        <x:v>423353.2660274272</x:v>
      </x:c>
      <x:c r="N93" s="19" t="n"/>
      <x:c r="O93" s="19" t="n">
        <x:v>7925896</x:v>
      </x:c>
      <x:c r="P93" s="21" t="n"/>
      <x:c r="Q93" s="21" t="n">
        <x:v>91</x:v>
      </x:c>
      <x:c r="R93" s="16" t="inlineStr">
        <x:is>
          <x:t xml:space="preserve">primary</x:t>
        </x:is>
      </x:c>
      <x:c r="S93" s="16" t="inlineStr">
        <x:is>
          <x:t xml:space="preserve">none</x:t>
        </x:is>
      </x:c>
      <x:c r="T93" s="17" t="inlineStr">
        <x:is>
          <x:t xml:space="preserve">46-3344200</x:t>
        </x:is>
      </x:c>
      <x:c r="U93" s="17" t="inlineStr">
        <x:is>
          <x:t xml:space="preserve">202501889349300640</x:t>
        </x:is>
      </x:c>
      <x:c r="V93" s="16" t="inlineStr">
        <x:is>
          <x:t xml:space="preserve">https://apps.irs.gov/pub/epostcard/990/xml/2025/202501889349300640_public.xml</x:t>
        </x:is>
      </x:c>
      <x:c r="W93" s="16" t="inlineStr">
        <x:is>
          <x:t xml:space="preserve">https://projects.propublica.org/nonprofits/organizations/463344200</x:t>
        </x:is>
      </x:c>
    </x:row>
    <x:row r="94">
      <x:c r="A94" s="17" t="inlineStr">
        <x:is>
          <x:t xml:space="preserve">Arms Control Association</x:t>
        </x:is>
      </x:c>
      <x:c r="B94" s="17" t="inlineStr">
        <x:is>
          <x:t xml:space="preserve">C</x:t>
        </x:is>
      </x:c>
      <x:c r="C94" s="17" t="inlineStr">
        <x:is>
          <x:t xml:space="preserve">EA-adjacent</x:t>
        </x:is>
      </x:c>
      <x:c r="D94" s="17" t="inlineStr">
        <x:is>
          <x:t xml:space="preserve">Executive Director</x:t>
        </x:is>
      </x:c>
      <x:c r="E94" s="17" t="n">
        <x:v>2024</x:v>
      </x:c>
      <x:c r="F94" s="18" t="n">
        <x:v>1.06448800377019</x:v>
      </x:c>
      <x:c r="G94" s="19" t="n">
        <x:v>124630</x:v>
      </x:c>
      <x:c r="H94" s="19" t="n">
        <x:v>0</x:v>
      </x:c>
      <x:c r="I94" s="19" t="n">
        <x:v>51984</x:v>
      </x:c>
      <x:c r="J94" s="20" t="n">
        <x:f>G94+H94</x:f>
        <x:v>124630</x:v>
      </x:c>
      <x:c r="K94" s="20" t="n">
        <x:f>J94+I94</x:f>
        <x:v>176614</x:v>
      </x:c>
      <x:c r="L94" s="20" t="n">
        <x:f>J94*F94</x:f>
        <x:v>132667.13990987878</x:v>
      </x:c>
      <x:c r="M94" s="20" t="n">
        <x:f>K94*F94</x:f>
        <x:v>188003.48429786833</x:v>
      </x:c>
      <x:c r="N94" s="19" t="n"/>
      <x:c r="O94" s="19" t="n">
        <x:v>1689329</x:v>
      </x:c>
      <x:c r="P94" s="21" t="n"/>
      <x:c r="Q94" s="21" t="n">
        <x:v>69</x:v>
      </x:c>
      <x:c r="R94" s="16" t="inlineStr">
        <x:is>
          <x:t xml:space="preserve">primary_with_structure_flag</x:t>
        </x:is>
      </x:c>
      <x:c r="S94" s="16" t="inlineStr">
        <x:is>
          <x:t xml:space="preserve">well_below_scale</x:t>
        </x:is>
      </x:c>
      <x:c r="T94" s="17" t="inlineStr">
        <x:is>
          <x:t xml:space="preserve">23-7124588</x:t>
        </x:is>
      </x:c>
      <x:c r="U94" s="17" t="inlineStr">
        <x:is>
          <x:t xml:space="preserve">202621349349307892</x:t>
        </x:is>
      </x:c>
      <x:c r="V94" s="16" t="inlineStr">
        <x:is>
          <x:t xml:space="preserve">https://apps.irs.gov/pub/epostcard/990/xml/2026/202621349349307892_public.xml</x:t>
        </x:is>
      </x:c>
      <x:c r="W94" s="16" t="inlineStr">
        <x:is>
          <x:t xml:space="preserve">https://projects.propublica.org/nonprofits/organizations/237124588</x:t>
        </x:is>
      </x:c>
    </x:row>
    <x:row r="95">
      <x:c r="A95" s="17" t="inlineStr">
        <x:is>
          <x:t xml:space="preserve">Physicians for Social Responsibility</x:t>
        </x:is>
      </x:c>
      <x:c r="B95" s="17" t="inlineStr">
        <x:is>
          <x:t xml:space="preserve">C</x:t>
        </x:is>
      </x:c>
      <x:c r="C95" s="17" t="inlineStr">
        <x:is>
          <x:t xml:space="preserve">EA-adjacent</x:t>
        </x:is>
      </x:c>
      <x:c r="D95" s="17" t="inlineStr">
        <x:is>
          <x:t xml:space="preserve">Executive Director</x:t>
        </x:is>
      </x:c>
      <x:c r="E95" s="17" t="n">
        <x:v>2024</x:v>
      </x:c>
      <x:c r="F95" s="18" t="n">
        <x:v>1.06448800377019</x:v>
      </x:c>
      <x:c r="G95" s="19" t="n">
        <x:v>150000</x:v>
      </x:c>
      <x:c r="H95" s="19" t="n">
        <x:v>0</x:v>
      </x:c>
      <x:c r="I95" s="19" t="n">
        <x:v>3000</x:v>
      </x:c>
      <x:c r="J95" s="20" t="n">
        <x:f>G95+H95</x:f>
        <x:v>150000</x:v>
      </x:c>
      <x:c r="K95" s="20" t="n">
        <x:f>J95+I95</x:f>
        <x:v>153000</x:v>
      </x:c>
      <x:c r="L95" s="20" t="n">
        <x:f>J95*F95</x:f>
        <x:v>159673.2005655285</x:v>
      </x:c>
      <x:c r="M95" s="20" t="n">
        <x:f>K95*F95</x:f>
        <x:v>162866.66457683907</x:v>
      </x:c>
      <x:c r="N95" s="19" t="n"/>
      <x:c r="O95" s="19" t="n">
        <x:v>2180066</x:v>
      </x:c>
      <x:c r="P95" s="21" t="n"/>
      <x:c r="Q95" s="21" t="n">
        <x:v>68</x:v>
      </x:c>
      <x:c r="R95" s="16" t="inlineStr">
        <x:is>
          <x:t xml:space="preserve">primary_with_structure_flag</x:t>
        </x:is>
      </x:c>
      <x:c r="S95" s="16" t="inlineStr">
        <x:is>
          <x:t xml:space="preserve">well_below_scale_membership_advocacy</x:t>
        </x:is>
      </x:c>
      <x:c r="T95" s="17" t="inlineStr">
        <x:is>
          <x:t xml:space="preserve">23-7059731</x:t>
        </x:is>
      </x:c>
      <x:c r="U95" s="17" t="inlineStr">
        <x:is>
          <x:t xml:space="preserve">202512749349301461</x:t>
        </x:is>
      </x:c>
      <x:c r="V95" s="16" t="inlineStr">
        <x:is>
          <x:t xml:space="preserve">https://apps.irs.gov/pub/epostcard/990/xml/2025/202512749349301461_public.xml</x:t>
        </x:is>
      </x:c>
      <x:c r="W95" s="16" t="inlineStr">
        <x:is>
          <x:t xml:space="preserve">https://projects.propublica.org/nonprofits/organizations/237059731</x:t>
        </x:is>
      </x:c>
    </x:row>
    <x:row r="96">
      <x:c r="A96" s="17" t="inlineStr">
        <x:is>
          <x:t xml:space="preserve">Institute for the Study of War</x:t>
        </x:is>
      </x:c>
      <x:c r="B96" s="17" t="inlineStr">
        <x:is>
          <x:t xml:space="preserve">A</x:t>
        </x:is>
      </x:c>
      <x:c r="C96" s="17" t="inlineStr">
        <x:is>
          <x:t xml:space="preserve">EA-adjacent</x:t>
        </x:is>
      </x:c>
      <x:c r="D96" s="17" t="inlineStr">
        <x:is>
          <x:t xml:space="preserve">President</x:t>
        </x:is>
      </x:c>
      <x:c r="E96" s="17" t="n">
        <x:v>2024</x:v>
      </x:c>
      <x:c r="F96" s="18" t="n">
        <x:v>1.06448800377019</x:v>
      </x:c>
      <x:c r="G96" s="19" t="n">
        <x:v>221040</x:v>
      </x:c>
      <x:c r="H96" s="19" t="n">
        <x:v>0</x:v>
      </x:c>
      <x:c r="I96" s="19" t="n">
        <x:v>8400</x:v>
      </x:c>
      <x:c r="J96" s="20" t="n">
        <x:f>G96+H96</x:f>
        <x:v>221040</x:v>
      </x:c>
      <x:c r="K96" s="20" t="n">
        <x:f>J96+I96</x:f>
        <x:v>229440</x:v>
      </x:c>
      <x:c r="L96" s="20" t="n">
        <x:f>J96*F96</x:f>
        <x:v>235294.4283533628</x:v>
      </x:c>
      <x:c r="M96" s="20" t="n">
        <x:f>K96*F96</x:f>
        <x:v>244236.1275850324</x:v>
      </x:c>
      <x:c r="N96" s="19" t="n"/>
      <x:c r="O96" s="19" t="n">
        <x:v>6699775</x:v>
      </x:c>
      <x:c r="P96" s="21" t="n"/>
      <x:c r="Q96" s="21" t="n">
        <x:v>89</x:v>
      </x:c>
      <x:c r="R96" s="16" t="inlineStr">
        <x:is>
          <x:t xml:space="preserve">primary</x:t>
        </x:is>
      </x:c>
      <x:c r="S96" s="16" t="inlineStr">
        <x:is>
          <x:t xml:space="preserve">none</x:t>
        </x:is>
      </x:c>
      <x:c r="T96" s="17" t="inlineStr">
        <x:is>
          <x:t xml:space="preserve">26-0273675</x:t>
        </x:is>
      </x:c>
      <x:c r="U96" s="17" t="inlineStr">
        <x:is>
          <x:t xml:space="preserve">202502909349301720</x:t>
        </x:is>
      </x:c>
      <x:c r="V96" s="16" t="inlineStr">
        <x:is>
          <x:t xml:space="preserve">https://apps.irs.gov/pub/epostcard/990/xml/2025/202502909349301720_public.xml</x:t>
        </x:is>
      </x:c>
      <x:c r="W96" s="16" t="inlineStr">
        <x:is>
          <x:t xml:space="preserve">https://projects.propublica.org/nonprofits/organizations/260273675</x:t>
        </x:is>
      </x:c>
    </x:row>
    <x:row r="97">
      <x:c r="A97" s="17" t="inlineStr">
        <x:is>
          <x:t xml:space="preserve">Learning Policy Institute</x:t>
        </x:is>
      </x:c>
      <x:c r="B97" s="17" t="inlineStr">
        <x:is>
          <x:t xml:space="preserve">A</x:t>
        </x:is>
      </x:c>
      <x:c r="C97" s="17" t="inlineStr">
        <x:is>
          <x:t xml:space="preserve">functional-only</x:t>
        </x:is>
      </x:c>
      <x:c r="D97" s="17" t="inlineStr">
        <x:is>
          <x:t xml:space="preserve">Director/CEO</x:t>
        </x:is>
      </x:c>
      <x:c r="E97" s="17" t="n">
        <x:v>2024</x:v>
      </x:c>
      <x:c r="F97" s="18" t="n">
        <x:v>1.06448800377019</x:v>
      </x:c>
      <x:c r="G97" s="19" t="n">
        <x:v>493225</x:v>
      </x:c>
      <x:c r="H97" s="19" t="n">
        <x:v>0</x:v>
      </x:c>
      <x:c r="I97" s="19" t="n">
        <x:v>83122</x:v>
      </x:c>
      <x:c r="J97" s="20" t="n">
        <x:f>G97+H97</x:f>
        <x:v>493225</x:v>
      </x:c>
      <x:c r="K97" s="20" t="n">
        <x:f>J97+I97</x:f>
        <x:v>576347</x:v>
      </x:c>
      <x:c r="L97" s="20" t="n">
        <x:f>J97*F97</x:f>
        <x:v>525032.095659552</x:v>
      </x:c>
      <x:c r="M97" s="20" t="n">
        <x:f>K97*F97</x:f>
        <x:v>613514.4675089377</x:v>
      </x:c>
      <x:c r="N97" s="19" t="n"/>
      <x:c r="O97" s="19" t="n">
        <x:v>16502674</x:v>
      </x:c>
      <x:c r="P97" s="21" t="n"/>
      <x:c r="Q97" s="21" t="n">
        <x:v>87</x:v>
      </x:c>
      <x:c r="R97" s="16" t="inlineStr">
        <x:is>
          <x:t xml:space="preserve">primary_with_structure_flag</x:t>
        </x:is>
      </x:c>
      <x:c r="S97" s="16" t="inlineStr">
        <x:is>
          <x:t xml:space="preserve">dual_senior_executive</x:t>
        </x:is>
      </x:c>
      <x:c r="T97" s="17" t="inlineStr">
        <x:is>
          <x:t xml:space="preserve">47-2772048</x:t>
        </x:is>
      </x:c>
      <x:c r="U97" s="17" t="inlineStr">
        <x:is>
          <x:t xml:space="preserve">202503179349312065</x:t>
        </x:is>
      </x:c>
      <x:c r="V97" s="16" t="inlineStr">
        <x:is>
          <x:t xml:space="preserve">https://apps.irs.gov/pub/epostcard/990/xml/2025/202503179349312065_public.xml</x:t>
        </x:is>
      </x:c>
      <x:c r="W97" s="16" t="inlineStr">
        <x:is>
          <x:t xml:space="preserve">https://projects.propublica.org/nonprofits/organizations/472772048</x:t>
        </x:is>
      </x:c>
    </x:row>
    <x:row r="98">
      <x:c r="A98" s="17" t="inlineStr">
        <x:is>
          <x:t xml:space="preserve">Center for Health Care Strategies</x:t>
        </x:is>
      </x:c>
      <x:c r="B98" s="17" t="inlineStr">
        <x:is>
          <x:t xml:space="preserve">A</x:t>
        </x:is>
      </x:c>
      <x:c r="C98" s="17" t="inlineStr">
        <x:is>
          <x:t xml:space="preserve">functional-only</x:t>
        </x:is>
      </x:c>
      <x:c r="D98" s="17" t="inlineStr">
        <x:is>
          <x:t xml:space="preserve">President &amp; CEO</x:t>
        </x:is>
      </x:c>
      <x:c r="E98" s="17" t="n">
        <x:v>2024</x:v>
      </x:c>
      <x:c r="F98" s="18" t="n">
        <x:v>1.06448800377019</x:v>
      </x:c>
      <x:c r="G98" s="19" t="n">
        <x:v>328553</x:v>
      </x:c>
      <x:c r="H98" s="19" t="n">
        <x:v>0</x:v>
      </x:c>
      <x:c r="I98" s="19" t="n">
        <x:v>67345</x:v>
      </x:c>
      <x:c r="J98" s="20" t="n">
        <x:f>G98+H98</x:f>
        <x:v>328553</x:v>
      </x:c>
      <x:c r="K98" s="20" t="n">
        <x:f>J98+I98</x:f>
        <x:v>395898</x:v>
      </x:c>
      <x:c r="L98" s="20" t="n">
        <x:f>J98*F98</x:f>
        <x:v>349740.72710270726</x:v>
      </x:c>
      <x:c r="M98" s="20" t="n">
        <x:f>K98*F98</x:f>
        <x:v>421428.67171661067</x:v>
      </x:c>
      <x:c r="N98" s="19" t="n"/>
      <x:c r="O98" s="19" t="n">
        <x:v>12363722</x:v>
      </x:c>
      <x:c r="P98" s="21" t="n"/>
      <x:c r="Q98" s="21" t="n">
        <x:v>91</x:v>
      </x:c>
      <x:c r="R98" s="16" t="inlineStr">
        <x:is>
          <x:t xml:space="preserve">primary</x:t>
        </x:is>
      </x:c>
      <x:c r="S98" s="16" t="inlineStr">
        <x:is>
          <x:t xml:space="preserve">none</x:t>
        </x:is>
      </x:c>
      <x:c r="T98" s="17" t="inlineStr">
        <x:is>
          <x:t xml:space="preserve">22-3375015</x:t>
        </x:is>
      </x:c>
      <x:c r="U98" s="17" t="inlineStr">
        <x:is>
          <x:t xml:space="preserve">202631279349304653</x:t>
        </x:is>
      </x:c>
      <x:c r="V98" s="16" t="inlineStr">
        <x:is>
          <x:t xml:space="preserve">https://apps.irs.gov/pub/epostcard/990/xml/2026/202631279349304653_public.xml</x:t>
        </x:is>
      </x:c>
      <x:c r="W98" s="16" t="inlineStr">
        <x:is>
          <x:t xml:space="preserve">https://projects.propublica.org/nonprofits/organizations/223375015</x:t>
        </x:is>
      </x:c>
    </x:row>
    <x:row r="99">
      <x:c r="A99" s="17" t="inlineStr">
        <x:is>
          <x:t xml:space="preserve">National Academy for State Health Policy</x:t>
        </x:is>
      </x:c>
      <x:c r="B99" s="17" t="inlineStr">
        <x:is>
          <x:t xml:space="preserve">A</x:t>
        </x:is>
      </x:c>
      <x:c r="C99" s="17" t="inlineStr">
        <x:is>
          <x:t xml:space="preserve">functional-only</x:t>
        </x:is>
      </x:c>
      <x:c r="D99" s="17" t="inlineStr">
        <x:is>
          <x:t xml:space="preserve">President / Executive Director</x:t>
        </x:is>
      </x:c>
      <x:c r="E99" s="17" t="n">
        <x:v>2024</x:v>
      </x:c>
      <x:c r="F99" s="18" t="n">
        <x:v>1.06448800377019</x:v>
      </x:c>
      <x:c r="G99" s="19" t="n">
        <x:v>404414</x:v>
      </x:c>
      <x:c r="H99" s="19" t="n">
        <x:v>0</x:v>
      </x:c>
      <x:c r="I99" s="19" t="n">
        <x:v>53206</x:v>
      </x:c>
      <x:c r="J99" s="20" t="n">
        <x:f>G99+H99</x:f>
        <x:v>404414</x:v>
      </x:c>
      <x:c r="K99" s="20" t="n">
        <x:f>J99+I99</x:f>
        <x:v>457620</x:v>
      </x:c>
      <x:c r="L99" s="20" t="n">
        <x:f>J99*F99</x:f>
        <x:v>430493.85155671765</x:v>
      </x:c>
      <x:c r="M99" s="20" t="n">
        <x:f>K99*F99</x:f>
        <x:v>487131.00028531434</x:v>
      </x:c>
      <x:c r="N99" s="19" t="n"/>
      <x:c r="O99" s="19" t="n">
        <x:v>11008991</x:v>
      </x:c>
      <x:c r="P99" s="21" t="n"/>
      <x:c r="Q99" s="21" t="n">
        <x:v>91</x:v>
      </x:c>
      <x:c r="R99" s="16" t="inlineStr">
        <x:is>
          <x:t xml:space="preserve">primary</x:t>
        </x:is>
      </x:c>
      <x:c r="S99" s="16" t="inlineStr">
        <x:is>
          <x:t xml:space="preserve">none</x:t>
        </x:is>
      </x:c>
      <x:c r="T99" s="17" t="inlineStr">
        <x:is>
          <x:t xml:space="preserve">52-1576801</x:t>
        </x:is>
      </x:c>
      <x:c r="U99" s="17" t="inlineStr">
        <x:is>
          <x:t xml:space="preserve">202503179349302775</x:t>
        </x:is>
      </x:c>
      <x:c r="V99" s="16" t="inlineStr">
        <x:is>
          <x:t xml:space="preserve">https://apps.irs.gov/pub/epostcard/990/xml/2025/202503179349302775_public.xml</x:t>
        </x:is>
      </x:c>
      <x:c r="W99" s="16" t="inlineStr">
        <x:is>
          <x:t xml:space="preserve">https://projects.propublica.org/nonprofits/organizations/521576801</x:t>
        </x:is>
      </x:c>
    </x:row>
    <x:row r="100">
      <x:c r="A100" s="17" t="inlineStr">
        <x:is>
          <x:t xml:space="preserve">Carbon Mapper</x:t>
        </x:is>
      </x:c>
      <x:c r="B100" s="17" t="inlineStr">
        <x:is>
          <x:t xml:space="preserve">A</x:t>
        </x:is>
      </x:c>
      <x:c r="C100" s="17" t="inlineStr">
        <x:is>
          <x:t xml:space="preserve">EA-adjacent</x:t>
        </x:is>
      </x:c>
      <x:c r="D100" s="17" t="inlineStr">
        <x:is>
          <x:t xml:space="preserve">Director &amp; CEO</x:t>
        </x:is>
      </x:c>
      <x:c r="E100" s="17" t="n">
        <x:v>2024</x:v>
      </x:c>
      <x:c r="F100" s="18" t="n">
        <x:v>1.06448800377019</x:v>
      </x:c>
      <x:c r="G100" s="19" t="n">
        <x:v>273487</x:v>
      </x:c>
      <x:c r="H100" s="19" t="n">
        <x:v>0</x:v>
      </x:c>
      <x:c r="I100" s="19" t="n">
        <x:v>27410</x:v>
      </x:c>
      <x:c r="J100" s="20" t="n">
        <x:f>G100+H100</x:f>
        <x:v>273487</x:v>
      </x:c>
      <x:c r="K100" s="20" t="n">
        <x:f>J100+I100</x:f>
        <x:v>300897</x:v>
      </x:c>
      <x:c r="L100" s="20" t="n">
        <x:f>J100*F100</x:f>
        <x:v>291123.63068709796</x:v>
      </x:c>
      <x:c r="M100" s="20" t="n">
        <x:f>K100*F100</x:f>
        <x:v>320301.24687043886</x:v>
      </x:c>
      <x:c r="N100" s="19" t="n"/>
      <x:c r="O100" s="19" t="n">
        <x:v>16084459</x:v>
      </x:c>
      <x:c r="P100" s="21" t="n"/>
      <x:c r="Q100" s="21" t="n">
        <x:v>87</x:v>
      </x:c>
      <x:c r="R100" s="16" t="inlineStr">
        <x:is>
          <x:t xml:space="preserve">primary_with_structure_flag</x:t>
        </x:is>
      </x:c>
      <x:c r="S100" s="16" t="inlineStr">
        <x:is>
          <x:t xml:space="preserve">large_revenue_spike_and_technical_delivery</x:t>
        </x:is>
      </x:c>
      <x:c r="T100" s="17" t="inlineStr">
        <x:is>
          <x:t xml:space="preserve">85-3149996</x:t>
        </x:is>
      </x:c>
      <x:c r="U100" s="17" t="inlineStr">
        <x:is>
          <x:t xml:space="preserve">202630139349300833</x:t>
        </x:is>
      </x:c>
      <x:c r="V100" s="16" t="inlineStr">
        <x:is>
          <x:t xml:space="preserve">https://apps.irs.gov/pub/epostcard/990/xml/2026/202630139349300833_public.xml</x:t>
        </x:is>
      </x:c>
      <x:c r="W100" s="16" t="inlineStr">
        <x:is>
          <x:t xml:space="preserve">https://projects.propublica.org/nonprofits/organizations/853149996</x:t>
        </x:is>
      </x:c>
    </x:row>
    <x:row r="101">
      <x:c r="A101" s="17" t="inlineStr">
        <x:is>
          <x:t xml:space="preserve">Center for Arms Control and Non-Proliferation</x:t>
        </x:is>
      </x:c>
      <x:c r="B101" s="17" t="inlineStr">
        <x:is>
          <x:t xml:space="preserve">C</x:t>
        </x:is>
      </x:c>
      <x:c r="C101" s="17" t="inlineStr">
        <x:is>
          <x:t xml:space="preserve">EA-adjacent</x:t>
        </x:is>
      </x:c>
      <x:c r="D101" s="17" t="inlineStr">
        <x:is>
          <x:t xml:space="preserve">Executive Director</x:t>
        </x:is>
      </x:c>
      <x:c r="E101" s="17" t="n">
        <x:v>2024</x:v>
      </x:c>
      <x:c r="F101" s="18" t="n">
        <x:v>1.06448800377019</x:v>
      </x:c>
      <x:c r="G101" s="19" t="n">
        <x:v>265891</x:v>
      </x:c>
      <x:c r="H101" s="19" t="n">
        <x:v>0</x:v>
      </x:c>
      <x:c r="I101" s="19" t="n">
        <x:v>11467</x:v>
      </x:c>
      <x:c r="J101" s="20" t="n">
        <x:f>G101+H101</x:f>
        <x:v>265891</x:v>
      </x:c>
      <x:c r="K101" s="20" t="n">
        <x:f>J101+I101</x:f>
        <x:v>277358</x:v>
      </x:c>
      <x:c r="L101" s="20" t="n">
        <x:f>J101*F101</x:f>
        <x:v>283037.7798104596</x:v>
      </x:c>
      <x:c r="M101" s="20" t="n">
        <x:f>K101*F101</x:f>
        <x:v>295244.26374969236</x:v>
      </x:c>
      <x:c r="N101" s="19" t="n"/>
      <x:c r="O101" s="19" t="n">
        <x:v>1490265</x:v>
      </x:c>
      <x:c r="P101" s="21" t="n"/>
      <x:c r="Q101" s="21" t="n">
        <x:v>68</x:v>
      </x:c>
      <x:c r="R101" s="16" t="inlineStr">
        <x:is>
          <x:t xml:space="preserve">primary</x:t>
        </x:is>
      </x:c>
      <x:c r="S101" s="16" t="inlineStr">
        <x:is>
          <x:t xml:space="preserve">well_below_scale</x:t>
        </x:is>
      </x:c>
      <x:c r="T101" s="17" t="inlineStr">
        <x:is>
          <x:t xml:space="preserve">04-2693322</x:t>
        </x:is>
      </x:c>
      <x:c r="U101" s="17" t="inlineStr">
        <x:is>
          <x:t xml:space="preserve">202523179349304722</x:t>
        </x:is>
      </x:c>
      <x:c r="V101" s="16" t="inlineStr">
        <x:is>
          <x:t xml:space="preserve">https://apps.irs.gov/pub/epostcard/990/xml/2025/202523179349304722_public.xml</x:t>
        </x:is>
      </x:c>
      <x:c r="W101" s="16" t="inlineStr">
        <x:is>
          <x:t xml:space="preserve">https://projects.propublica.org/nonprofits/organizations/42693322</x:t>
        </x:is>
      </x:c>
    </x:row>
    <x:row r="102">
      <x:c r="A102" s="17" t="inlineStr">
        <x:is>
          <x:t xml:space="preserve">Nuclear Innovation Alliance</x:t>
        </x:is>
      </x:c>
      <x:c r="B102" s="17" t="inlineStr">
        <x:is>
          <x:t xml:space="preserve">C</x:t>
        </x:is>
      </x:c>
      <x:c r="C102" s="17" t="inlineStr">
        <x:is>
          <x:t xml:space="preserve">EA-adjacent</x:t>
        </x:is>
      </x:c>
      <x:c r="D102" s="17" t="inlineStr">
        <x:is>
          <x:t xml:space="preserve">Executive Director</x:t>
        </x:is>
      </x:c>
      <x:c r="E102" s="17" t="n">
        <x:v>2025</x:v>
      </x:c>
      <x:c r="F102" s="18" t="n">
        <x:v>1.037196025383375</x:v>
      </x:c>
      <x:c r="G102" s="19" t="n">
        <x:v>288827</x:v>
      </x:c>
      <x:c r="H102" s="19" t="n">
        <x:v>0</x:v>
      </x:c>
      <x:c r="I102" s="19" t="n">
        <x:v>9285</x:v>
      </x:c>
      <x:c r="J102" s="20" t="n">
        <x:f>G102+H102</x:f>
        <x:v>288827</x:v>
      </x:c>
      <x:c r="K102" s="20" t="n">
        <x:f>J102+I102</x:f>
        <x:v>298112</x:v>
      </x:c>
      <x:c r="L102" s="20" t="n">
        <x:f>J102*F102</x:f>
        <x:v>299570.21642340405</x:v>
      </x:c>
      <x:c r="M102" s="20" t="n">
        <x:f>K102*F102</x:f>
        <x:v>309200.58151908865</x:v>
      </x:c>
      <x:c r="N102" s="19" t="n"/>
      <x:c r="O102" s="19" t="n">
        <x:v>1898039</x:v>
      </x:c>
      <x:c r="P102" s="21" t="n"/>
      <x:c r="Q102" s="21" t="n">
        <x:v>70</x:v>
      </x:c>
      <x:c r="R102" s="16" t="inlineStr">
        <x:is>
          <x:t xml:space="preserve">primary</x:t>
        </x:is>
      </x:c>
      <x:c r="S102" s="16" t="inlineStr">
        <x:is>
          <x:t xml:space="preserve">well_below_scale</x:t>
        </x:is>
      </x:c>
      <x:c r="T102" s="17" t="inlineStr">
        <x:is>
          <x:t xml:space="preserve">37-1859117</x:t>
        </x:is>
      </x:c>
      <x:c r="U102" s="17" t="inlineStr">
        <x:is>
          <x:t xml:space="preserve">202621339349301817</x:t>
        </x:is>
      </x:c>
      <x:c r="V102" s="16" t="inlineStr">
        <x:is>
          <x:t xml:space="preserve">https://apps.irs.gov/pub/epostcard/990/xml/2026/202621339349301817_public.xml</x:t>
        </x:is>
      </x:c>
      <x:c r="W102" s="16" t="inlineStr">
        <x:is>
          <x:t xml:space="preserve">https://projects.propublica.org/nonprofits/organizations/371859117</x:t>
        </x:is>
      </x:c>
    </x:row>
    <x:row r="103">
      <x:c r="A103" s="17" t="inlineStr">
        <x:is>
          <x:t xml:space="preserve">Center for International Policy</x:t>
        </x:is>
      </x:c>
      <x:c r="B103" s="17" t="inlineStr">
        <x:is>
          <x:t xml:space="preserve">C</x:t>
        </x:is>
      </x:c>
      <x:c r="C103" s="17" t="inlineStr">
        <x:is>
          <x:t xml:space="preserve">EA-adjacent</x:t>
        </x:is>
      </x:c>
      <x:c r="D103" s="17" t="inlineStr">
        <x:is>
          <x:t xml:space="preserve">President &amp; CEO</x:t>
        </x:is>
      </x:c>
      <x:c r="E103" s="17" t="n">
        <x:v>2024</x:v>
      </x:c>
      <x:c r="F103" s="18" t="n">
        <x:v>1.06448800377019</x:v>
      </x:c>
      <x:c r="G103" s="19" t="n">
        <x:v>208814</x:v>
      </x:c>
      <x:c r="H103" s="19" t="n">
        <x:v>0</x:v>
      </x:c>
      <x:c r="I103" s="19" t="n">
        <x:v>18062</x:v>
      </x:c>
      <x:c r="J103" s="20" t="n">
        <x:f>G103+H103</x:f>
        <x:v>208814</x:v>
      </x:c>
      <x:c r="K103" s="20" t="n">
        <x:f>J103+I103</x:f>
        <x:v>226876</x:v>
      </x:c>
      <x:c r="L103" s="20" t="n">
        <x:f>J103*F103</x:f>
        <x:v>222279.99801926847</x:v>
      </x:c>
      <x:c r="M103" s="20" t="n">
        <x:f>K103*F103</x:f>
        <x:v>241506.78034336562</x:v>
      </x:c>
      <x:c r="N103" s="19" t="n"/>
      <x:c r="O103" s="19" t="n">
        <x:v>2149942</x:v>
      </x:c>
      <x:c r="P103" s="21" t="n"/>
      <x:c r="Q103" s="21" t="n">
        <x:v>68</x:v>
      </x:c>
      <x:c r="R103" s="16" t="inlineStr">
        <x:is>
          <x:t xml:space="preserve">primary</x:t>
        </x:is>
      </x:c>
      <x:c r="S103" s="16" t="inlineStr">
        <x:is>
          <x:t xml:space="preserve">well_below_scale_and_deficit_year</x:t>
        </x:is>
      </x:c>
      <x:c r="T103" s="17" t="inlineStr">
        <x:is>
          <x:t xml:space="preserve">52-1446207</x:t>
        </x:is>
      </x:c>
      <x:c r="U103" s="17" t="inlineStr">
        <x:is>
          <x:t xml:space="preserve">202513189349309501</x:t>
        </x:is>
      </x:c>
      <x:c r="V103" s="16" t="inlineStr">
        <x:is>
          <x:t xml:space="preserve">https://apps.irs.gov/pub/epostcard/990/xml/2025/202513189349309501_public.xml</x:t>
        </x:is>
      </x:c>
      <x:c r="W103" s="16" t="inlineStr">
        <x:is>
          <x:t xml:space="preserve">https://projects.propublica.org/nonprofits/organizations/521446207</x:t>
        </x:is>
      </x:c>
    </x:row>
    <x:row r="104">
      <x:c r="A104" s="17" t="inlineStr">
        <x:is>
          <x:t xml:space="preserve">American Security Project</x:t>
        </x:is>
      </x:c>
      <x:c r="B104" s="17" t="inlineStr">
        <x:is>
          <x:t xml:space="preserve">C</x:t>
        </x:is>
      </x:c>
      <x:c r="C104" s="17" t="inlineStr">
        <x:is>
          <x:t xml:space="preserve">EA-adjacent</x:t>
        </x:is>
      </x:c>
      <x:c r="D104" s="17" t="inlineStr">
        <x:is>
          <x:t xml:space="preserve">CEO / Treasurer</x:t>
        </x:is>
      </x:c>
      <x:c r="E104" s="17" t="n">
        <x:v>2024</x:v>
      </x:c>
      <x:c r="F104" s="18" t="n">
        <x:v>1.06448800377019</x:v>
      </x:c>
      <x:c r="G104" s="19" t="n">
        <x:v>152667</x:v>
      </x:c>
      <x:c r="H104" s="19" t="n">
        <x:v>0</x:v>
      </x:c>
      <x:c r="I104" s="19" t="n">
        <x:v>7316</x:v>
      </x:c>
      <x:c r="J104" s="20" t="n">
        <x:f>G104+H104</x:f>
        <x:v>152667</x:v>
      </x:c>
      <x:c r="K104" s="20" t="n">
        <x:f>J104+I104</x:f>
        <x:v>159983</x:v>
      </x:c>
      <x:c r="L104" s="20" t="n">
        <x:f>J104*F104</x:f>
        <x:v>162512.1900715836</x:v>
      </x:c>
      <x:c r="M104" s="20" t="n">
        <x:f>K104*F104</x:f>
        <x:v>170299.9843071663</x:v>
      </x:c>
      <x:c r="N104" s="19" t="n"/>
      <x:c r="O104" s="19" t="n">
        <x:v>750155</x:v>
      </x:c>
      <x:c r="P104" s="21" t="n"/>
      <x:c r="Q104" s="21" t="n">
        <x:v>62</x:v>
      </x:c>
      <x:c r="R104" s="16" t="inlineStr">
        <x:is>
          <x:t xml:space="preserve">primary_with_structure_flag</x:t>
        </x:is>
      </x:c>
      <x:c r="S104" s="16" t="inlineStr">
        <x:is>
          <x:t xml:space="preserve">very_small_scale_and_officer_combination</x:t>
        </x:is>
      </x:c>
      <x:c r="T104" s="17" t="inlineStr">
        <x:is>
          <x:t xml:space="preserve">20-4079553</x:t>
        </x:is>
      </x:c>
      <x:c r="U104" s="17" t="inlineStr">
        <x:is>
          <x:t xml:space="preserve">202542279349301744</x:t>
        </x:is>
      </x:c>
      <x:c r="V104" s="16" t="inlineStr">
        <x:is>
          <x:t xml:space="preserve">https://apps.irs.gov/pub/epostcard/990/xml/2025/202542279349301744_public.xml</x:t>
        </x:is>
      </x:c>
      <x:c r="W104" s="16" t="inlineStr">
        <x:is>
          <x:t xml:space="preserve">https://projects.propublica.org/nonprofits/organizations/204079553</x:t>
        </x:is>
      </x:c>
    </x:row>
    <x:row r="105">
      <x:c r="A105" s="17" t="inlineStr">
        <x:is>
          <x:t xml:space="preserve">DataKind</x:t>
        </x:is>
      </x:c>
      <x:c r="B105" s="17" t="inlineStr">
        <x:is>
          <x:t xml:space="preserve">A</x:t>
        </x:is>
      </x:c>
      <x:c r="C105" s="17" t="inlineStr">
        <x:is>
          <x:t xml:space="preserve">EA-adjacent</x:t>
        </x:is>
      </x:c>
      <x:c r="D105" s="17" t="inlineStr">
        <x:is>
          <x:t xml:space="preserve">Chief Executive Officer</x:t>
        </x:is>
      </x:c>
      <x:c r="E105" s="17" t="n">
        <x:v>2024</x:v>
      </x:c>
      <x:c r="F105" s="18" t="n">
        <x:v>1.06448800377019</x:v>
      </x:c>
      <x:c r="G105" s="19" t="n">
        <x:v>230000</x:v>
      </x:c>
      <x:c r="H105" s="19" t="n">
        <x:v>0</x:v>
      </x:c>
      <x:c r="I105" s="19" t="n">
        <x:v>11500</x:v>
      </x:c>
      <x:c r="J105" s="20" t="n">
        <x:f>G105+H105</x:f>
        <x:v>230000</x:v>
      </x:c>
      <x:c r="K105" s="20" t="n">
        <x:f>J105+I105</x:f>
        <x:v>241500</x:v>
      </x:c>
      <x:c r="L105" s="20" t="n">
        <x:f>J105*F105</x:f>
        <x:v>244832.2408671437</x:v>
      </x:c>
      <x:c r="M105" s="20" t="n">
        <x:f>K105*F105</x:f>
        <x:v>257073.8529105009</x:v>
      </x:c>
      <x:c r="N105" s="19" t="n"/>
      <x:c r="O105" s="19" t="n">
        <x:v>7005078</x:v>
      </x:c>
      <x:c r="P105" s="21" t="n"/>
      <x:c r="Q105" s="21" t="n">
        <x:v>92</x:v>
      </x:c>
      <x:c r="R105" s="16" t="inlineStr">
        <x:is>
          <x:t xml:space="preserve">primary</x:t>
        </x:is>
      </x:c>
      <x:c r="S105" s="16" t="inlineStr">
        <x:is>
          <x:t xml:space="preserve">none</x:t>
        </x:is>
      </x:c>
      <x:c r="T105" s="17" t="inlineStr">
        <x:is>
          <x:t xml:space="preserve">46-4082076</x:t>
        </x:is>
      </x:c>
      <x:c r="U105" s="17" t="inlineStr">
        <x:is>
          <x:t xml:space="preserve">202640939349300014</x:t>
        </x:is>
      </x:c>
      <x:c r="V105" s="16" t="inlineStr">
        <x:is>
          <x:t xml:space="preserve">https://apps.irs.gov/pub/epostcard/990/xml/2026/202640939349300014_public.xml</x:t>
        </x:is>
      </x:c>
      <x:c r="W105" s="16" t="inlineStr">
        <x:is>
          <x:t xml:space="preserve">https://projects.propublica.org/nonprofits/organizations/464082076</x:t>
        </x:is>
      </x:c>
    </x:row>
    <x:row r="106">
      <x:c r="A106" s="17" t="inlineStr">
        <x:is>
          <x:t xml:space="preserve">ORCID</x:t>
        </x:is>
      </x:c>
      <x:c r="B106" s="17" t="inlineStr">
        <x:is>
          <x:t xml:space="preserve">A</x:t>
        </x:is>
      </x:c>
      <x:c r="C106" s="17" t="inlineStr">
        <x:is>
          <x:t xml:space="preserve">EA-adjacent</x:t>
        </x:is>
      </x:c>
      <x:c r="D106" s="17" t="inlineStr">
        <x:is>
          <x:t xml:space="preserve">Executive Director</x:t>
        </x:is>
      </x:c>
      <x:c r="E106" s="17" t="n">
        <x:v>2024</x:v>
      </x:c>
      <x:c r="F106" s="18" t="n">
        <x:v>1.06448800377019</x:v>
      </x:c>
      <x:c r="G106" s="19" t="n">
        <x:v>292165</x:v>
      </x:c>
      <x:c r="H106" s="19" t="n">
        <x:v>0</x:v>
      </x:c>
      <x:c r="I106" s="19" t="n">
        <x:v>26746</x:v>
      </x:c>
      <x:c r="J106" s="20" t="n">
        <x:f>G106+H106</x:f>
        <x:v>292165</x:v>
      </x:c>
      <x:c r="K106" s="20" t="n">
        <x:f>J106+I106</x:f>
        <x:v>318911</x:v>
      </x:c>
      <x:c r="L106" s="20" t="n">
        <x:f>J106*F106</x:f>
        <x:v>311006.1376215176</x:v>
      </x:c>
      <x:c r="M106" s="20" t="n">
        <x:f>K106*F106</x:f>
        <x:v>339476.93377035507</x:v>
      </x:c>
      <x:c r="N106" s="19" t="n"/>
      <x:c r="O106" s="19" t="n">
        <x:v>5803116</x:v>
      </x:c>
      <x:c r="P106" s="21" t="n"/>
      <x:c r="Q106" s="21" t="n">
        <x:v>91</x:v>
      </x:c>
      <x:c r="R106" s="16" t="inlineStr">
        <x:is>
          <x:t xml:space="preserve">primary</x:t>
        </x:is>
      </x:c>
      <x:c r="S106" s="16" t="inlineStr">
        <x:is>
          <x:t xml:space="preserve">none</x:t>
        </x:is>
      </x:c>
      <x:c r="T106" s="17" t="inlineStr">
        <x:is>
          <x:t xml:space="preserve">27-5142743</x:t>
        </x:is>
      </x:c>
      <x:c r="U106" s="17" t="inlineStr">
        <x:is>
          <x:t xml:space="preserve">202501769349301020</x:t>
        </x:is>
      </x:c>
      <x:c r="V106" s="16" t="inlineStr">
        <x:is>
          <x:t xml:space="preserve">https://apps.irs.gov/pub/epostcard/990/xml/2025/202501769349301020_public.xml</x:t>
        </x:is>
      </x:c>
      <x:c r="W106" s="16" t="inlineStr">
        <x:is>
          <x:t xml:space="preserve">https://projects.propublica.org/nonprofits/organizations/275142743</x:t>
        </x:is>
      </x:c>
    </x:row>
    <x:row r="107">
      <x:c r="A107" s="17" t="inlineStr">
        <x:is>
          <x:t xml:space="preserve">OpenSecrets</x:t>
        </x:is>
      </x:c>
      <x:c r="B107" s="17" t="inlineStr">
        <x:is>
          <x:t xml:space="preserve">B</x:t>
        </x:is>
      </x:c>
      <x:c r="C107" s="17" t="inlineStr">
        <x:is>
          <x:t xml:space="preserve">functional-only</x:t>
        </x:is>
      </x:c>
      <x:c r="D107" s="17" t="inlineStr">
        <x:is>
          <x:t xml:space="preserve">Executive Director</x:t>
        </x:is>
      </x:c>
      <x:c r="E107" s="17" t="n">
        <x:v>2025</x:v>
      </x:c>
      <x:c r="F107" s="18" t="n">
        <x:v>1.037196025383375</x:v>
      </x:c>
      <x:c r="G107" s="19" t="n">
        <x:v>222497</x:v>
      </x:c>
      <x:c r="H107" s="19" t="n">
        <x:v>0</x:v>
      </x:c>
      <x:c r="I107" s="19" t="n">
        <x:v>12787</x:v>
      </x:c>
      <x:c r="J107" s="20" t="n">
        <x:f>G107+H107</x:f>
        <x:v>222497</x:v>
      </x:c>
      <x:c r="K107" s="20" t="n">
        <x:f>J107+I107</x:f>
        <x:v>235284</x:v>
      </x:c>
      <x:c r="L107" s="20" t="n">
        <x:f>J107*F107</x:f>
        <x:v>230773.00405972477</x:v>
      </x:c>
      <x:c r="M107" s="20" t="n">
        <x:f>K107*F107</x:f>
        <x:v>244035.629636302</x:v>
      </x:c>
      <x:c r="N107" s="19" t="n"/>
      <x:c r="O107" s="19" t="n">
        <x:v>3374050</x:v>
      </x:c>
      <x:c r="P107" s="21" t="n"/>
      <x:c r="Q107" s="21" t="n">
        <x:v>84</x:v>
      </x:c>
      <x:c r="R107" s="16" t="inlineStr">
        <x:is>
          <x:t xml:space="preserve">primary</x:t>
        </x:is>
      </x:c>
      <x:c r="S107" s="16" t="inlineStr">
        <x:is>
          <x:t xml:space="preserve">none</x:t>
        </x:is>
      </x:c>
      <x:c r="T107" s="17" t="inlineStr">
        <x:is>
          <x:t xml:space="preserve">52-1275227</x:t>
        </x:is>
      </x:c>
      <x:c r="U107" s="17" t="inlineStr">
        <x:is>
          <x:t xml:space="preserve">202631979349301803</x:t>
        </x:is>
      </x:c>
      <x:c r="V107" s="16" t="inlineStr">
        <x:is>
          <x:t xml:space="preserve">https://apps.irs.gov/pub/epostcard/990/xml/2026/202631979349301803_public.xml</x:t>
        </x:is>
      </x:c>
      <x:c r="W107" s="16" t="inlineStr">
        <x:is>
          <x:t xml:space="preserve">https://projects.propublica.org/nonprofits/organizations/521275227</x:t>
        </x:is>
      </x:c>
    </x:row>
    <x:row r="108">
      <x:c r="A108" s="17" t="inlineStr">
        <x:is>
          <x:t xml:space="preserve">MuckRock Foundation</x:t>
        </x:is>
      </x:c>
      <x:c r="B108" s="17" t="inlineStr">
        <x:is>
          <x:t xml:space="preserve">B</x:t>
        </x:is>
      </x:c>
      <x:c r="C108" s="17" t="inlineStr">
        <x:is>
          <x:t xml:space="preserve">functional-only</x:t>
        </x:is>
      </x:c>
      <x:c r="D108" s="17" t="inlineStr">
        <x:is>
          <x:t xml:space="preserve">Executive Director</x:t>
        </x:is>
      </x:c>
      <x:c r="E108" s="17" t="n">
        <x:v>2023</x:v>
      </x:c>
      <x:c r="F108" s="18" t="n">
        <x:v>1.095885345744019</x:v>
      </x:c>
      <x:c r="G108" s="19" t="n">
        <x:v>126234</x:v>
      </x:c>
      <x:c r="H108" s="19" t="n">
        <x:v>0</x:v>
      </x:c>
      <x:c r="I108" s="19" t="n">
        <x:v>0</x:v>
      </x:c>
      <x:c r="J108" s="20" t="n">
        <x:f>G108+H108</x:f>
        <x:v>126234</x:v>
      </x:c>
      <x:c r="K108" s="20" t="n">
        <x:f>J108+I108</x:f>
        <x:v>126234</x:v>
      </x:c>
      <x:c r="L108" s="20" t="n">
        <x:f>J108*F108</x:f>
        <x:v>138337.9907346505</x:v>
      </x:c>
      <x:c r="M108" s="20" t="n">
        <x:f>K108*F108</x:f>
        <x:v>138337.9907346505</x:v>
      </x:c>
      <x:c r="N108" s="19" t="n"/>
      <x:c r="O108" s="19" t="n">
        <x:v>3231701</x:v>
      </x:c>
      <x:c r="P108" s="21" t="n"/>
      <x:c r="Q108" s="21" t="n">
        <x:v>82</x:v>
      </x:c>
      <x:c r="R108" s="16" t="inlineStr">
        <x:is>
          <x:t xml:space="preserve">primary_older_clean</x:t>
        </x:is>
      </x:c>
      <x:c r="S108" s="16" t="inlineStr">
        <x:is>
          <x:t xml:space="preserve">latest_filing_no_paid_ed_observation</x:t>
        </x:is>
      </x:c>
      <x:c r="T108" s="17" t="inlineStr">
        <x:is>
          <x:t xml:space="preserve">81-1485228</x:t>
        </x:is>
      </x:c>
      <x:c r="U108" s="17" t="inlineStr">
        <x:is>
          <x:t xml:space="preserve">202403119349300920</x:t>
        </x:is>
      </x:c>
      <x:c r="V108" s="16" t="inlineStr">
        <x:is>
          <x:t xml:space="preserve">https://apps.irs.gov/pub/epostcard/990/xml/2024/202403119349300920_public.xml</x:t>
        </x:is>
      </x:c>
      <x:c r="W108" s="16" t="inlineStr">
        <x:is>
          <x:t xml:space="preserve">https://projects.propublica.org/nonprofits/organizations/811485228</x:t>
        </x:is>
      </x:c>
    </x:row>
    <x:row r="109">
      <x:c r="A109" s="17" t="inlineStr">
        <x:is>
          <x:t xml:space="preserve">NumFOCUS</x:t>
        </x:is>
      </x:c>
      <x:c r="B109" s="17" t="inlineStr">
        <x:is>
          <x:t xml:space="preserve">A</x:t>
        </x:is>
      </x:c>
      <x:c r="C109" s="17" t="inlineStr">
        <x:is>
          <x:t xml:space="preserve">EA-adjacent</x:t>
        </x:is>
      </x:c>
      <x:c r="D109" s="17" t="inlineStr">
        <x:is>
          <x:t xml:space="preserve">Executive Director</x:t>
        </x:is>
      </x:c>
      <x:c r="E109" s="17" t="n">
        <x:v>2024</x:v>
      </x:c>
      <x:c r="F109" s="18" t="n">
        <x:v>1.06448800377019</x:v>
      </x:c>
      <x:c r="G109" s="19" t="n">
        <x:v>156845</x:v>
      </x:c>
      <x:c r="H109" s="19" t="n">
        <x:v>0</x:v>
      </x:c>
      <x:c r="I109" s="19" t="n">
        <x:v>7941</x:v>
      </x:c>
      <x:c r="J109" s="20" t="n">
        <x:f>G109+H109</x:f>
        <x:v>156845</x:v>
      </x:c>
      <x:c r="K109" s="20" t="n">
        <x:f>J109+I109</x:f>
        <x:v>164786</x:v>
      </x:c>
      <x:c r="L109" s="20" t="n">
        <x:f>J109*F109</x:f>
        <x:v>166959.62095133547</x:v>
      </x:c>
      <x:c r="M109" s="20" t="n">
        <x:f>K109*F109</x:f>
        <x:v>175412.72018927452</x:v>
      </x:c>
      <x:c r="N109" s="19" t="n"/>
      <x:c r="O109" s="19" t="n">
        <x:v>11090430</x:v>
      </x:c>
      <x:c r="P109" s="21" t="n"/>
      <x:c r="Q109" s="21" t="n">
        <x:v>89</x:v>
      </x:c>
      <x:c r="R109" s="16" t="inlineStr">
        <x:is>
          <x:t xml:space="preserve">primary_with_structure_flag</x:t>
        </x:is>
      </x:c>
      <x:c r="S109" s="16" t="inlineStr">
        <x:is>
          <x:t xml:space="preserve">open_source_fiscal_sponsor_and_membership_model</x:t>
        </x:is>
      </x:c>
      <x:c r="T109" s="17" t="inlineStr">
        <x:is>
          <x:t xml:space="preserve">45-4547709</x:t>
        </x:is>
      </x:c>
      <x:c r="U109" s="17" t="inlineStr">
        <x:is>
          <x:t xml:space="preserve">202512979349301136</x:t>
        </x:is>
      </x:c>
      <x:c r="V109" s="16" t="inlineStr">
        <x:is>
          <x:t xml:space="preserve">https://apps.irs.gov/pub/epostcard/990/xml/2025/202512979349301136_public.xml</x:t>
        </x:is>
      </x:c>
      <x:c r="W109" s="16" t="inlineStr">
        <x:is>
          <x:t xml:space="preserve">https://projects.propublica.org/nonprofits/organizations/454547709</x:t>
        </x:is>
      </x:c>
    </x:row>
    <x:row r="110">
      <x:c r="A110" s="17" t="inlineStr">
        <x:is>
          <x:t xml:space="preserve">Software Freedom Conservancy</x:t>
        </x:is>
      </x:c>
      <x:c r="B110" s="17" t="inlineStr">
        <x:is>
          <x:t xml:space="preserve">B</x:t>
        </x:is>
      </x:c>
      <x:c r="C110" s="17" t="inlineStr">
        <x:is>
          <x:t xml:space="preserve">EA-adjacent</x:t>
        </x:is>
      </x:c>
      <x:c r="D110" s="17" t="inlineStr">
        <x:is>
          <x:t xml:space="preserve">President and Executive Director</x:t>
        </x:is>
      </x:c>
      <x:c r="E110" s="17" t="n">
        <x:v>2024</x:v>
      </x:c>
      <x:c r="F110" s="18" t="n">
        <x:v>1.06448800377019</x:v>
      </x:c>
      <x:c r="G110" s="19" t="n">
        <x:v>178851</x:v>
      </x:c>
      <x:c r="H110" s="19" t="n">
        <x:v>0</x:v>
      </x:c>
      <x:c r="I110" s="19" t="n">
        <x:v>62291</x:v>
      </x:c>
      <x:c r="J110" s="20" t="n">
        <x:f>G110+H110</x:f>
        <x:v>178851</x:v>
      </x:c>
      <x:c r="K110" s="20" t="n">
        <x:f>J110+I110</x:f>
        <x:v>241142</x:v>
      </x:c>
      <x:c r="L110" s="20" t="n">
        <x:f>J110*F110</x:f>
        <x:v>190384.74396230225</x:v>
      </x:c>
      <x:c r="M110" s="20" t="n">
        <x:f>K110*F110</x:f>
        <x:v>256692.76620515116</x:v>
      </x:c>
      <x:c r="N110" s="19" t="n"/>
      <x:c r="O110" s="19" t="n">
        <x:v>3805350</x:v>
      </x:c>
      <x:c r="P110" s="21" t="n"/>
      <x:c r="Q110" s="21" t="n">
        <x:v>85</x:v>
      </x:c>
      <x:c r="R110" s="16" t="inlineStr">
        <x:is>
          <x:t xml:space="preserve">primary_with_structure_flag</x:t>
        </x:is>
      </x:c>
      <x:c r="S110" s="16" t="inlineStr">
        <x:is>
          <x:t xml:space="preserve">open_source_fiscal_sponsor_model</x:t>
        </x:is>
      </x:c>
      <x:c r="T110" s="17" t="inlineStr">
        <x:is>
          <x:t xml:space="preserve">41-2203632</x:t>
        </x:is>
      </x:c>
      <x:c r="U110" s="17" t="inlineStr">
        <x:is>
          <x:t xml:space="preserve">202640169349300604</x:t>
        </x:is>
      </x:c>
      <x:c r="V110" s="16" t="inlineStr">
        <x:is>
          <x:t xml:space="preserve">https://apps.irs.gov/pub/epostcard/990/xml/2026/202640169349300604_public.xml</x:t>
        </x:is>
      </x:c>
      <x:c r="W110" s="16" t="inlineStr">
        <x:is>
          <x:t xml:space="preserve">https://projects.propublica.org/nonprofits/organizations/412203632</x:t>
        </x:is>
      </x:c>
    </x:row>
    <x:row r="111">
      <x:c r="A111" s="17" t="inlineStr">
        <x:is>
          <x:t xml:space="preserve">Open Source Initiative</x:t>
        </x:is>
      </x:c>
      <x:c r="B111" s="17" t="inlineStr">
        <x:is>
          <x:t xml:space="preserve">C</x:t>
        </x:is>
      </x:c>
      <x:c r="C111" s="17" t="inlineStr">
        <x:is>
          <x:t xml:space="preserve">EA-adjacent</x:t>
        </x:is>
      </x:c>
      <x:c r="D111" s="17" t="inlineStr">
        <x:is>
          <x:t xml:space="preserve">Executive Director</x:t>
        </x:is>
      </x:c>
      <x:c r="E111" s="17" t="n">
        <x:v>2024</x:v>
      </x:c>
      <x:c r="F111" s="18" t="n">
        <x:v>1.06448800377019</x:v>
      </x:c>
      <x:c r="G111" s="19" t="n">
        <x:v>188678</x:v>
      </x:c>
      <x:c r="H111" s="19" t="n">
        <x:v>0</x:v>
      </x:c>
      <x:c r="I111" s="19" t="n">
        <x:v>0</x:v>
      </x:c>
      <x:c r="J111" s="20" t="n">
        <x:f>G111+H111</x:f>
        <x:v>188678</x:v>
      </x:c>
      <x:c r="K111" s="20" t="n">
        <x:f>J111+I111</x:f>
        <x:v>188678</x:v>
      </x:c>
      <x:c r="L111" s="20" t="n">
        <x:f>J111*F111</x:f>
        <x:v>200845.4675753519</x:v>
      </x:c>
      <x:c r="M111" s="20" t="n">
        <x:f>K111*F111</x:f>
        <x:v>200845.4675753519</x:v>
      </x:c>
      <x:c r="N111" s="19" t="n"/>
      <x:c r="O111" s="19" t="n">
        <x:v>1013797</x:v>
      </x:c>
      <x:c r="P111" s="21" t="n"/>
      <x:c r="Q111" s="21" t="n">
        <x:v>70</x:v>
      </x:c>
      <x:c r="R111" s="16" t="inlineStr">
        <x:is>
          <x:t xml:space="preserve">primary_with_structure_flag</x:t>
        </x:is>
      </x:c>
      <x:c r="S111" s="16" t="inlineStr">
        <x:is>
          <x:t xml:space="preserve">well_below_scale_membership_governance</x:t>
        </x:is>
      </x:c>
      <x:c r="T111" s="17" t="inlineStr">
        <x:is>
          <x:t xml:space="preserve">91-2037395</x:t>
        </x:is>
      </x:c>
      <x:c r="U111" s="17" t="inlineStr">
        <x:is>
          <x:t xml:space="preserve">202533079349301473</x:t>
        </x:is>
      </x:c>
      <x:c r="V111" s="16" t="inlineStr">
        <x:is>
          <x:t xml:space="preserve">https://apps.irs.gov/pub/epostcard/990/xml/2025/202533079349301473_public.xml</x:t>
        </x:is>
      </x:c>
      <x:c r="W111" s="16" t="inlineStr">
        <x:is>
          <x:t xml:space="preserve">https://projects.propublica.org/nonprofits/organizations/912037395</x:t>
        </x:is>
      </x:c>
    </x:row>
    <x:row r="112">
      <x:c r="A112" s="17" t="inlineStr">
        <x:is>
          <x:t xml:space="preserve">Grantmakers for Education</x:t>
        </x:is>
      </x:c>
      <x:c r="B112" s="17" t="inlineStr">
        <x:is>
          <x:t xml:space="preserve">B</x:t>
        </x:is>
      </x:c>
      <x:c r="C112" s="17" t="inlineStr">
        <x:is>
          <x:t xml:space="preserve">functional-only</x:t>
        </x:is>
      </x:c>
      <x:c r="D112" s="17" t="inlineStr">
        <x:is>
          <x:t xml:space="preserve">Executive Director</x:t>
        </x:is>
      </x:c>
      <x:c r="E112" s="17" t="n">
        <x:v>2024</x:v>
      </x:c>
      <x:c r="F112" s="18" t="n">
        <x:v>1.06448800377019</x:v>
      </x:c>
      <x:c r="G112" s="19" t="n">
        <x:v>235266</x:v>
      </x:c>
      <x:c r="H112" s="19" t="n">
        <x:v>0</x:v>
      </x:c>
      <x:c r="I112" s="19" t="n">
        <x:v>46749</x:v>
      </x:c>
      <x:c r="J112" s="20" t="n">
        <x:f>G112+H112</x:f>
        <x:v>235266</x:v>
      </x:c>
      <x:c r="K112" s="20" t="n">
        <x:f>J112+I112</x:f>
        <x:v>282015</x:v>
      </x:c>
      <x:c r="L112" s="20" t="n">
        <x:f>J112*F112</x:f>
        <x:v>250437.83469499752</x:v>
      </x:c>
      <x:c r="M112" s="20" t="n">
        <x:f>K112*F112</x:f>
        <x:v>300201.58438325016</x:v>
      </x:c>
      <x:c r="N112" s="19" t="n"/>
      <x:c r="O112" s="19" t="n">
        <x:v>3206947</x:v>
      </x:c>
      <x:c r="P112" s="21" t="n"/>
      <x:c r="Q112" s="21" t="n">
        <x:v>84</x:v>
      </x:c>
      <x:c r="R112" s="16" t="inlineStr">
        <x:is>
          <x:t xml:space="preserve">primary</x:t>
        </x:is>
      </x:c>
      <x:c r="S112" s="16" t="inlineStr">
        <x:is>
          <x:t xml:space="preserve">none</x:t>
        </x:is>
      </x:c>
      <x:c r="T112" s="17" t="inlineStr">
        <x:is>
          <x:t xml:space="preserve">33-0919329</x:t>
        </x:is>
      </x:c>
      <x:c r="U112" s="17" t="inlineStr">
        <x:is>
          <x:t xml:space="preserve">202543079349303299</x:t>
        </x:is>
      </x:c>
      <x:c r="V112" s="16" t="inlineStr">
        <x:is>
          <x:t xml:space="preserve">https://apps.irs.gov/pub/epostcard/990/xml/2025/202543079349303299_public.xml</x:t>
        </x:is>
      </x:c>
      <x:c r="W112" s="16" t="inlineStr">
        <x:is>
          <x:t xml:space="preserve">https://projects.propublica.org/nonprofits/organizations/330919329</x:t>
        </x:is>
      </x:c>
    </x:row>
    <x:row r="113">
      <x:c r="A113" s="17" t="inlineStr">
        <x:is>
          <x:t xml:space="preserve">TechCongress</x:t>
        </x:is>
      </x:c>
      <x:c r="B113" s="17" t="inlineStr">
        <x:is>
          <x:t xml:space="preserve">B</x:t>
        </x:is>
      </x:c>
      <x:c r="C113" s="17" t="inlineStr">
        <x:is>
          <x:t xml:space="preserve">EA-adjacent</x:t>
        </x:is>
      </x:c>
      <x:c r="D113" s="17" t="inlineStr">
        <x:is>
          <x:t xml:space="preserve">Executive Director / Board Secretary</x:t>
        </x:is>
      </x:c>
      <x:c r="E113" s="17" t="n">
        <x:v>2025</x:v>
      </x:c>
      <x:c r="F113" s="18" t="n">
        <x:v>1.037196025383375</x:v>
      </x:c>
      <x:c r="G113" s="19" t="n">
        <x:v>257694</x:v>
      </x:c>
      <x:c r="H113" s="19" t="n">
        <x:v>0</x:v>
      </x:c>
      <x:c r="I113" s="19" t="n">
        <x:v>36211</x:v>
      </x:c>
      <x:c r="J113" s="20" t="n">
        <x:f>G113+H113</x:f>
        <x:v>257694</x:v>
      </x:c>
      <x:c r="K113" s="20" t="n">
        <x:f>J113+I113</x:f>
        <x:v>293905</x:v>
      </x:c>
      <x:c r="L113" s="20" t="n">
        <x:f>J113*F113</x:f>
        <x:v>267279.1925651434</x:v>
      </x:c>
      <x:c r="M113" s="20" t="n">
        <x:f>K113*F113</x:f>
        <x:v>304837.0978403008</x:v>
      </x:c>
      <x:c r="N113" s="19" t="n"/>
      <x:c r="O113" s="19" t="n">
        <x:v>3725264</x:v>
      </x:c>
      <x:c r="P113" s="21" t="n"/>
      <x:c r="Q113" s="21" t="n">
        <x:v>87</x:v>
      </x:c>
      <x:c r="R113" s="16" t="inlineStr">
        <x:is>
          <x:t xml:space="preserve">primary</x:t>
        </x:is>
      </x:c>
      <x:c r="S113" s="16" t="inlineStr">
        <x:is>
          <x:t xml:space="preserve">none</x:t>
        </x:is>
      </x:c>
      <x:c r="T113" s="17" t="inlineStr">
        <x:is>
          <x:t xml:space="preserve">81-1839685</x:t>
        </x:is>
      </x:c>
      <x:c r="U113" s="17" t="inlineStr">
        <x:is>
          <x:t xml:space="preserve">202621959349301032</x:t>
        </x:is>
      </x:c>
      <x:c r="V113" s="16" t="inlineStr">
        <x:is>
          <x:t xml:space="preserve">https://apps.irs.gov/pub/epostcard/990/xml/2026/202621959349301032_public.xml</x:t>
        </x:is>
      </x:c>
      <x:c r="W113" s="16" t="inlineStr">
        <x:is>
          <x:t xml:space="preserve">https://projects.propublica.org/nonprofits/organizations/811839685</x:t>
        </x:is>
      </x:c>
    </x:row>
    <x:row r="114">
      <x:c r="A114" s="17" t="inlineStr">
        <x:is>
          <x:t xml:space="preserve">Global Health Corps</x:t>
        </x:is>
      </x:c>
      <x:c r="B114" s="17" t="inlineStr">
        <x:is>
          <x:t xml:space="preserve">B</x:t>
        </x:is>
      </x:c>
      <x:c r="C114" s="17" t="inlineStr">
        <x:is>
          <x:t xml:space="preserve">EA-adjacent</x:t>
        </x:is>
      </x:c>
      <x:c r="D114" s="17" t="inlineStr">
        <x:is>
          <x:t xml:space="preserve">Chief Executive Officer</x:t>
        </x:is>
      </x:c>
      <x:c r="E114" s="17" t="n">
        <x:v>2024</x:v>
      </x:c>
      <x:c r="F114" s="18" t="n">
        <x:v>1.06448800377019</x:v>
      </x:c>
      <x:c r="G114" s="19" t="n">
        <x:v>233774</x:v>
      </x:c>
      <x:c r="H114" s="19" t="n">
        <x:v>0</x:v>
      </x:c>
      <x:c r="I114" s="19" t="n">
        <x:v>8530</x:v>
      </x:c>
      <x:c r="J114" s="20" t="n">
        <x:f>G114+H114</x:f>
        <x:v>233774</x:v>
      </x:c>
      <x:c r="K114" s="20" t="n">
        <x:f>J114+I114</x:f>
        <x:v>242304</x:v>
      </x:c>
      <x:c r="L114" s="20" t="n">
        <x:f>J114*F114</x:f>
        <x:v>248849.6185933724</x:v>
      </x:c>
      <x:c r="M114" s="20" t="n">
        <x:f>K114*F114</x:f>
        <x:v>257929.70126553212</x:v>
      </x:c>
      <x:c r="N114" s="19" t="n"/>
      <x:c r="O114" s="19" t="n">
        <x:v>3112237</x:v>
      </x:c>
      <x:c r="P114" s="21" t="n"/>
      <x:c r="Q114" s="21" t="n">
        <x:v>80</x:v>
      </x:c>
      <x:c r="R114" s="16" t="inlineStr">
        <x:is>
          <x:t xml:space="preserve">primary_with_structure_flag</x:t>
        </x:is>
      </x:c>
      <x:c r="S114" s="16" t="inlineStr">
        <x:is>
          <x:t xml:space="preserve">talent_fellowship_and_program_delivery_mix</x:t>
        </x:is>
      </x:c>
      <x:c r="T114" s="17" t="inlineStr">
        <x:is>
          <x:t xml:space="preserve">80-0512336</x:t>
        </x:is>
      </x:c>
      <x:c r="U114" s="17" t="inlineStr">
        <x:is>
          <x:t xml:space="preserve">202600139349300115</x:t>
        </x:is>
      </x:c>
      <x:c r="V114" s="16" t="inlineStr">
        <x:is>
          <x:t xml:space="preserve">https://apps.irs.gov/pub/epostcard/990/xml/2026/202600139349300115_public.xml</x:t>
        </x:is>
      </x:c>
      <x:c r="W114" s="16" t="inlineStr">
        <x:is>
          <x:t xml:space="preserve">https://projects.propublica.org/nonprofits/organizations/800512336</x:t>
        </x:is>
      </x:c>
    </x:row>
    <x:row r="115">
      <x:c r="A115" s="17" t="inlineStr">
        <x:is>
          <x:t xml:space="preserve">Economic Innovation Group</x:t>
        </x:is>
      </x:c>
      <x:c r="B115" s="17" t="inlineStr">
        <x:is>
          <x:t xml:space="preserve">B</x:t>
        </x:is>
      </x:c>
      <x:c r="C115" s="17" t="inlineStr">
        <x:is>
          <x:t xml:space="preserve">functional-only</x:t>
        </x:is>
      </x:c>
      <x:c r="D115" s="17" t="inlineStr">
        <x:is>
          <x:t xml:space="preserve">President and CEO</x:t>
        </x:is>
      </x:c>
      <x:c r="E115" s="17" t="n">
        <x:v>2024</x:v>
      </x:c>
      <x:c r="F115" s="18" t="n">
        <x:v>1.06448800377019</x:v>
      </x:c>
      <x:c r="G115" s="19" t="n">
        <x:v>479718</x:v>
      </x:c>
      <x:c r="H115" s="19" t="n">
        <x:v>0</x:v>
      </x:c>
      <x:c r="I115" s="19" t="n">
        <x:v>55589</x:v>
      </x:c>
      <x:c r="J115" s="20" t="n">
        <x:f>G115+H115</x:f>
        <x:v>479718</x:v>
      </x:c>
      <x:c r="K115" s="20" t="n">
        <x:f>J115+I115</x:f>
        <x:v>535307</x:v>
      </x:c>
      <x:c r="L115" s="20" t="n">
        <x:f>J115*F115</x:f>
        <x:v>510654.05619262805</x:v>
      </x:c>
      <x:c r="M115" s="20" t="n">
        <x:f>K115*F115</x:f>
        <x:v>569827.8798342091</x:v>
      </x:c>
      <x:c r="N115" s="19" t="n"/>
      <x:c r="O115" s="19" t="n">
        <x:v>5806034</x:v>
      </x:c>
      <x:c r="P115" s="21" t="n"/>
      <x:c r="Q115" s="21" t="n">
        <x:v>86</x:v>
      </x:c>
      <x:c r="R115" s="16" t="inlineStr">
        <x:is>
          <x:t xml:space="preserve">primary_with_structure_flag</x:t>
        </x:is>
      </x:c>
      <x:c r="S115" s="16" t="inlineStr">
        <x:is>
          <x:t xml:space="preserve">501c4_and_first_class_travel_disclosed</x:t>
        </x:is>
      </x:c>
      <x:c r="T115" s="17" t="inlineStr">
        <x:is>
          <x:t xml:space="preserve">46-2450336</x:t>
        </x:is>
      </x:c>
      <x:c r="U115" s="17" t="inlineStr">
        <x:is>
          <x:t xml:space="preserve">202513219349307891</x:t>
        </x:is>
      </x:c>
      <x:c r="V115" s="16" t="inlineStr">
        <x:is>
          <x:t xml:space="preserve">https://apps.irs.gov/pub/epostcard/990/xml/2025/202513219349307891_public.xml</x:t>
        </x:is>
      </x:c>
      <x:c r="W115" s="16" t="inlineStr">
        <x:is>
          <x:t xml:space="preserve">https://projects.propublica.org/nonprofits/organizations/462450336</x:t>
        </x:is>
      </x:c>
    </x:row>
    <x:row r="116">
      <x:c r="A116" s="17" t="inlineStr">
        <x:is>
          <x:t xml:space="preserve">Jain Family Institute</x:t>
        </x:is>
      </x:c>
      <x:c r="B116" s="17" t="inlineStr">
        <x:is>
          <x:t xml:space="preserve">A</x:t>
        </x:is>
      </x:c>
      <x:c r="C116" s="17" t="inlineStr">
        <x:is>
          <x:t xml:space="preserve">EA-adjacent</x:t>
        </x:is>
      </x:c>
      <x:c r="D116" s="17" t="inlineStr">
        <x:is>
          <x:t xml:space="preserve">CEO and Director</x:t>
        </x:is>
      </x:c>
      <x:c r="E116" s="17" t="n">
        <x:v>2024</x:v>
      </x:c>
      <x:c r="F116" s="18" t="n">
        <x:v>1.06448800377019</x:v>
      </x:c>
      <x:c r="G116" s="19" t="n">
        <x:v>213500</x:v>
      </x:c>
      <x:c r="H116" s="19" t="n">
        <x:v>0</x:v>
      </x:c>
      <x:c r="I116" s="19" t="n">
        <x:v>40893</x:v>
      </x:c>
      <x:c r="J116" s="20" t="n">
        <x:f>G116+H116</x:f>
        <x:v>213500</x:v>
      </x:c>
      <x:c r="K116" s="20" t="n">
        <x:f>J116+I116</x:f>
        <x:v>254393</x:v>
      </x:c>
      <x:c r="L116" s="20" t="n">
        <x:f>J116*F116</x:f>
        <x:v>227268.18880493558</x:v>
      </x:c>
      <x:c r="M116" s="20" t="n">
        <x:f>K116*F116</x:f>
        <x:v>270798.29674310994</x:v>
      </x:c>
      <x:c r="N116" s="19" t="n"/>
      <x:c r="O116" s="19" t="n">
        <x:v>5374057</x:v>
      </x:c>
      <x:c r="P116" s="21" t="n"/>
      <x:c r="Q116" s="21" t="n">
        <x:v>92</x:v>
      </x:c>
      <x:c r="R116" s="16" t="inlineStr">
        <x:is>
          <x:t xml:space="preserve">primary</x:t>
        </x:is>
      </x:c>
      <x:c r="S116" s="16" t="inlineStr">
        <x:is>
          <x:t xml:space="preserve">none</x:t>
        </x:is>
      </x:c>
      <x:c r="T116" s="17" t="inlineStr">
        <x:is>
          <x:t xml:space="preserve">47-4407203</x:t>
        </x:is>
      </x:c>
      <x:c r="U116" s="17" t="inlineStr">
        <x:is>
          <x:t xml:space="preserve">202523219349327407</x:t>
        </x:is>
      </x:c>
      <x:c r="V116" s="16" t="inlineStr">
        <x:is>
          <x:t xml:space="preserve">https://apps.irs.gov/pub/epostcard/990/xml/2025/202523219349327407_public.xml</x:t>
        </x:is>
      </x:c>
      <x:c r="W116" s="16" t="inlineStr">
        <x:is>
          <x:t xml:space="preserve">https://projects.propublica.org/nonprofits/organizations/474407203</x:t>
        </x:is>
      </x:c>
    </x:row>
    <x:row r="117">
      <x:c r="A117" s="17" t="inlineStr">
        <x:is>
          <x:t xml:space="preserve">Fresh Energy</x:t>
        </x:is>
      </x:c>
      <x:c r="B117" s="17" t="inlineStr">
        <x:is>
          <x:t xml:space="preserve">A</x:t>
        </x:is>
      </x:c>
      <x:c r="C117" s="17" t="inlineStr">
        <x:is>
          <x:t xml:space="preserve">functional-only</x:t>
        </x:is>
      </x:c>
      <x:c r="D117" s="17" t="inlineStr">
        <x:is>
          <x:t xml:space="preserve">Executive Director</x:t>
        </x:is>
      </x:c>
      <x:c r="E117" s="17" t="n">
        <x:v>2024</x:v>
      </x:c>
      <x:c r="F117" s="18" t="n">
        <x:v>1.06448800377019</x:v>
      </x:c>
      <x:c r="G117" s="19" t="n">
        <x:v>238121</x:v>
      </x:c>
      <x:c r="H117" s="19" t="n">
        <x:v>0</x:v>
      </x:c>
      <x:c r="I117" s="19" t="n">
        <x:v>22095</x:v>
      </x:c>
      <x:c r="J117" s="20" t="n">
        <x:f>G117+H117</x:f>
        <x:v>238121</x:v>
      </x:c>
      <x:c r="K117" s="20" t="n">
        <x:f>J117+I117</x:f>
        <x:v>260216</x:v>
      </x:c>
      <x:c r="L117" s="20" t="n">
        <x:f>J117*F117</x:f>
        <x:v>253476.94794576144</x:v>
      </x:c>
      <x:c r="M117" s="20" t="n">
        <x:f>K117*F117</x:f>
        <x:v>276996.8103890638</x:v>
      </x:c>
      <x:c r="N117" s="19" t="n"/>
      <x:c r="O117" s="19" t="n">
        <x:v>7006749</x:v>
      </x:c>
      <x:c r="P117" s="21" t="n"/>
      <x:c r="Q117" s="21" t="n">
        <x:v>87</x:v>
      </x:c>
      <x:c r="R117" s="16" t="inlineStr">
        <x:is>
          <x:t xml:space="preserve">primary</x:t>
        </x:is>
      </x:c>
      <x:c r="S117" s="16" t="inlineStr">
        <x:is>
          <x:t xml:space="preserve">departed_at_fiscal_year_end_after_full_compensation_year</x:t>
        </x:is>
      </x:c>
      <x:c r="T117" s="17" t="inlineStr">
        <x:is>
          <x:t xml:space="preserve">41-1735501</x:t>
        </x:is>
      </x:c>
      <x:c r="U117" s="17" t="inlineStr">
        <x:is>
          <x:t xml:space="preserve">202513169349301031</x:t>
        </x:is>
      </x:c>
      <x:c r="V117" s="16" t="inlineStr">
        <x:is>
          <x:t xml:space="preserve">https://apps.irs.gov/pub/epostcard/990/xml/2025/202513169349301031_public.xml</x:t>
        </x:is>
      </x:c>
      <x:c r="W117" s="16" t="inlineStr">
        <x:is>
          <x:t xml:space="preserve">https://projects.propublica.org/nonprofits/organizations/411735501</x:t>
        </x:is>
      </x:c>
    </x:row>
    <x:row r="118">
      <x:c r="A118" s="17" t="inlineStr">
        <x:is>
          <x:t xml:space="preserve">Project Drawdown</x:t>
        </x:is>
      </x:c>
      <x:c r="B118" s="17" t="inlineStr">
        <x:is>
          <x:t xml:space="preserve">A</x:t>
        </x:is>
      </x:c>
      <x:c r="C118" s="17" t="inlineStr">
        <x:is>
          <x:t xml:space="preserve">EA-adjacent</x:t>
        </x:is>
      </x:c>
      <x:c r="D118" s="17" t="inlineStr">
        <x:is>
          <x:t xml:space="preserve">Executive Director</x:t>
        </x:is>
      </x:c>
      <x:c r="E118" s="17" t="n">
        <x:v>2024</x:v>
      </x:c>
      <x:c r="F118" s="18" t="n">
        <x:v>1.06448800377019</x:v>
      </x:c>
      <x:c r="G118" s="19" t="n">
        <x:v>417968</x:v>
      </x:c>
      <x:c r="H118" s="19" t="n">
        <x:v>0</x:v>
      </x:c>
      <x:c r="I118" s="19" t="n">
        <x:v>60392</x:v>
      </x:c>
      <x:c r="J118" s="20" t="n">
        <x:f>G118+H118</x:f>
        <x:v>417968</x:v>
      </x:c>
      <x:c r="K118" s="20" t="n">
        <x:f>J118+I118</x:f>
        <x:v>478360</x:v>
      </x:c>
      <x:c r="L118" s="20" t="n">
        <x:f>J118*F118</x:f>
        <x:v>444921.9219598188</x:v>
      </x:c>
      <x:c r="M118" s="20" t="n">
        <x:f>K118*F118</x:f>
        <x:v>509208.48148350813</x:v>
      </x:c>
      <x:c r="N118" s="19" t="n"/>
      <x:c r="O118" s="19" t="n">
        <x:v>4479322</x:v>
      </x:c>
      <x:c r="P118" s="21" t="n"/>
      <x:c r="Q118" s="21" t="n">
        <x:v>91</x:v>
      </x:c>
      <x:c r="R118" s="16" t="inlineStr">
        <x:is>
          <x:t xml:space="preserve">primary</x:t>
        </x:is>
      </x:c>
      <x:c r="S118" s="16" t="inlineStr">
        <x:is>
          <x:t xml:space="preserve">none</x:t>
        </x:is>
      </x:c>
      <x:c r="T118" s="17" t="inlineStr">
        <x:is>
          <x:t xml:space="preserve">38-3705448</x:t>
        </x:is>
      </x:c>
      <x:c r="U118" s="17" t="inlineStr">
        <x:is>
          <x:t xml:space="preserve">202512529349301621</x:t>
        </x:is>
      </x:c>
      <x:c r="V118" s="16" t="inlineStr">
        <x:is>
          <x:t xml:space="preserve">https://apps.irs.gov/pub/epostcard/990/xml/2025/202512529349301621_public.xml</x:t>
        </x:is>
      </x:c>
      <x:c r="W118" s="16" t="inlineStr">
        <x:is>
          <x:t xml:space="preserve">https://projects.propublica.org/nonprofits/organizations/383705448</x:t>
        </x:is>
      </x:c>
    </x:row>
    <x:row r="119">
      <x:c r="A119" s="17" t="inlineStr">
        <x:is>
          <x:t xml:space="preserve">Energy for Growth Hub</x:t>
        </x:is>
      </x:c>
      <x:c r="B119" s="17" t="inlineStr">
        <x:is>
          <x:t xml:space="preserve">B</x:t>
        </x:is>
      </x:c>
      <x:c r="C119" s="17" t="inlineStr">
        <x:is>
          <x:t xml:space="preserve">EA-adjacent</x:t>
        </x:is>
      </x:c>
      <x:c r="D119" s="17" t="inlineStr">
        <x:is>
          <x:t xml:space="preserve">Executive Director</x:t>
        </x:is>
      </x:c>
      <x:c r="E119" s="17" t="n">
        <x:v>2024</x:v>
      </x:c>
      <x:c r="F119" s="18" t="n">
        <x:v>1.06448800377019</x:v>
      </x:c>
      <x:c r="G119" s="19" t="n">
        <x:v>420000</x:v>
      </x:c>
      <x:c r="H119" s="19" t="n">
        <x:v>0</x:v>
      </x:c>
      <x:c r="I119" s="19" t="n">
        <x:v>78616</x:v>
      </x:c>
      <x:c r="J119" s="20" t="n">
        <x:f>G119+H119</x:f>
        <x:v>420000</x:v>
      </x:c>
      <x:c r="K119" s="20" t="n">
        <x:f>J119+I119</x:f>
        <x:v>498616</x:v>
      </x:c>
      <x:c r="L119" s="20" t="n">
        <x:f>J119*F119</x:f>
        <x:v>447084.96158347983</x:v>
      </x:c>
      <x:c r="M119" s="20" t="n">
        <x:f>K119*F119</x:f>
        <x:v>530770.750487877</x:v>
      </x:c>
      <x:c r="N119" s="19" t="n"/>
      <x:c r="O119" s="19" t="n">
        <x:v>2824520</x:v>
      </x:c>
      <x:c r="P119" s="21" t="n"/>
      <x:c r="Q119" s="21" t="n">
        <x:v>82</x:v>
      </x:c>
      <x:c r="R119" s="16" t="inlineStr">
        <x:is>
          <x:t xml:space="preserve">primary</x:t>
        </x:is>
      </x:c>
      <x:c r="S119" s="16" t="inlineStr">
        <x:is>
          <x:t xml:space="preserve">none</x:t>
        </x:is>
      </x:c>
      <x:c r="T119" s="17" t="inlineStr">
        <x:is>
          <x:t xml:space="preserve">83-1609680</x:t>
        </x:is>
      </x:c>
      <x:c r="U119" s="17" t="inlineStr">
        <x:is>
          <x:t xml:space="preserve">202513219349322806</x:t>
        </x:is>
      </x:c>
      <x:c r="V119" s="16" t="inlineStr">
        <x:is>
          <x:t xml:space="preserve">https://apps.irs.gov/pub/epostcard/990/xml/2025/202513219349322806_public.xml</x:t>
        </x:is>
      </x:c>
      <x:c r="W119" s="16" t="inlineStr">
        <x:is>
          <x:t xml:space="preserve">https://projects.propublica.org/nonprofits/organizations/831609680</x:t>
        </x:is>
      </x:c>
    </x:row>
    <x:row r="120">
      <x:c r="A120" s="17" t="inlineStr">
        <x:is>
          <x:t xml:space="preserve">Better Food Foundation</x:t>
        </x:is>
      </x:c>
      <x:c r="B120" s="17" t="inlineStr">
        <x:is>
          <x:t xml:space="preserve">C</x:t>
        </x:is>
      </x:c>
      <x:c r="C120" s="17" t="inlineStr">
        <x:is>
          <x:t xml:space="preserve">EA-adjacent</x:t>
        </x:is>
      </x:c>
      <x:c r="D120" s="17" t="inlineStr">
        <x:is>
          <x:t xml:space="preserve">Executive Director</x:t>
        </x:is>
      </x:c>
      <x:c r="E120" s="17" t="n">
        <x:v>2024</x:v>
      </x:c>
      <x:c r="F120" s="18" t="n">
        <x:v>1.06448800377019</x:v>
      </x:c>
      <x:c r="G120" s="19" t="n">
        <x:v>93250</x:v>
      </x:c>
      <x:c r="H120" s="19" t="n">
        <x:v>0</x:v>
      </x:c>
      <x:c r="I120" s="19" t="n">
        <x:v>4000</x:v>
      </x:c>
      <x:c r="J120" s="20" t="n">
        <x:f>G120+H120</x:f>
        <x:v>93250</x:v>
      </x:c>
      <x:c r="K120" s="20" t="n">
        <x:f>J120+I120</x:f>
        <x:v>97250</x:v>
      </x:c>
      <x:c r="L120" s="20" t="n">
        <x:f>J120*F120</x:f>
        <x:v>99263.50635157022</x:v>
      </x:c>
      <x:c r="M120" s="20" t="n">
        <x:f>K120*F120</x:f>
        <x:v>103521.45836665099</x:v>
      </x:c>
      <x:c r="N120" s="19" t="n"/>
      <x:c r="O120" s="19" t="n">
        <x:v>1787294</x:v>
      </x:c>
      <x:c r="P120" s="21" t="n"/>
      <x:c r="Q120" s="21" t="n">
        <x:v>69</x:v>
      </x:c>
      <x:c r="R120" s="16" t="inlineStr">
        <x:is>
          <x:t xml:space="preserve">primary_with_structure_flag</x:t>
        </x:is>
      </x:c>
      <x:c r="S120" s="16" t="inlineStr">
        <x:is>
          <x:t xml:space="preserve">well_below_scale_food_system_strategy</x:t>
        </x:is>
      </x:c>
      <x:c r="T120" s="17" t="inlineStr">
        <x:is>
          <x:t xml:space="preserve">81-4537521</x:t>
        </x:is>
      </x:c>
      <x:c r="U120" s="17" t="inlineStr">
        <x:is>
          <x:t xml:space="preserve">202533169349305288</x:t>
        </x:is>
      </x:c>
      <x:c r="V120" s="16" t="inlineStr">
        <x:is>
          <x:t xml:space="preserve">https://apps.irs.gov/pub/epostcard/990/xml/2025/202533169349305288_public.xml</x:t>
        </x:is>
      </x:c>
      <x:c r="W120" s="16" t="inlineStr">
        <x:is>
          <x:t xml:space="preserve">https://projects.propublica.org/nonprofits/organizations/814537521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34" customWidth="1"/>
    <x:col min="3" max="3" width="38" customWidth="1"/>
    <x:col min="4" max="4" width="28" customWidth="1"/>
    <x:col min="5" max="5" width="14" customWidth="1"/>
    <x:col min="6" max="6" width="14" customWidth="1"/>
    <x:col min="7" max="7" width="18" customWidth="1"/>
    <x:col min="8" max="8" width="16" customWidth="1"/>
    <x:col min="9" max="9" width="20" customWidth="1"/>
    <x:col min="10" max="10" width="21" customWidth="1"/>
    <x:col min="11" max="11" width="12" customWidth="1"/>
    <x:col min="12" max="12" width="12" customWidth="1"/>
    <x:col min="13" max="13" width="16" customWidth="1"/>
    <x:col min="14" max="14" width="29" customWidth="1"/>
    <x:col min="15" max="15" width="38" customWidth="1"/>
    <x:col min="16" max="16" width="38" customWidth="1"/>
    <x:col min="17" max="17" width="12" customWidth="1"/>
    <x:col min="18" max="18" width="20" customWidth="1"/>
    <x:col min="19" max="19" width="38" customWidth="1"/>
    <x:col min="20" max="20" width="38" customWidth="1"/>
    <x:col min="21" max="21" width="38" customWidth="1"/>
  </x:cols>
  <x:sheetData>
    <x:row r="1" ht="28" customHeight="1">
      <x:c r="A1" s="1" t="inlineStr">
        <x:is>
          <x:t xml:space="preserve">All Collected Form 990 Observations</x:t>
        </x:is>
      </x:c>
    </x:row>
    <x:row r="2" ht="28" customHeight="1">
      <x:c r="A2" s="2" t="inlineStr">
        <x:is>
          <x:t xml:space="preserve">Includes primary, structural sensitivity, transition, partial-year, and measurement-exclusion rows</x:t>
        </x:is>
      </x:c>
    </x:row>
    <x:row r="3"/>
    <x:row r="4" ht="30" customHeight="1">
      <x:c r="A4" s="3" t="inlineStr">
        <x:is>
          <x:t xml:space="preserve">organization</x:t>
        </x:is>
      </x:c>
      <x:c r="B4" s="3" t="inlineStr">
        <x:is>
          <x:t xml:space="preserve">ceo_name</x:t>
        </x:is>
      </x:c>
      <x:c r="C4" s="3" t="inlineStr">
        <x:is>
          <x:t xml:space="preserve">ceo_title</x:t>
        </x:is>
      </x:c>
      <x:c r="D4" s="3" t="inlineStr">
        <x:is>
          <x:t xml:space="preserve">compensation_calendar_year</x:t>
        </x:is>
      </x:c>
      <x:c r="E4" s="3" t="inlineStr">
        <x:is>
          <x:t xml:space="preserve">filing_date</x:t>
        </x:is>
      </x:c>
      <x:c r="F4" s="3" t="inlineStr">
        <x:is>
          <x:t xml:space="preserve">part_vii_org</x:t>
        </x:is>
      </x:c>
      <x:c r="G4" s="3" t="inlineStr">
        <x:is>
          <x:t xml:space="preserve">part_vii_related</x:t>
        </x:is>
      </x:c>
      <x:c r="H4" s="3" t="inlineStr">
        <x:is>
          <x:t xml:space="preserve">part_vii_other</x:t>
        </x:is>
      </x:c>
      <x:c r="I4" s="3" t="inlineStr">
        <x:is>
          <x:t xml:space="preserve">cash_proxy_jul2026</x:t>
        </x:is>
      </x:c>
      <x:c r="J4" s="3" t="inlineStr">
        <x:is>
          <x:t xml:space="preserve">total_proxy_jul2026</x:t>
        </x:is>
      </x:c>
      <x:c r="K4" s="3" t="inlineStr">
        <x:is>
          <x:t xml:space="preserve">revenue</x:t>
        </x:is>
      </x:c>
      <x:c r="L4" s="3" t="inlineStr">
        <x:is>
          <x:t xml:space="preserve">expenses</x:t>
        </x:is>
      </x:c>
      <x:c r="M4" s="3" t="inlineStr">
        <x:is>
          <x:t xml:space="preserve">employee_count</x:t>
        </x:is>
      </x:c>
      <x:c r="N4" s="3" t="inlineStr">
        <x:is>
          <x:t xml:space="preserve">analysis_status</x:t>
        </x:is>
      </x:c>
      <x:c r="O4" s="3" t="inlineStr">
        <x:is>
          <x:t xml:space="preserve">exclusion_reason</x:t>
        </x:is>
      </x:c>
      <x:c r="P4" s="3" t="inlineStr">
        <x:is>
          <x:t xml:space="preserve">structure_flag</x:t>
        </x:is>
      </x:c>
      <x:c r="Q4" s="3" t="inlineStr">
        <x:is>
          <x:t xml:space="preserve">ein</x:t>
        </x:is>
      </x:c>
      <x:c r="R4" s="3" t="inlineStr">
        <x:is>
          <x:t xml:space="preserve">irs_object_id</x:t>
        </x:is>
      </x:c>
      <x:c r="S4" s="3" t="inlineStr">
        <x:is>
          <x:t xml:space="preserve">official_irs_url</x:t>
        </x:is>
      </x:c>
      <x:c r="T4" s="3" t="inlineStr">
        <x:is>
          <x:t xml:space="preserve">propublica_url</x:t>
        </x:is>
      </x:c>
      <x:c r="U4" s="3" t="inlineStr">
        <x:is>
          <x:t xml:space="preserve">source_id</x:t>
        </x:is>
      </x:c>
    </x:row>
    <x:row r="5">
      <x:c r="A5" s="12" t="inlineStr">
        <x:is>
          <x:t xml:space="preserve">Charity Navigator</x:t>
        </x:is>
      </x:c>
      <x:c r="B5" s="12" t="inlineStr">
        <x:is>
          <x:t xml:space="preserve">Michael Thatcher</x:t>
        </x:is>
      </x:c>
      <x:c r="C5" s="12" t="inlineStr">
        <x:is>
          <x:t xml:space="preserve">President &amp; CEO</x:t>
        </x:is>
      </x:c>
      <x:c r="D5" s="14" t="n">
        <x:v>2024</x:v>
      </x:c>
      <x:c r="E5" s="12" t="inlineStr">
        <x:is>
          <x:t xml:space="preserve">2026-03-19</x:t>
        </x:is>
      </x:c>
      <x:c r="F5" s="12" t="n">
        <x:v>324339</x:v>
      </x:c>
      <x:c r="G5" s="12" t="n">
        <x:v>0</x:v>
      </x:c>
      <x:c r="H5" s="12" t="n">
        <x:v>21494</x:v>
      </x:c>
      <x:c r="I5" s="14" t="n">
        <x:v>345254.9746548199</x:v>
      </x:c>
      <x:c r="J5" s="14" t="n">
        <x:v>368135.0798078564</x:v>
      </x:c>
      <x:c r="K5" s="14" t="n">
        <x:v>7619753</x:v>
      </x:c>
      <x:c r="L5" s="14" t="n">
        <x:v>7840893</x:v>
      </x:c>
      <x:c r="M5" s="12" t="n"/>
      <x:c r="N5" s="12" t="inlineStr">
        <x:is>
          <x:t xml:space="preserve">primary</x:t>
        </x:is>
      </x:c>
      <x:c r="O5" s="12" t="n"/>
      <x:c r="P5" s="12" t="inlineStr">
        <x:is>
          <x:t xml:space="preserve">none</x:t>
        </x:is>
      </x:c>
      <x:c r="Q5" s="12" t="inlineStr">
        <x:is>
          <x:t xml:space="preserve">13-4148824</x:t>
        </x:is>
      </x:c>
      <x:c r="R5" s="12" t="n">
        <x:v>2.026407893493015e+17</x:v>
      </x:c>
      <x:c r="S5" s="16" t="inlineStr">
        <x:is>
          <x:t xml:space="preserve">https://apps.irs.gov/pub/epostcard/990/xml/2026/202640789349301509_public.xml</x:t>
        </x:is>
      </x:c>
      <x:c r="T5" s="16" t="inlineStr">
        <x:is>
          <x:t xml:space="preserve">https://projects.propublica.org/nonprofits/organizations/134148824</x:t>
        </x:is>
      </x:c>
      <x:c r="U5" s="17" t="inlineStr">
        <x:is>
          <x:t xml:space="preserve">SRC-990-EXT-CHARITY-NAVIGATOR</x:t>
        </x:is>
      </x:c>
    </x:row>
    <x:row r="6">
      <x:c r="A6" s="12" t="inlineStr">
        <x:is>
          <x:t xml:space="preserve">Niskanen Center</x:t>
        </x:is>
      </x:c>
      <x:c r="B6" s="12" t="inlineStr">
        <x:is>
          <x:t xml:space="preserve">Ted Gayer</x:t>
        </x:is>
      </x:c>
      <x:c r="C6" s="12" t="inlineStr">
        <x:is>
          <x:t xml:space="preserve">President</x:t>
        </x:is>
      </x:c>
      <x:c r="D6" s="14" t="n">
        <x:v>2024</x:v>
      </x:c>
      <x:c r="E6" s="12" t="inlineStr">
        <x:is>
          <x:t xml:space="preserve">2025-11-13</x:t>
        </x:is>
      </x:c>
      <x:c r="F6" s="12" t="n">
        <x:v>682105</x:v>
      </x:c>
      <x:c r="G6" s="12" t="n">
        <x:v>0</x:v>
      </x:c>
      <x:c r="H6" s="12" t="n">
        <x:v>832</x:v>
      </x:c>
      <x:c r="I6" s="14" t="n">
        <x:v>726092.5898116659</x:v>
      </x:c>
      <x:c r="J6" s="14" t="n">
        <x:v>726978.2438308026</x:v>
      </x:c>
      <x:c r="K6" s="14" t="n">
        <x:v>9958495</x:v>
      </x:c>
      <x:c r="L6" s="14" t="n">
        <x:v>10357724</x:v>
      </x:c>
      <x:c r="M6" s="12" t="n"/>
      <x:c r="N6" s="12" t="inlineStr">
        <x:is>
          <x:t xml:space="preserve">primary</x:t>
        </x:is>
      </x:c>
      <x:c r="O6" s="12" t="n"/>
      <x:c r="P6" s="13" t="inlineStr">
        <x:is>
          <x:t xml:space="preserve">unusually_high_cash_proxy_relative_to_prior_years</x:t>
        </x:is>
      </x:c>
      <x:c r="Q6" s="12" t="inlineStr">
        <x:is>
          <x:t xml:space="preserve">45-5308952</x:t>
        </x:is>
      </x:c>
      <x:c r="R6" s="12" t="n">
        <x:v>2.02523179349302e+17</x:v>
      </x:c>
      <x:c r="S6" s="16" t="inlineStr">
        <x:is>
          <x:t xml:space="preserve">https://apps.irs.gov/pub/epostcard/990/xml/2025/202523179349301947_public.xml</x:t>
        </x:is>
      </x:c>
      <x:c r="T6" s="16" t="inlineStr">
        <x:is>
          <x:t xml:space="preserve">https://projects.propublica.org/nonprofits/organizations/455308952</x:t>
        </x:is>
      </x:c>
      <x:c r="U6" s="17" t="inlineStr">
        <x:is>
          <x:t xml:space="preserve">SRC-990-EXT-NISKANEN-CENTER</x:t>
        </x:is>
      </x:c>
    </x:row>
    <x:row r="7">
      <x:c r="A7" s="12" t="inlineStr">
        <x:is>
          <x:t xml:space="preserve">Center for Open Science</x:t>
        </x:is>
      </x:c>
      <x:c r="B7" s="12" t="inlineStr">
        <x:is>
          <x:t xml:space="preserve">Brian Nosek</x:t>
        </x:is>
      </x:c>
      <x:c r="C7" s="12" t="inlineStr">
        <x:is>
          <x:t xml:space="preserve">Executive Director</x:t>
        </x:is>
      </x:c>
      <x:c r="D7" s="14" t="n">
        <x:v>2024</x:v>
      </x:c>
      <x:c r="E7" s="12" t="inlineStr">
        <x:is>
          <x:t xml:space="preserve">2025-11-17</x:t>
        </x:is>
      </x:c>
      <x:c r="F7" s="12" t="n">
        <x:v>252500</x:v>
      </x:c>
      <x:c r="G7" s="12" t="n">
        <x:v>0</x:v>
      </x:c>
      <x:c r="H7" s="12" t="n">
        <x:v>10100</x:v>
      </x:c>
      <x:c r="I7" s="14" t="n">
        <x:v>268783.2209519731</x:v>
      </x:c>
      <x:c r="J7" s="14" t="n">
        <x:v>279534.5497900521</x:v>
      </x:c>
      <x:c r="K7" s="14" t="n">
        <x:v>10217166</x:v>
      </x:c>
      <x:c r="L7" s="14" t="n">
        <x:v>8787031</x:v>
      </x:c>
      <x:c r="M7" s="12" t="n"/>
      <x:c r="N7" s="12" t="inlineStr">
        <x:is>
          <x:t xml:space="preserve">primary</x:t>
        </x:is>
      </x:c>
      <x:c r="O7" s="12" t="n"/>
      <x:c r="P7" s="12" t="inlineStr">
        <x:is>
          <x:t xml:space="preserve">founder</x:t>
        </x:is>
      </x:c>
      <x:c r="Q7" s="12" t="inlineStr">
        <x:is>
          <x:t xml:space="preserve">46-1496217</x:t>
        </x:is>
      </x:c>
      <x:c r="R7" s="12" t="n">
        <x:v>2.025132193493185e+17</x:v>
      </x:c>
      <x:c r="S7" s="16" t="inlineStr">
        <x:is>
          <x:t xml:space="preserve">https://apps.irs.gov/pub/epostcard/990/xml/2025/202513219349318466_public.xml</x:t>
        </x:is>
      </x:c>
      <x:c r="T7" s="16" t="inlineStr">
        <x:is>
          <x:t xml:space="preserve">https://projects.propublica.org/nonprofits/organizations/461496217</x:t>
        </x:is>
      </x:c>
      <x:c r="U7" s="17" t="inlineStr">
        <x:is>
          <x:t xml:space="preserve">SRC-990-EXT-CENTER-FOR-OPEN-SCIENCE</x:t>
        </x:is>
      </x:c>
    </x:row>
    <x:row r="8">
      <x:c r="A8" s="12" t="inlineStr">
        <x:is>
          <x:t xml:space="preserve">Partnership on AI</x:t>
        </x:is>
      </x:c>
      <x:c r="B8" s="12" t="inlineStr">
        <x:is>
          <x:t xml:space="preserve">Rebecca Finlay</x:t>
        </x:is>
      </x:c>
      <x:c r="C8" s="12" t="inlineStr">
        <x:is>
          <x:t xml:space="preserve">Chief Executive Officer</x:t>
        </x:is>
      </x:c>
      <x:c r="D8" s="14" t="n">
        <x:v>2024</x:v>
      </x:c>
      <x:c r="E8" s="12" t="inlineStr">
        <x:is>
          <x:t xml:space="preserve">2025-11-17</x:t>
        </x:is>
      </x:c>
      <x:c r="F8" s="12" t="n">
        <x:v>337293</x:v>
      </x:c>
      <x:c r="G8" s="12" t="n">
        <x:v>0</x:v>
      </x:c>
      <x:c r="H8" s="12" t="n">
        <x:v>30730</x:v>
      </x:c>
      <x:c r="I8" s="14" t="n">
        <x:v>359044.3522556589</x:v>
      </x:c>
      <x:c r="J8" s="14" t="n">
        <x:v>391756.0686115169</x:v>
      </x:c>
      <x:c r="K8" s="14" t="n">
        <x:v>9023889</x:v>
      </x:c>
      <x:c r="L8" s="14" t="n">
        <x:v>8372133</x:v>
      </x:c>
      <x:c r="M8" s="12" t="n"/>
      <x:c r="N8" s="12" t="inlineStr">
        <x:is>
          <x:t xml:space="preserve">primary</x:t>
        </x:is>
      </x:c>
      <x:c r="O8" s="12" t="n"/>
      <x:c r="P8" s="12" t="inlineStr">
        <x:is>
          <x:t xml:space="preserve">none</x:t>
        </x:is>
      </x:c>
      <x:c r="Q8" s="12" t="inlineStr">
        <x:is>
          <x:t xml:space="preserve">32-0518917</x:t>
        </x:is>
      </x:c>
      <x:c r="R8" s="12" t="n">
        <x:v>2.025432193493227e+17</x:v>
      </x:c>
      <x:c r="S8" s="16" t="inlineStr">
        <x:is>
          <x:t xml:space="preserve">https://apps.irs.gov/pub/epostcard/990/xml/2025/202543219349322709_public.xml</x:t>
        </x:is>
      </x:c>
      <x:c r="T8" s="16" t="inlineStr">
        <x:is>
          <x:t xml:space="preserve">https://projects.propublica.org/nonprofits/organizations/320518917</x:t>
        </x:is>
      </x:c>
      <x:c r="U8" s="17" t="inlineStr">
        <x:is>
          <x:t xml:space="preserve">SRC-990-EXT-PARTNERSHIP-ON-AI</x:t>
        </x:is>
      </x:c>
    </x:row>
    <x:row r="9">
      <x:c r="A9" s="12" t="inlineStr">
        <x:is>
          <x:t xml:space="preserve">Center for Democracy &amp; Technology</x:t>
        </x:is>
      </x:c>
      <x:c r="B9" s="12" t="inlineStr">
        <x:is>
          <x:t xml:space="preserve">Alexandra Givens</x:t>
        </x:is>
      </x:c>
      <x:c r="C9" s="12" t="inlineStr">
        <x:is>
          <x:t xml:space="preserve">President &amp; CEO</x:t>
        </x:is>
      </x:c>
      <x:c r="D9" s="14" t="n">
        <x:v>2024</x:v>
      </x:c>
      <x:c r="E9" s="12" t="inlineStr">
        <x:is>
          <x:t xml:space="preserve">2025-11-17</x:t>
        </x:is>
      </x:c>
      <x:c r="F9" s="12" t="n">
        <x:v>417500</x:v>
      </x:c>
      <x:c r="G9" s="12" t="n">
        <x:v>0</x:v>
      </x:c>
      <x:c r="H9" s="12" t="n">
        <x:v>45725</x:v>
      </x:c>
      <x:c r="I9" s="14" t="n">
        <x:v>444423.7415740546</x:v>
      </x:c>
      <x:c r="J9" s="14" t="n">
        <x:v>493097.4555464466</x:v>
      </x:c>
      <x:c r="K9" s="14" t="n">
        <x:v>11272645</x:v>
      </x:c>
      <x:c r="L9" s="14" t="n">
        <x:v>8766703</x:v>
      </x:c>
      <x:c r="M9" s="12" t="n"/>
      <x:c r="N9" s="12" t="inlineStr">
        <x:is>
          <x:t xml:space="preserve">primary</x:t>
        </x:is>
      </x:c>
      <x:c r="O9" s="12" t="n"/>
      <x:c r="P9" s="12" t="inlineStr">
        <x:is>
          <x:t xml:space="preserve">none</x:t>
        </x:is>
      </x:c>
      <x:c r="Q9" s="12" t="inlineStr">
        <x:is>
          <x:t xml:space="preserve">52-1905358</x:t>
        </x:is>
      </x:c>
      <x:c r="R9" s="12" t="n">
        <x:v>2.025332193493019e+17</x:v>
      </x:c>
      <x:c r="S9" s="16" t="inlineStr">
        <x:is>
          <x:t xml:space="preserve">https://apps.irs.gov/pub/epostcard/990/xml/2025/202533219349301933_public.xml</x:t>
        </x:is>
      </x:c>
      <x:c r="T9" s="16" t="inlineStr">
        <x:is>
          <x:t xml:space="preserve">https://projects.propublica.org/nonprofits/organizations/521905358</x:t>
        </x:is>
      </x:c>
      <x:c r="U9" s="17" t="inlineStr">
        <x:is>
          <x:t xml:space="preserve">SRC-990-EXT-CENTER-FOR-DEMOCRACY-TECHNOLOGY</x:t>
        </x:is>
      </x:c>
    </x:row>
    <x:row r="10">
      <x:c r="A10" s="12" t="inlineStr">
        <x:is>
          <x:t xml:space="preserve">Future of Privacy Forum</x:t>
        </x:is>
      </x:c>
      <x:c r="B10" s="12" t="inlineStr">
        <x:is>
          <x:t xml:space="preserve">Jules Polonetsky</x:t>
        </x:is>
      </x:c>
      <x:c r="C10" s="12" t="inlineStr">
        <x:is>
          <x:t xml:space="preserve">Chief Executive Officer</x:t>
        </x:is>
      </x:c>
      <x:c r="D10" s="14" t="n">
        <x:v>2024</x:v>
      </x:c>
      <x:c r="E10" s="12" t="inlineStr">
        <x:is>
          <x:t xml:space="preserve">2025-11-17</x:t>
        </x:is>
      </x:c>
      <x:c r="F10" s="12" t="n">
        <x:v>741942</x:v>
      </x:c>
      <x:c r="G10" s="12" t="n">
        <x:v>0</x:v>
      </x:c>
      <x:c r="H10" s="12" t="n">
        <x:v>66751</x:v>
      </x:c>
      <x:c r="I10" s="14" t="n">
        <x:v>789788.3584932628</x:v>
      </x:c>
      <x:c r="J10" s="14" t="n">
        <x:v>860843.9972329268</x:v>
      </x:c>
      <x:c r="K10" s="14" t="n">
        <x:v>9862821</x:v>
      </x:c>
      <x:c r="L10" s="14" t="n">
        <x:v>14356624</x:v>
      </x:c>
      <x:c r="M10" s="12" t="n"/>
      <x:c r="N10" s="12" t="inlineStr">
        <x:is>
          <x:t xml:space="preserve">primary</x:t>
        </x:is>
      </x:c>
      <x:c r="O10" s="12" t="n"/>
      <x:c r="P10" s="12" t="inlineStr">
        <x:is>
          <x:t xml:space="preserve">founder_and_unusually_high_cash_proxy</x:t>
        </x:is>
      </x:c>
      <x:c r="Q10" s="12" t="inlineStr">
        <x:is>
          <x:t xml:space="preserve">45-3763097</x:t>
        </x:is>
      </x:c>
      <x:c r="R10" s="12" t="n">
        <x:v>2.025432193493196e+17</x:v>
      </x:c>
      <x:c r="S10" s="16" t="inlineStr">
        <x:is>
          <x:t xml:space="preserve">https://apps.irs.gov/pub/epostcard/990/xml/2025/202543219349319589_public.xml</x:t>
        </x:is>
      </x:c>
      <x:c r="T10" s="16" t="inlineStr">
        <x:is>
          <x:t xml:space="preserve">https://projects.propublica.org/nonprofits/organizations/453763097</x:t>
        </x:is>
      </x:c>
      <x:c r="U10" s="17" t="inlineStr">
        <x:is>
          <x:t xml:space="preserve">SRC-990-EXT-FUTURE-OF-PRIVACY-FORUM</x:t>
        </x:is>
      </x:c>
    </x:row>
    <x:row r="11">
      <x:c r="A11" s="12" t="inlineStr">
        <x:is>
          <x:t xml:space="preserve">Results for America</x:t>
        </x:is>
      </x:c>
      <x:c r="B11" s="12" t="inlineStr">
        <x:is>
          <x:t xml:space="preserve">Michele Jolin</x:t>
        </x:is>
      </x:c>
      <x:c r="C11" s="12" t="inlineStr">
        <x:is>
          <x:t xml:space="preserve">President &amp; CEO</x:t>
        </x:is>
      </x:c>
      <x:c r="D11" s="14" t="n">
        <x:v>2024</x:v>
      </x:c>
      <x:c r="E11" s="12" t="inlineStr">
        <x:is>
          <x:t xml:space="preserve">2025-11-13</x:t>
        </x:is>
      </x:c>
      <x:c r="F11" s="12" t="n">
        <x:v>311352</x:v>
      </x:c>
      <x:c r="G11" s="12" t="n">
        <x:v>0</x:v>
      </x:c>
      <x:c r="H11" s="12" t="n">
        <x:v>7176</x:v>
      </x:c>
      <x:c r="I11" s="14" t="n">
        <x:v>331430.4689498564</x:v>
      </x:c>
      <x:c r="J11" s="14" t="n">
        <x:v>339069.2348649112</x:v>
      </x:c>
      <x:c r="K11" s="14" t="n">
        <x:v>16801077</x:v>
      </x:c>
      <x:c r="L11" s="14" t="n">
        <x:v>24594265</x:v>
      </x:c>
      <x:c r="M11" s="12" t="n"/>
      <x:c r="N11" s="12" t="inlineStr">
        <x:is>
          <x:t xml:space="preserve">primary</x:t>
        </x:is>
      </x:c>
      <x:c r="O11" s="12" t="n"/>
      <x:c r="P11" s="13" t="inlineStr">
        <x:is>
          <x:t xml:space="preserve">above_strict_expense_band_and_implementation_mix</x:t>
        </x:is>
      </x:c>
      <x:c r="Q11" s="12" t="inlineStr">
        <x:is>
          <x:t xml:space="preserve">81-2709681</x:t>
        </x:is>
      </x:c>
      <x:c r="R11" s="12" t="n">
        <x:v>2.025131793493094e+17</x:v>
      </x:c>
      <x:c r="S11" s="16" t="inlineStr">
        <x:is>
          <x:t xml:space="preserve">https://apps.irs.gov/pub/epostcard/990/xml/2025/202513179349309376_public.xml</x:t>
        </x:is>
      </x:c>
      <x:c r="T11" s="16" t="inlineStr">
        <x:is>
          <x:t xml:space="preserve">https://projects.propublica.org/nonprofits/organizations/812709681</x:t>
        </x:is>
      </x:c>
      <x:c r="U11" s="17" t="inlineStr">
        <x:is>
          <x:t xml:space="preserve">SRC-990-EXT-RESULTS-FOR-AMERICA</x:t>
        </x:is>
      </x:c>
    </x:row>
    <x:row r="12">
      <x:c r="A12" s="12" t="inlineStr">
        <x:is>
          <x:t xml:space="preserve">Social Science Research Council</x:t>
        </x:is>
      </x:c>
      <x:c r="B12" s="12" t="inlineStr">
        <x:is>
          <x:t xml:space="preserve">Anna Harvey</x:t>
        </x:is>
      </x:c>
      <x:c r="C12" s="12" t="inlineStr">
        <x:is>
          <x:t xml:space="preserve">President</x:t>
        </x:is>
      </x:c>
      <x:c r="D12" s="14" t="n">
        <x:v>2024</x:v>
      </x:c>
      <x:c r="E12" s="12" t="inlineStr">
        <x:is>
          <x:t xml:space="preserve">2026-05-13</x:t>
        </x:is>
      </x:c>
      <x:c r="F12" s="12" t="n">
        <x:v>341003</x:v>
      </x:c>
      <x:c r="G12" s="12" t="n">
        <x:v>0</x:v>
      </x:c>
      <x:c r="H12" s="12" t="n">
        <x:v>42326</x:v>
      </x:c>
      <x:c r="I12" s="14" t="n">
        <x:v>362993.6027496463</x:v>
      </x:c>
      <x:c r="J12" s="14" t="n">
        <x:v>408049.1219972234</x:v>
      </x:c>
      <x:c r="K12" s="14" t="n">
        <x:v>14237307</x:v>
      </x:c>
      <x:c r="L12" s="14" t="n">
        <x:v>15470220</x:v>
      </x:c>
      <x:c r="M12" s="12" t="n"/>
      <x:c r="N12" s="12" t="inlineStr">
        <x:is>
          <x:t xml:space="preserve">primary</x:t>
        </x:is>
      </x:c>
      <x:c r="O12" s="12" t="n"/>
      <x:c r="P12" s="12" t="inlineStr">
        <x:is>
          <x:t xml:space="preserve">fellowships_grants_and_regranting_mix</x:t>
        </x:is>
      </x:c>
      <x:c r="Q12" s="12" t="inlineStr">
        <x:is>
          <x:t xml:space="preserve">13-1325070</x:t>
        </x:is>
      </x:c>
      <x:c r="R12" s="12" t="n">
        <x:v>2.026413393493078e+17</x:v>
      </x:c>
      <x:c r="S12" s="16" t="inlineStr">
        <x:is>
          <x:t xml:space="preserve">https://apps.irs.gov/pub/epostcard/990/xml/2026/202641339349307834_public.xml</x:t>
        </x:is>
      </x:c>
      <x:c r="T12" s="16" t="inlineStr">
        <x:is>
          <x:t xml:space="preserve">https://projects.propublica.org/nonprofits/organizations/131325070</x:t>
        </x:is>
      </x:c>
      <x:c r="U12" s="17" t="inlineStr">
        <x:is>
          <x:t xml:space="preserve">SRC-990-EXT-SOCIAL-SCIENCE-RESEARCH-COUNCIL</x:t>
        </x:is>
      </x:c>
    </x:row>
    <x:row r="13">
      <x:c r="A13" s="12" t="inlineStr">
        <x:is>
          <x:t xml:space="preserve">R Street Institute</x:t>
        </x:is>
      </x:c>
      <x:c r="B13" s="12" t="inlineStr">
        <x:is>
          <x:t xml:space="preserve">Elias Rothenberg-Lehrer</x:t>
        </x:is>
      </x:c>
      <x:c r="C13" s="12" t="inlineStr">
        <x:is>
          <x:t xml:space="preserve">President</x:t>
        </x:is>
      </x:c>
      <x:c r="D13" s="14" t="n">
        <x:v>2024</x:v>
      </x:c>
      <x:c r="E13" s="12" t="inlineStr">
        <x:is>
          <x:t xml:space="preserve">not captured</x:t>
        </x:is>
      </x:c>
      <x:c r="F13" s="12" t="n">
        <x:v>338874</x:v>
      </x:c>
      <x:c r="G13" s="12" t="n">
        <x:v>0</x:v>
      </x:c>
      <x:c r="H13" s="12" t="n">
        <x:v>35668</x:v>
      </x:c>
      <x:c r="I13" s="14" t="n">
        <x:v>360727.3077896196</x:v>
      </x:c>
      <x:c r="J13" s="14" t="n">
        <x:v>398695.4659080947</x:v>
      </x:c>
      <x:c r="K13" s="14" t="n">
        <x:v>15095416</x:v>
      </x:c>
      <x:c r="L13" s="14" t="n">
        <x:v>14464327</x:v>
      </x:c>
      <x:c r="M13" s="12" t="n"/>
      <x:c r="N13" s="12" t="inlineStr">
        <x:is>
          <x:t xml:space="preserve">structural_sensitivity</x:t>
        </x:is>
      </x:c>
      <x:c r="O13" s="12" t="n"/>
      <x:c r="P13" s="12" t="inlineStr">
        <x:is>
          <x:t xml:space="preserve">dual_top_leadership</x:t>
        </x:is>
      </x:c>
      <x:c r="Q13" s="12" t="inlineStr">
        <x:is>
          <x:t xml:space="preserve">26-3477125</x:t>
        </x:is>
      </x:c>
      <x:c r="R13" s="12" t="n">
        <x:v>2.025031193493012e+17</x:v>
      </x:c>
      <x:c r="S13" s="16" t="inlineStr">
        <x:is>
          <x:t xml:space="preserve">https://apps.irs.gov/pub/epostcard/990/xml/2025/202503119349301245_public.xml</x:t>
        </x:is>
      </x:c>
      <x:c r="T13" s="16" t="inlineStr">
        <x:is>
          <x:t xml:space="preserve">https://projects.propublica.org/nonprofits/organizations/263477125</x:t>
        </x:is>
      </x:c>
      <x:c r="U13" s="17" t="inlineStr">
        <x:is>
          <x:t xml:space="preserve">SRC-990-EXT-R-STREET-INSTITUTE</x:t>
        </x:is>
      </x:c>
    </x:row>
    <x:row r="14">
      <x:c r="A14" s="12" t="inlineStr">
        <x:is>
          <x:t xml:space="preserve">Center for AI Safety</x:t>
        </x:is>
      </x:c>
      <x:c r="B14" s="12" t="inlineStr">
        <x:is>
          <x:t xml:space="preserve">Dan Hendrycks</x:t>
        </x:is>
      </x:c>
      <x:c r="C14" s="12" t="inlineStr">
        <x:is>
          <x:t xml:space="preserve">President &amp; Treasurer</x:t>
        </x:is>
      </x:c>
      <x:c r="D14" s="14" t="n">
        <x:v>2024</x:v>
      </x:c>
      <x:c r="E14" s="12" t="inlineStr">
        <x:is>
          <x:t xml:space="preserve">2025-11-17</x:t>
        </x:is>
      </x:c>
      <x:c r="F14" s="12" t="n">
        <x:v>242953</x:v>
      </x:c>
      <x:c r="G14" s="12" t="n">
        <x:v>0</x:v>
      </x:c>
      <x:c r="H14" s="12" t="n">
        <x:v>22764</x:v>
      </x:c>
      <x:c r="I14" s="14" t="n">
        <x:v>258620.5539799792</x:v>
      </x:c>
      <x:c r="J14" s="14" t="n">
        <x:v>282852.5588978037</x:v>
      </x:c>
      <x:c r="K14" s="14" t="n">
        <x:v>10235085</x:v>
      </x:c>
      <x:c r="L14" s="14" t="n">
        <x:v>7163607</x:v>
      </x:c>
      <x:c r="M14" s="12" t="n">
        <x:v>25</x:v>
      </x:c>
      <x:c r="N14" s="12" t="inlineStr">
        <x:is>
          <x:t xml:space="preserve">primary</x:t>
        </x:is>
      </x:c>
      <x:c r="O14" s="12" t="n"/>
      <x:c r="P14" s="12" t="inlineStr">
        <x:is>
          <x:t xml:space="preserve">founder</x:t>
        </x:is>
      </x:c>
      <x:c r="Q14" s="12" t="inlineStr">
        <x:is>
          <x:t xml:space="preserve">88-1751310</x:t>
        </x:is>
      </x:c>
      <x:c r="R14" s="12" t="n">
        <x:v>2.025032193493236e+17</x:v>
      </x:c>
      <x:c r="S14" s="16" t="inlineStr">
        <x:is>
          <x:t xml:space="preserve">https://apps.irs.gov/pub/epostcard/990/xml/2025/202503219349323615_public.xml</x:t>
        </x:is>
      </x:c>
      <x:c r="T14" s="16" t="inlineStr">
        <x:is>
          <x:t xml:space="preserve">https://projects.propublica.org/nonprofits/organizations/881751310</x:t>
        </x:is>
      </x:c>
      <x:c r="U14" s="17" t="inlineStr">
        <x:is>
          <x:t xml:space="preserve">SRC-990-EXT-CENTER-FOR-AI-SAFETY</x:t>
        </x:is>
      </x:c>
    </x:row>
    <x:row r="15">
      <x:c r="A15" s="12" t="inlineStr">
        <x:is>
          <x:t xml:space="preserve">FAR AI</x:t>
        </x:is>
      </x:c>
      <x:c r="B15" s="12" t="inlineStr">
        <x:is>
          <x:t xml:space="preserve">Adam Gleave</x:t>
        </x:is>
      </x:c>
      <x:c r="C15" s="12" t="inlineStr">
        <x:is>
          <x:t xml:space="preserve">President/CEO</x:t>
        </x:is>
      </x:c>
      <x:c r="D15" s="14" t="n">
        <x:v>2024</x:v>
      </x:c>
      <x:c r="E15" s="12" t="inlineStr">
        <x:is>
          <x:t xml:space="preserve">2025-11-14</x:t>
        </x:is>
      </x:c>
      <x:c r="F15" s="12" t="n">
        <x:v>229331</x:v>
      </x:c>
      <x:c r="G15" s="12" t="n">
        <x:v>0</x:v>
      </x:c>
      <x:c r="H15" s="12" t="n">
        <x:v>8273</x:v>
      </x:c>
      <x:c r="I15" s="14" t="n">
        <x:v>244120.0983926216</x:v>
      </x:c>
      <x:c r="J15" s="14" t="n">
        <x:v>252926.6076478124</x:v>
      </x:c>
      <x:c r="K15" s="14" t="n">
        <x:v>24293765</x:v>
      </x:c>
      <x:c r="L15" s="14" t="n">
        <x:v>8602996</x:v>
      </x:c>
      <x:c r="M15" s="12" t="n">
        <x:v>22</x:v>
      </x:c>
      <x:c r="N15" s="12" t="inlineStr">
        <x:is>
          <x:t xml:space="preserve">primary</x:t>
        </x:is>
      </x:c>
      <x:c r="O15" s="12" t="n"/>
      <x:c r="P15" s="12" t="inlineStr">
        <x:is>
          <x:t xml:space="preserve">none</x:t>
        </x:is>
      </x:c>
      <x:c r="Q15" s="12" t="inlineStr">
        <x:is>
          <x:t xml:space="preserve">92-0692207</x:t>
        </x:is>
      </x:c>
      <x:c r="R15" s="12" t="n">
        <x:v>2.025431893493161e+17</x:v>
      </x:c>
      <x:c r="S15" s="16" t="inlineStr">
        <x:is>
          <x:t xml:space="preserve">https://apps.irs.gov/pub/epostcard/990/xml/2025/202543189349316054_public.xml</x:t>
        </x:is>
      </x:c>
      <x:c r="T15" s="16" t="inlineStr">
        <x:is>
          <x:t xml:space="preserve">https://projects.propublica.org/nonprofits/organizations/920692207</x:t>
        </x:is>
      </x:c>
      <x:c r="U15" s="17" t="inlineStr">
        <x:is>
          <x:t xml:space="preserve">SRC-990-EXT-FAR-AI</x:t>
        </x:is>
      </x:c>
    </x:row>
    <x:row r="16">
      <x:c r="A16" s="12" t="inlineStr">
        <x:is>
          <x:t xml:space="preserve">Council on Strategic Risks</x:t>
        </x:is>
      </x:c>
      <x:c r="B16" s="12" t="inlineStr">
        <x:is>
          <x:t xml:space="preserve">Christine Parthemore</x:t>
        </x:is>
      </x:c>
      <x:c r="C16" s="12" t="inlineStr">
        <x:is>
          <x:t xml:space="preserve">Chief Executive Officer</x:t>
        </x:is>
      </x:c>
      <x:c r="D16" s="14" t="n">
        <x:v>2025</x:v>
      </x:c>
      <x:c r="E16" s="12" t="inlineStr">
        <x:is>
          <x:t xml:space="preserve">2026-04-21</x:t>
        </x:is>
      </x:c>
      <x:c r="F16" s="12" t="n">
        <x:v>261000</x:v>
      </x:c>
      <x:c r="G16" s="12" t="n">
        <x:v>0</x:v>
      </x:c>
      <x:c r="H16" s="12" t="n">
        <x:v>16020</x:v>
      </x:c>
      <x:c r="I16" s="14" t="n">
        <x:v>270708.162625061</x:v>
      </x:c>
      <x:c r="J16" s="14" t="n">
        <x:v>287324.0429517027</x:v>
      </x:c>
      <x:c r="K16" s="14" t="n">
        <x:v>6445581</x:v>
      </x:c>
      <x:c r="L16" s="14" t="n">
        <x:v>5184309</x:v>
      </x:c>
      <x:c r="M16" s="12" t="n">
        <x:v>23</x:v>
      </x:c>
      <x:c r="N16" s="12" t="inlineStr">
        <x:is>
          <x:t xml:space="preserve">primary</x:t>
        </x:is>
      </x:c>
      <x:c r="O16" s="12" t="n"/>
      <x:c r="P16" s="12" t="inlineStr">
        <x:is>
          <x:t xml:space="preserve">none</x:t>
        </x:is>
      </x:c>
      <x:c r="Q16" s="12" t="inlineStr">
        <x:is>
          <x:t xml:space="preserve">82-3106472</x:t>
        </x:is>
      </x:c>
      <x:c r="R16" s="12" t="n">
        <x:v>2.026011193493008e+17</x:v>
      </x:c>
      <x:c r="S16" s="16" t="inlineStr">
        <x:is>
          <x:t xml:space="preserve">https://apps.irs.gov/pub/epostcard/990/xml/2026/202601119349300825_public.xml</x:t>
        </x:is>
      </x:c>
      <x:c r="T16" s="16" t="inlineStr">
        <x:is>
          <x:t xml:space="preserve">https://projects.propublica.org/nonprofits/organizations/823106472</x:t>
        </x:is>
      </x:c>
      <x:c r="U16" s="17" t="inlineStr">
        <x:is>
          <x:t xml:space="preserve">SRC-990-EXT-COUNCIL-ON-STRATEGIC-RISKS</x:t>
        </x:is>
      </x:c>
    </x:row>
    <x:row r="17">
      <x:c r="A17" s="12" t="inlineStr">
        <x:is>
          <x:t xml:space="preserve">Population Reference Bureau</x:t>
        </x:is>
      </x:c>
      <x:c r="B17" s="12" t="inlineStr">
        <x:is>
          <x:t xml:space="preserve">Jeffrey Jordan</x:t>
        </x:is>
      </x:c>
      <x:c r="C17" s="12" t="inlineStr">
        <x:is>
          <x:t xml:space="preserve">President &amp; CEO</x:t>
        </x:is>
      </x:c>
      <x:c r="D17" s="14" t="n">
        <x:v>2023</x:v>
      </x:c>
      <x:c r="E17" s="12" t="inlineStr">
        <x:is>
          <x:t xml:space="preserve">2025-06-27</x:t>
        </x:is>
      </x:c>
      <x:c r="F17" s="12" t="n">
        <x:v>357544</x:v>
      </x:c>
      <x:c r="G17" s="12" t="n">
        <x:v>0</x:v>
      </x:c>
      <x:c r="H17" s="12" t="n">
        <x:v>57162</x:v>
      </x:c>
      <x:c r="I17" s="14" t="n">
        <x:v>391827.2300586996</x:v>
      </x:c>
      <x:c r="J17" s="14" t="n">
        <x:v>454470.2281921192</x:v>
      </x:c>
      <x:c r="K17" s="14" t="n">
        <x:v>11745158</x:v>
      </x:c>
      <x:c r="L17" s="14" t="n">
        <x:v>12190648</x:v>
      </x:c>
      <x:c r="M17" s="12" t="n">
        <x:v>59</x:v>
      </x:c>
      <x:c r="N17" s="12" t="inlineStr">
        <x:is>
          <x:t xml:space="preserve">primary_older_clean</x:t>
        </x:is>
      </x:c>
      <x:c r="O17" s="12" t="n"/>
      <x:c r="P17" s="12" t="inlineStr">
        <x:is>
          <x:t xml:space="preserve">prior_year_due_transition</x:t>
        </x:is>
      </x:c>
      <x:c r="Q17" s="12" t="inlineStr">
        <x:is>
          <x:t xml:space="preserve">53-0214030</x:t>
        </x:is>
      </x:c>
      <x:c r="R17" s="12" t="n">
        <x:v>2.025017893493013e+17</x:v>
      </x:c>
      <x:c r="S17" s="16" t="inlineStr">
        <x:is>
          <x:t xml:space="preserve">https://apps.irs.gov/pub/epostcard/990/xml/2025/202501789349301305_public.xml</x:t>
        </x:is>
      </x:c>
      <x:c r="T17" s="16" t="inlineStr">
        <x:is>
          <x:t xml:space="preserve">https://projects.propublica.org/nonprofits/organizations/530214030</x:t>
        </x:is>
      </x:c>
      <x:c r="U17" s="17" t="inlineStr">
        <x:is>
          <x:t xml:space="preserve">SRC-990-EXT-POPULATION-REFERENCE-BUREAU</x:t>
        </x:is>
      </x:c>
    </x:row>
    <x:row r="18">
      <x:c r="A18" s="12" t="inlineStr">
        <x:is>
          <x:t xml:space="preserve">Animal Welfare Institute</x:t>
        </x:is>
      </x:c>
      <x:c r="B18" s="12" t="inlineStr">
        <x:is>
          <x:t xml:space="preserve">Susan Millward</x:t>
        </x:is>
      </x:c>
      <x:c r="C18" s="12" t="inlineStr">
        <x:is>
          <x:t xml:space="preserve">Executive Director/CEO</x:t>
        </x:is>
      </x:c>
      <x:c r="D18" s="14" t="n">
        <x:v>2024</x:v>
      </x:c>
      <x:c r="E18" s="12" t="inlineStr">
        <x:is>
          <x:t xml:space="preserve">2025-11-14</x:t>
        </x:is>
      </x:c>
      <x:c r="F18" s="12" t="n">
        <x:v>181013</x:v>
      </x:c>
      <x:c r="G18" s="12" t="n">
        <x:v>0</x:v>
      </x:c>
      <x:c r="H18" s="12" t="n">
        <x:v>9435</x:v>
      </x:c>
      <x:c r="I18" s="14" t="n">
        <x:v>192686.1670264535</x:v>
      </x:c>
      <x:c r="J18" s="14" t="n">
        <x:v>202729.6113420253</x:v>
      </x:c>
      <x:c r="K18" s="14" t="n">
        <x:v>6170763</x:v>
      </x:c>
      <x:c r="L18" s="14" t="n">
        <x:v>7585554</x:v>
      </x:c>
      <x:c r="M18" s="12" t="n">
        <x:v>35</x:v>
      </x:c>
      <x:c r="N18" s="12" t="inlineStr">
        <x:is>
          <x:t xml:space="preserve">primary</x:t>
        </x:is>
      </x:c>
      <x:c r="O18" s="12" t="n"/>
      <x:c r="P18" s="12" t="inlineStr">
        <x:is>
          <x:t xml:space="preserve">none</x:t>
        </x:is>
      </x:c>
      <x:c r="Q18" s="12" t="inlineStr">
        <x:is>
          <x:t xml:space="preserve">13-5655952</x:t>
        </x:is>
      </x:c>
      <x:c r="R18" s="12" t="n">
        <x:v>2.025431893493058e+17</x:v>
      </x:c>
      <x:c r="S18" s="16" t="inlineStr">
        <x:is>
          <x:t xml:space="preserve">https://apps.irs.gov/pub/epostcard/990/xml/2025/202543189349305814_public.xml</x:t>
        </x:is>
      </x:c>
      <x:c r="T18" s="16" t="inlineStr">
        <x:is>
          <x:t xml:space="preserve">https://projects.propublica.org/nonprofits/organizations/135655952</x:t>
        </x:is>
      </x:c>
      <x:c r="U18" s="17" t="inlineStr">
        <x:is>
          <x:t xml:space="preserve">SRC-990-EXT-ANIMAL-WELFARE-INSTITUTE</x:t>
        </x:is>
      </x:c>
    </x:row>
    <x:row r="19">
      <x:c r="A19" s="12" t="inlineStr">
        <x:is>
          <x:t xml:space="preserve">Nuclear Threat Initiative</x:t>
        </x:is>
      </x:c>
      <x:c r="B19" s="12" t="inlineStr">
        <x:is>
          <x:t xml:space="preserve">Ernest Moniz</x:t>
        </x:is>
      </x:c>
      <x:c r="C19" s="12" t="inlineStr">
        <x:is>
          <x:t xml:space="preserve">Chief Executive Officer / Co-Chair</x:t>
        </x:is>
      </x:c>
      <x:c r="D19" s="14" t="n">
        <x:v>2024</x:v>
      </x:c>
      <x:c r="E19" s="12" t="inlineStr">
        <x:is>
          <x:t xml:space="preserve">2025-07-30</x:t>
        </x:is>
      </x:c>
      <x:c r="F19" s="12" t="n">
        <x:v>472562</x:v>
      </x:c>
      <x:c r="G19" s="12" t="n">
        <x:v>0</x:v>
      </x:c>
      <x:c r="H19" s="12" t="n">
        <x:v>54250</x:v>
      </x:c>
      <x:c r="I19" s="14" t="n">
        <x:v>503036.5800376489</x:v>
      </x:c>
      <x:c r="J19" s="14" t="n">
        <x:v>560785.0542421817</x:v>
      </x:c>
      <x:c r="K19" s="14" t="n">
        <x:v>19649784</x:v>
      </x:c>
      <x:c r="L19" s="14" t="n">
        <x:v>26073759</x:v>
      </x:c>
      <x:c r="M19" s="12" t="n">
        <x:v>75</x:v>
      </x:c>
      <x:c r="N19" s="12" t="inlineStr">
        <x:is>
          <x:t xml:space="preserve">primary_with_structure_flag</x:t>
        </x:is>
      </x:c>
      <x:c r="O19" s="12" t="n"/>
      <x:c r="P19" s="12" t="inlineStr">
        <x:is>
          <x:t xml:space="preserve">dual_senior_executive</x:t>
        </x:is>
      </x:c>
      <x:c r="Q19" s="12" t="inlineStr">
        <x:is>
          <x:t xml:space="preserve">52-2289435</x:t>
        </x:is>
      </x:c>
      <x:c r="R19" s="12" t="n">
        <x:v>2.025221193493017e+17</x:v>
      </x:c>
      <x:c r="S19" s="16" t="inlineStr">
        <x:is>
          <x:t xml:space="preserve">https://apps.irs.gov/pub/epostcard/990/xml/2025/202522119349301667_public.xml</x:t>
        </x:is>
      </x:c>
      <x:c r="T19" s="16" t="inlineStr">
        <x:is>
          <x:t xml:space="preserve">https://projects.propublica.org/nonprofits/organizations/522289435</x:t>
        </x:is>
      </x:c>
      <x:c r="U19" s="17" t="inlineStr">
        <x:is>
          <x:t xml:space="preserve">SRC-990-EXT-NUCLEAR-THREAT-INITIATIVE</x:t>
        </x:is>
      </x:c>
    </x:row>
    <x:row r="20">
      <x:c r="A20" s="12" t="inlineStr">
        <x:is>
          <x:t xml:space="preserve">Pure Earth</x:t>
        </x:is>
      </x:c>
      <x:c r="B20" s="12" t="inlineStr">
        <x:is>
          <x:t xml:space="preserve">Leadership transition</x:t>
        </x:is>
      </x:c>
      <x:c r="C20" s="12" t="inlineStr">
        <x:is>
          <x:t xml:space="preserve">CEO through November / President-CEO</x:t>
        </x:is>
      </x:c>
      <x:c r="D20" s="14" t="n">
        <x:v>2024</x:v>
      </x:c>
      <x:c r="E20" s="12" t="inlineStr">
        <x:is>
          <x:t xml:space="preserve">2025-10-07</x:t>
        </x:is>
      </x:c>
      <x:c r="F20" s="12" t="n"/>
      <x:c r="G20" s="12" t="n"/>
      <x:c r="H20" s="12" t="n"/>
      <x:c r="I20" s="14" t="n"/>
      <x:c r="J20" s="14" t="n"/>
      <x:c r="K20" s="14" t="n">
        <x:v>18493014</x:v>
      </x:c>
      <x:c r="L20" s="14" t="n">
        <x:v>6837260</x:v>
      </x:c>
      <x:c r="M20" s="12" t="n">
        <x:v>27</x:v>
      </x:c>
      <x:c r="N20" s="12" t="inlineStr">
        <x:is>
          <x:t xml:space="preserve">excluded_transition</x:t>
        </x:is>
      </x:c>
      <x:c r="O20" s="13" t="inlineStr">
        <x:is>
          <x:t xml:space="preserve">Richard Fuller CEO through November; Andrew McCartor President/CEO; no clean single full-year observation.</x:t>
        </x:is>
      </x:c>
      <x:c r="P20" s="12" t="inlineStr">
        <x:is>
          <x:t xml:space="preserve">transition</x:t>
        </x:is>
      </x:c>
      <x:c r="Q20" s="12" t="inlineStr">
        <x:is>
          <x:t xml:space="preserve">13-4075779</x:t>
        </x:is>
      </x:c>
      <x:c r="R20" s="12" t="n">
        <x:v>2.025328093493021e+17</x:v>
      </x:c>
      <x:c r="S20" s="16" t="inlineStr">
        <x:is>
          <x:t xml:space="preserve">https://apps.irs.gov/pub/epostcard/990/xml/2025/202532809349302073_public.xml</x:t>
        </x:is>
      </x:c>
      <x:c r="T20" s="16" t="inlineStr">
        <x:is>
          <x:t xml:space="preserve">https://projects.propublica.org/nonprofits/organizations/134075779</x:t>
        </x:is>
      </x:c>
      <x:c r="U20" s="17" t="inlineStr">
        <x:is>
          <x:t xml:space="preserve">SRC-990-EXT-PURE-EARTH</x:t>
        </x:is>
      </x:c>
    </x:row>
    <x:row r="21">
      <x:c r="A21" s="12" t="inlineStr">
        <x:is>
          <x:t xml:space="preserve">ideas42</x:t>
        </x:is>
      </x:c>
      <x:c r="B21" s="12" t="inlineStr">
        <x:is>
          <x:t xml:space="preserve">Joshua Lloyd Wright</x:t>
        </x:is>
      </x:c>
      <x:c r="C21" s="12" t="inlineStr">
        <x:is>
          <x:t xml:space="preserve">Chief Executive Director</x:t>
        </x:is>
      </x:c>
      <x:c r="D21" s="14" t="n">
        <x:v>2023</x:v>
      </x:c>
      <x:c r="E21" s="12" t="inlineStr">
        <x:is>
          <x:t xml:space="preserve">2024-11-14</x:t>
        </x:is>
      </x:c>
      <x:c r="F21" s="12" t="n">
        <x:v>243431</x:v>
      </x:c>
      <x:c r="G21" s="12" t="n">
        <x:v>0</x:v>
      </x:c>
      <x:c r="H21" s="12" t="n">
        <x:v>28299</x:v>
      </x:c>
      <x:c r="I21" s="14" t="n">
        <x:v>266772.4655998123</x:v>
      </x:c>
      <x:c r="J21" s="14" t="n">
        <x:v>297784.9249990223</x:v>
      </x:c>
      <x:c r="K21" s="14" t="n">
        <x:v>23951203</x:v>
      </x:c>
      <x:c r="L21" s="14" t="n">
        <x:v>18019969</x:v>
      </x:c>
      <x:c r="M21" s="12" t="n">
        <x:v>103</x:v>
      </x:c>
      <x:c r="N21" s="12" t="inlineStr">
        <x:is>
          <x:t xml:space="preserve">primary_older_clean</x:t>
        </x:is>
      </x:c>
      <x:c r="O21" s="12" t="n"/>
      <x:c r="P21" s="12" t="inlineStr">
        <x:is>
          <x:t xml:space="preserve">prior_year_due_transition</x:t>
        </x:is>
      </x:c>
      <x:c r="Q21" s="12" t="inlineStr">
        <x:is>
          <x:t xml:space="preserve">27-1678009</x:t>
        </x:is>
      </x:c>
      <x:c r="R21" s="12" t="n">
        <x:v>2.024231993493148e+17</x:v>
      </x:c>
      <x:c r="S21" s="16" t="inlineStr">
        <x:is>
          <x:t xml:space="preserve">https://apps.irs.gov/pub/epostcard/990/xml/2024/202423199349314832_public.xml</x:t>
        </x:is>
      </x:c>
      <x:c r="T21" s="16" t="inlineStr">
        <x:is>
          <x:t xml:space="preserve">https://projects.propublica.org/nonprofits/organizations/271678009</x:t>
        </x:is>
      </x:c>
      <x:c r="U21" s="17" t="inlineStr">
        <x:is>
          <x:t xml:space="preserve">SRC-990-EXT-IDEAS42</x:t>
        </x:is>
      </x:c>
    </x:row>
    <x:row r="22">
      <x:c r="A22" s="12" t="inlineStr">
        <x:is>
          <x:t xml:space="preserve">Migration Policy Institute</x:t>
        </x:is>
      </x:c>
      <x:c r="B22" s="12" t="inlineStr">
        <x:is>
          <x:t xml:space="preserve">Andrew Selee</x:t>
        </x:is>
      </x:c>
      <x:c r="C22" s="12" t="inlineStr">
        <x:is>
          <x:t xml:space="preserve">President</x:t>
        </x:is>
      </x:c>
      <x:c r="D22" s="14" t="n">
        <x:v>2024</x:v>
      </x:c>
      <x:c r="E22" s="12" t="inlineStr">
        <x:is>
          <x:t xml:space="preserve">2026-05-15</x:t>
        </x:is>
      </x:c>
      <x:c r="F22" s="12" t="n">
        <x:v>285000</x:v>
      </x:c>
      <x:c r="G22" s="12" t="n">
        <x:v>0</x:v>
      </x:c>
      <x:c r="H22" s="12" t="n">
        <x:v>68194</x:v>
      </x:c>
      <x:c r="I22" s="14" t="n">
        <x:v>303379.0810745043</x:v>
      </x:c>
      <x:c r="J22" s="14" t="n">
        <x:v>375970.7760036087</x:v>
      </x:c>
      <x:c r="K22" s="14" t="n">
        <x:v>6855627</x:v>
      </x:c>
      <x:c r="L22" s="14" t="n">
        <x:v>7069622</x:v>
      </x:c>
      <x:c r="M22" s="12" t="n">
        <x:v>33</x:v>
      </x:c>
      <x:c r="N22" s="12" t="inlineStr">
        <x:is>
          <x:t xml:space="preserve">primary</x:t>
        </x:is>
      </x:c>
      <x:c r="O22" s="12" t="n"/>
      <x:c r="P22" s="12" t="inlineStr">
        <x:is>
          <x:t xml:space="preserve">none</x:t>
        </x:is>
      </x:c>
      <x:c r="Q22" s="12" t="inlineStr">
        <x:is>
          <x:t xml:space="preserve">52-2279789</x:t>
        </x:is>
      </x:c>
      <x:c r="R22" s="12" t="n">
        <x:v>2.0260135934931e+17</x:v>
      </x:c>
      <x:c r="S22" s="16" t="inlineStr">
        <x:is>
          <x:t xml:space="preserve">https://apps.irs.gov/pub/epostcard/990/xml/2026/202601359349310000_public.xml</x:t>
        </x:is>
      </x:c>
      <x:c r="T22" s="16" t="inlineStr">
        <x:is>
          <x:t xml:space="preserve">https://projects.propublica.org/nonprofits/organizations/522279789</x:t>
        </x:is>
      </x:c>
      <x:c r="U22" s="17" t="inlineStr">
        <x:is>
          <x:t xml:space="preserve">SRC-990-EXT-MIGRATION-POLICY-INSTITUTE</x:t>
        </x:is>
      </x:c>
    </x:row>
    <x:row r="23">
      <x:c r="A23" s="13" t="inlineStr">
        <x:is>
          <x:t xml:space="preserve">Peterson Institute for International Economics</x:t>
        </x:is>
      </x:c>
      <x:c r="B23" s="12" t="inlineStr">
        <x:is>
          <x:t xml:space="preserve">Adam S. Posen</x:t>
        </x:is>
      </x:c>
      <x:c r="C23" s="12" t="inlineStr">
        <x:is>
          <x:t xml:space="preserve">President</x:t>
        </x:is>
      </x:c>
      <x:c r="D23" s="14" t="n">
        <x:v>2024</x:v>
      </x:c>
      <x:c r="E23" s="12" t="inlineStr">
        <x:is>
          <x:t xml:space="preserve">2026-04-28</x:t>
        </x:is>
      </x:c>
      <x:c r="F23" s="12" t="n">
        <x:v>565908</x:v>
      </x:c>
      <x:c r="G23" s="12" t="n">
        <x:v>0</x:v>
      </x:c>
      <x:c r="H23" s="12" t="n">
        <x:v>56676</x:v>
      </x:c>
      <x:c r="I23" s="14" t="n">
        <x:v>602402.277237581</x:v>
      </x:c>
      <x:c r="J23" s="14" t="n">
        <x:v>662733.1993392603</x:v>
      </x:c>
      <x:c r="K23" s="14" t="n">
        <x:v>17773572</x:v>
      </x:c>
      <x:c r="L23" s="14" t="n">
        <x:v>16529676</x:v>
      </x:c>
      <x:c r="M23" s="12" t="n">
        <x:v>55</x:v>
      </x:c>
      <x:c r="N23" s="12" t="inlineStr">
        <x:is>
          <x:t xml:space="preserve">primary</x:t>
        </x:is>
      </x:c>
      <x:c r="O23" s="12" t="n"/>
      <x:c r="P23" s="12" t="inlineStr">
        <x:is>
          <x:t xml:space="preserve">none</x:t>
        </x:is>
      </x:c>
      <x:c r="Q23" s="12" t="inlineStr">
        <x:is>
          <x:t xml:space="preserve">52-1226967</x:t>
        </x:is>
      </x:c>
      <x:c r="R23" s="12" t="n">
        <x:v>2.026111893493006e+17</x:v>
      </x:c>
      <x:c r="S23" s="16" t="inlineStr">
        <x:is>
          <x:t xml:space="preserve">https://apps.irs.gov/pub/epostcard/990/xml/2026/202611189349300636_public.xml</x:t>
        </x:is>
      </x:c>
      <x:c r="T23" s="16" t="inlineStr">
        <x:is>
          <x:t xml:space="preserve">https://projects.propublica.org/nonprofits/organizations/521226967</x:t>
        </x:is>
      </x:c>
      <x:c r="U23" s="16" t="inlineStr">
        <x:is>
          <x:t xml:space="preserve">SRC-990-EXT-PETERSON-INSTITUTE-FOR-INTERNATIONAL-ECONOMICS</x:t>
        </x:is>
      </x:c>
    </x:row>
    <x:row r="24">
      <x:c r="A24" s="12" t="inlineStr">
        <x:is>
          <x:t xml:space="preserve">San Francisco Estuary Institute</x:t>
        </x:is>
      </x:c>
      <x:c r="B24" s="12" t="inlineStr">
        <x:is>
          <x:t xml:space="preserve">Warner Chabot</x:t>
        </x:is>
      </x:c>
      <x:c r="C24" s="12" t="inlineStr">
        <x:is>
          <x:t xml:space="preserve">Executive Director</x:t>
        </x:is>
      </x:c>
      <x:c r="D24" s="14" t="n">
        <x:v>2024</x:v>
      </x:c>
      <x:c r="E24" s="12" t="inlineStr">
        <x:is>
          <x:t xml:space="preserve">2026-05-11</x:t>
        </x:is>
      </x:c>
      <x:c r="F24" s="12" t="n">
        <x:v>182526</x:v>
      </x:c>
      <x:c r="G24" s="12" t="n">
        <x:v>0</x:v>
      </x:c>
      <x:c r="H24" s="12" t="n">
        <x:v>0</x:v>
      </x:c>
      <x:c r="I24" s="14" t="n">
        <x:v>194296.7373761578</x:v>
      </x:c>
      <x:c r="J24" s="14" t="n">
        <x:v>194296.7373761578</x:v>
      </x:c>
      <x:c r="K24" s="14" t="n">
        <x:v>19594340</x:v>
      </x:c>
      <x:c r="L24" s="14" t="n">
        <x:v>19110723</x:v>
      </x:c>
      <x:c r="M24" s="12" t="n">
        <x:v>99</x:v>
      </x:c>
      <x:c r="N24" s="12" t="inlineStr">
        <x:is>
          <x:t xml:space="preserve">primary</x:t>
        </x:is>
      </x:c>
      <x:c r="O24" s="12" t="n"/>
      <x:c r="P24" s="12" t="inlineStr">
        <x:is>
          <x:t xml:space="preserve">none</x:t>
        </x:is>
      </x:c>
      <x:c r="Q24" s="12" t="inlineStr">
        <x:is>
          <x:t xml:space="preserve">94-2951373</x:t>
        </x:is>
      </x:c>
      <x:c r="R24" s="12" t="n">
        <x:v>2.026313193493042e+17</x:v>
      </x:c>
      <x:c r="S24" s="16" t="inlineStr">
        <x:is>
          <x:t xml:space="preserve">https://apps.irs.gov/pub/epostcard/990/xml/2026/202631319349304238_public.xml</x:t>
        </x:is>
      </x:c>
      <x:c r="T24" s="16" t="inlineStr">
        <x:is>
          <x:t xml:space="preserve">https://projects.propublica.org/nonprofits/organizations/942951373</x:t>
        </x:is>
      </x:c>
      <x:c r="U24" s="17" t="inlineStr">
        <x:is>
          <x:t xml:space="preserve">SRC-990-EXT-SAN-FRANCISCO-ESTUARY-INSTITUTE</x:t>
        </x:is>
      </x:c>
    </x:row>
    <x:row r="25">
      <x:c r="A25" s="12" t="inlineStr">
        <x:is>
          <x:t xml:space="preserve">Technical Assistance Collaborative</x:t>
        </x:is>
      </x:c>
      <x:c r="B25" s="12" t="inlineStr">
        <x:is>
          <x:t xml:space="preserve">Kevin Martone</x:t>
        </x:is>
      </x:c>
      <x:c r="C25" s="12" t="inlineStr">
        <x:is>
          <x:t xml:space="preserve">Executive Director &amp; President</x:t>
        </x:is>
      </x:c>
      <x:c r="D25" s="14" t="n">
        <x:v>2023</x:v>
      </x:c>
      <x:c r="E25" s="12" t="inlineStr">
        <x:is>
          <x:t xml:space="preserve">2025-03-03</x:t>
        </x:is>
      </x:c>
      <x:c r="F25" s="12" t="n">
        <x:v>230222</x:v>
      </x:c>
      <x:c r="G25" s="12" t="n">
        <x:v>0</x:v>
      </x:c>
      <x:c r="H25" s="12" t="n">
        <x:v>50228</x:v>
      </x:c>
      <x:c r="I25" s="14" t="n">
        <x:v>252296.9160678796</x:v>
      </x:c>
      <x:c r="J25" s="14" t="n">
        <x:v>307341.0452139102</x:v>
      </x:c>
      <x:c r="K25" s="14" t="n">
        <x:v>17168882</x:v>
      </x:c>
      <x:c r="L25" s="14" t="n">
        <x:v>17191674</x:v>
      </x:c>
      <x:c r="M25" s="12" t="n">
        <x:v>57</x:v>
      </x:c>
      <x:c r="N25" s="12" t="inlineStr">
        <x:is>
          <x:t xml:space="preserve">primary_older_clean</x:t>
        </x:is>
      </x:c>
      <x:c r="O25" s="12" t="n"/>
      <x:c r="P25" s="12" t="inlineStr">
        <x:is>
          <x:t xml:space="preserve">prior_year_due_transition</x:t>
        </x:is>
      </x:c>
      <x:c r="Q25" s="12" t="inlineStr">
        <x:is>
          <x:t xml:space="preserve">22-3181028</x:t>
        </x:is>
      </x:c>
      <x:c r="R25" s="12" t="n">
        <x:v>2.025006293493007e+17</x:v>
      </x:c>
      <x:c r="S25" s="16" t="inlineStr">
        <x:is>
          <x:t xml:space="preserve">https://apps.irs.gov/pub/epostcard/990/xml/2025/202500629349300740_public.xml</x:t>
        </x:is>
      </x:c>
      <x:c r="T25" s="16" t="inlineStr">
        <x:is>
          <x:t xml:space="preserve">https://projects.propublica.org/nonprofits/organizations/223181028</x:t>
        </x:is>
      </x:c>
      <x:c r="U25" s="16" t="inlineStr">
        <x:is>
          <x:t xml:space="preserve">SRC-990-EXT-TECHNICAL-ASSISTANCE-COLLABORATIVE</x:t>
        </x:is>
      </x:c>
    </x:row>
    <x:row r="26">
      <x:c r="A26" s="12" t="inlineStr">
        <x:is>
          <x:t xml:space="preserve">Wild Animal Initiative</x:t>
        </x:is>
      </x:c>
      <x:c r="B26" s="12" t="inlineStr">
        <x:is>
          <x:t xml:space="preserve">Cameron Meyer Shorb</x:t>
        </x:is>
      </x:c>
      <x:c r="C26" s="12" t="inlineStr">
        <x:is>
          <x:t xml:space="preserve">Executive Director</x:t>
        </x:is>
      </x:c>
      <x:c r="D26" s="14" t="n">
        <x:v>2024</x:v>
      </x:c>
      <x:c r="E26" s="12" t="inlineStr">
        <x:is>
          <x:t xml:space="preserve">2025-08-19</x:t>
        </x:is>
      </x:c>
      <x:c r="F26" s="12" t="n">
        <x:v>101961</x:v>
      </x:c>
      <x:c r="G26" s="12" t="n">
        <x:v>0</x:v>
      </x:c>
      <x:c r="H26" s="12" t="n">
        <x:v>12383</x:v>
      </x:c>
      <x:c r="I26" s="14" t="n">
        <x:v>108536.2613524124</x:v>
      </x:c>
      <x:c r="J26" s="14" t="n">
        <x:v>121717.8163030987</x:v>
      </x:c>
      <x:c r="K26" s="14" t="n">
        <x:v>2487849</x:v>
      </x:c>
      <x:c r="L26" s="14" t="n">
        <x:v>3345940</x:v>
      </x:c>
      <x:c r="M26" s="12" t="n">
        <x:v>16</x:v>
      </x:c>
      <x:c r="N26" s="12" t="inlineStr">
        <x:is>
          <x:t xml:space="preserve">primary</x:t>
        </x:is>
      </x:c>
      <x:c r="O26" s="12" t="n"/>
      <x:c r="P26" s="12" t="inlineStr">
        <x:is>
          <x:t xml:space="preserve">none</x:t>
        </x:is>
      </x:c>
      <x:c r="Q26" s="12" t="inlineStr">
        <x:is>
          <x:t xml:space="preserve">82-2281466</x:t>
        </x:is>
      </x:c>
      <x:c r="R26" s="12" t="n">
        <x:v>2.025323193493009e+17</x:v>
      </x:c>
      <x:c r="S26" s="16" t="inlineStr">
        <x:is>
          <x:t xml:space="preserve">https://apps.irs.gov/pub/epostcard/990/xml/2025/202532319349300913_public.xml</x:t>
        </x:is>
      </x:c>
      <x:c r="T26" s="16" t="inlineStr">
        <x:is>
          <x:t xml:space="preserve">https://projects.propublica.org/nonprofits/organizations/822281466</x:t>
        </x:is>
      </x:c>
      <x:c r="U26" s="17" t="inlineStr">
        <x:is>
          <x:t xml:space="preserve">SRC-990-EXT-WILD-ANIMAL-INITIATIVE</x:t>
        </x:is>
      </x:c>
    </x:row>
    <x:row r="27">
      <x:c r="A27" s="12" t="inlineStr">
        <x:is>
          <x:t xml:space="preserve">World Justice Project</x:t>
        </x:is>
      </x:c>
      <x:c r="B27" s="12" t="inlineStr">
        <x:is>
          <x:t xml:space="preserve">Elizabeth Andersen</x:t>
        </x:is>
      </x:c>
      <x:c r="C27" s="12" t="inlineStr">
        <x:is>
          <x:t xml:space="preserve">Executive Director</x:t>
        </x:is>
      </x:c>
      <x:c r="D27" s="14" t="n">
        <x:v>2024</x:v>
      </x:c>
      <x:c r="E27" s="12" t="inlineStr">
        <x:is>
          <x:t xml:space="preserve">2025-11-04</x:t>
        </x:is>
      </x:c>
      <x:c r="F27" s="12" t="n">
        <x:v>358916</x:v>
      </x:c>
      <x:c r="G27" s="12" t="n">
        <x:v>0</x:v>
      </x:c>
      <x:c r="H27" s="12" t="n">
        <x:v>93278</x:v>
      </x:c>
      <x:c r="I27" s="14" t="n">
        <x:v>382061.7763611817</x:v>
      </x:c>
      <x:c r="J27" s="14" t="n">
        <x:v>481355.0883768576</x:v>
      </x:c>
      <x:c r="K27" s="14" t="n">
        <x:v>7781328</x:v>
      </x:c>
      <x:c r="L27" s="14" t="n">
        <x:v>9495045</x:v>
      </x:c>
      <x:c r="M27" s="12" t="n">
        <x:v>49</x:v>
      </x:c>
      <x:c r="N27" s="12" t="inlineStr">
        <x:is>
          <x:t xml:space="preserve">primary</x:t>
        </x:is>
      </x:c>
      <x:c r="O27" s="12" t="n"/>
      <x:c r="P27" s="12" t="inlineStr">
        <x:is>
          <x:t xml:space="preserve">none</x:t>
        </x:is>
      </x:c>
      <x:c r="Q27" s="12" t="inlineStr">
        <x:is>
          <x:t xml:space="preserve">27-0359097</x:t>
        </x:is>
      </x:c>
      <x:c r="R27" s="12" t="n">
        <x:v>2.025430893493021e+17</x:v>
      </x:c>
      <x:c r="S27" s="16" t="inlineStr">
        <x:is>
          <x:t xml:space="preserve">https://apps.irs.gov/pub/epostcard/990/xml/2025/202543089349302129_public.xml</x:t>
        </x:is>
      </x:c>
      <x:c r="T27" s="16" t="inlineStr">
        <x:is>
          <x:t xml:space="preserve">https://projects.propublica.org/nonprofits/organizations/270359097</x:t>
        </x:is>
      </x:c>
      <x:c r="U27" s="17" t="inlineStr">
        <x:is>
          <x:t xml:space="preserve">SRC-990-EXT-WORLD-JUSTICE-PROJECT</x:t>
        </x:is>
      </x:c>
    </x:row>
    <x:row r="28">
      <x:c r="A28" s="12" t="inlineStr">
        <x:is>
          <x:t xml:space="preserve">Institute for Women’s Policy Research</x:t>
        </x:is>
      </x:c>
      <x:c r="B28" s="12" t="inlineStr">
        <x:is>
          <x:t xml:space="preserve">Jamila Taylor</x:t>
        </x:is>
      </x:c>
      <x:c r="C28" s="12" t="inlineStr">
        <x:is>
          <x:t xml:space="preserve">CEO</x:t>
        </x:is>
      </x:c>
      <x:c r="D28" s="14" t="n">
        <x:v>2024</x:v>
      </x:c>
      <x:c r="E28" s="12" t="inlineStr">
        <x:is>
          <x:t xml:space="preserve">2026-05-14</x:t>
        </x:is>
      </x:c>
      <x:c r="F28" s="12" t="n">
        <x:v>354642</x:v>
      </x:c>
      <x:c r="G28" s="12" t="n">
        <x:v>0</x:v>
      </x:c>
      <x:c r="H28" s="12" t="n">
        <x:v>24516</x:v>
      </x:c>
      <x:c r="I28" s="14" t="n">
        <x:v>377512.154633068</x:v>
      </x:c>
      <x:c r="J28" s="14" t="n">
        <x:v>403609.1425334979</x:v>
      </x:c>
      <x:c r="K28" s="14" t="n">
        <x:v>1743371</x:v>
      </x:c>
      <x:c r="L28" s="14" t="n">
        <x:v>7863836</x:v>
      </x:c>
      <x:c r="M28" s="12" t="n">
        <x:v>39</x:v>
      </x:c>
      <x:c r="N28" s="12" t="inlineStr">
        <x:is>
          <x:t xml:space="preserve">excluded_partial_year</x:t>
        </x:is>
      </x:c>
      <x:c r="O28" s="13" t="inlineStr">
        <x:is>
          <x:t xml:space="preserve">CEO assumed role February 5, 2024; compensation-year observation is partial year.</x:t>
        </x:is>
      </x:c>
      <x:c r="P28" s="12" t="inlineStr">
        <x:is>
          <x:t xml:space="preserve">partial_year_new_ceo</x:t>
        </x:is>
      </x:c>
      <x:c r="Q28" s="12" t="inlineStr">
        <x:is>
          <x:t xml:space="preserve">52-1549572</x:t>
        </x:is>
      </x:c>
      <x:c r="R28" s="12" t="n">
        <x:v>2.026213493493012e+17</x:v>
      </x:c>
      <x:c r="S28" s="16" t="inlineStr">
        <x:is>
          <x:t xml:space="preserve">https://apps.irs.gov/pub/epostcard/990/xml/2026/202621349349301217_public.xml</x:t>
        </x:is>
      </x:c>
      <x:c r="T28" s="16" t="inlineStr">
        <x:is>
          <x:t xml:space="preserve">https://projects.propublica.org/nonprofits/organizations/521549572</x:t>
        </x:is>
      </x:c>
      <x:c r="U28" s="16" t="inlineStr">
        <x:is>
          <x:t xml:space="preserve">SRC-990-EXT-INSTITUTE-FOR-WOMEN-S-POLICY-RESEARCH</x:t>
        </x:is>
      </x:c>
    </x:row>
    <x:row r="29">
      <x:c r="A29" s="12" t="inlineStr">
        <x:is>
          <x:t xml:space="preserve">Code for Science &amp; Society</x:t>
        </x:is>
      </x:c>
      <x:c r="B29" s="12" t="inlineStr">
        <x:is>
          <x:t xml:space="preserve">Danielle Robinson</x:t>
        </x:is>
      </x:c>
      <x:c r="C29" s="12" t="inlineStr">
        <x:is>
          <x:t xml:space="preserve">Executive Director and President</x:t>
        </x:is>
      </x:c>
      <x:c r="D29" s="14" t="n">
        <x:v>2024</x:v>
      </x:c>
      <x:c r="E29" s="12" t="inlineStr">
        <x:is>
          <x:t xml:space="preserve">2026-05-15</x:t>
        </x:is>
      </x:c>
      <x:c r="F29" s="12" t="n">
        <x:v>201230</x:v>
      </x:c>
      <x:c r="G29" s="12" t="n">
        <x:v>0</x:v>
      </x:c>
      <x:c r="H29" s="12" t="n">
        <x:v>24901</x:v>
      </x:c>
      <x:c r="I29" s="14" t="n">
        <x:v>214206.9209986754</x:v>
      </x:c>
      <x:c r="J29" s="14" t="n">
        <x:v>240713.736780557</x:v>
      </x:c>
      <x:c r="K29" s="14" t="n">
        <x:v>10336769</x:v>
      </x:c>
      <x:c r="L29" s="14" t="n">
        <x:v>18017578</x:v>
      </x:c>
      <x:c r="M29" s="12" t="n">
        <x:v>41</x:v>
      </x:c>
      <x:c r="N29" s="12" t="inlineStr">
        <x:is>
          <x:t xml:space="preserve">primary_with_structure_flag</x:t>
        </x:is>
      </x:c>
      <x:c r="O29" s="12" t="n"/>
      <x:c r="P29" s="12" t="inlineStr">
        <x:is>
          <x:t xml:space="preserve">fiscal_sponsorship_platform</x:t>
        </x:is>
      </x:c>
      <x:c r="Q29" s="12" t="inlineStr">
        <x:is>
          <x:t xml:space="preserve">81-3791683</x:t>
        </x:is>
      </x:c>
      <x:c r="R29" s="12" t="n">
        <x:v>2.026013593493041e+17</x:v>
      </x:c>
      <x:c r="S29" s="16" t="inlineStr">
        <x:is>
          <x:t xml:space="preserve">https://apps.irs.gov/pub/epostcard/990/xml/2026/202601359349304090_public.xml</x:t>
        </x:is>
      </x:c>
      <x:c r="T29" s="16" t="inlineStr">
        <x:is>
          <x:t xml:space="preserve">https://projects.propublica.org/nonprofits/organizations/813791683</x:t>
        </x:is>
      </x:c>
      <x:c r="U29" s="17" t="inlineStr">
        <x:is>
          <x:t xml:space="preserve">SRC-990-EXT-CODE-FOR-SCIENCE-SOCIETY</x:t>
        </x:is>
      </x:c>
    </x:row>
    <x:row r="30">
      <x:c r="A30" s="12" t="inlineStr">
        <x:is>
          <x:t xml:space="preserve">Independent Sector</x:t>
        </x:is>
      </x:c>
      <x:c r="B30" s="12" t="inlineStr">
        <x:is>
          <x:t xml:space="preserve">Akilah Watkins</x:t>
        </x:is>
      </x:c>
      <x:c r="C30" s="12" t="inlineStr">
        <x:is>
          <x:t xml:space="preserve">President &amp; Chief Executive Officer</x:t>
        </x:is>
      </x:c>
      <x:c r="D30" s="14" t="n">
        <x:v>2024</x:v>
      </x:c>
      <x:c r="E30" s="12" t="inlineStr">
        <x:is>
          <x:t xml:space="preserve">2025-08-22</x:t>
        </x:is>
      </x:c>
      <x:c r="F30" s="12" t="n">
        <x:v>592680</x:v>
      </x:c>
      <x:c r="G30" s="12" t="n">
        <x:v>0</x:v>
      </x:c>
      <x:c r="H30" s="12" t="n">
        <x:v>72159</x:v>
      </x:c>
      <x:c r="I30" s="14" t="n">
        <x:v>630900.7500745166</x:v>
      </x:c>
      <x:c r="J30" s="14" t="n">
        <x:v>707713.1399385697</x:v>
      </x:c>
      <x:c r="K30" s="14" t="n">
        <x:v>9158417</x:v>
      </x:c>
      <x:c r="L30" s="14" t="n">
        <x:v>7756205</x:v>
      </x:c>
      <x:c r="M30" s="12" t="n">
        <x:v>34</x:v>
      </x:c>
      <x:c r="N30" s="12" t="inlineStr">
        <x:is>
          <x:t xml:space="preserve">primary</x:t>
        </x:is>
      </x:c>
      <x:c r="O30" s="12" t="n"/>
      <x:c r="P30" s="12" t="inlineStr">
        <x:is>
          <x:t xml:space="preserve">none</x:t>
        </x:is>
      </x:c>
      <x:c r="Q30" s="12" t="inlineStr">
        <x:is>
          <x:t xml:space="preserve">52-1081024</x:t>
        </x:is>
      </x:c>
      <x:c r="R30" s="12" t="n">
        <x:v>2.025023493493011e+17</x:v>
      </x:c>
      <x:c r="S30" s="16" t="inlineStr">
        <x:is>
          <x:t xml:space="preserve">https://apps.irs.gov/pub/epostcard/990/xml/2025/202502349349301110_public.xml</x:t>
        </x:is>
      </x:c>
      <x:c r="T30" s="16" t="inlineStr">
        <x:is>
          <x:t xml:space="preserve">https://projects.propublica.org/nonprofits/organizations/521081024</x:t>
        </x:is>
      </x:c>
      <x:c r="U30" s="17" t="inlineStr">
        <x:is>
          <x:t xml:space="preserve">SRC-990-EXT-INDEPENDENT-SECTOR</x:t>
        </x:is>
      </x:c>
    </x:row>
    <x:row r="31">
      <x:c r="A31" s="12" t="inlineStr">
        <x:is>
          <x:t xml:space="preserve">Research!America</x:t>
        </x:is>
      </x:c>
      <x:c r="B31" s="12" t="inlineStr">
        <x:is>
          <x:t xml:space="preserve">Mary Woolley</x:t>
        </x:is>
      </x:c>
      <x:c r="C31" s="12" t="inlineStr">
        <x:is>
          <x:t xml:space="preserve">President &amp; Chief Executive Officer</x:t>
        </x:is>
      </x:c>
      <x:c r="D31" s="14" t="n">
        <x:v>2025</x:v>
      </x:c>
      <x:c r="E31" s="12" t="inlineStr">
        <x:is>
          <x:t xml:space="preserve">2026-05-11</x:t>
        </x:is>
      </x:c>
      <x:c r="F31" s="12" t="n">
        <x:v>597619</x:v>
      </x:c>
      <x:c r="G31" s="12" t="n">
        <x:v>0</x:v>
      </x:c>
      <x:c r="H31" s="12" t="n">
        <x:v>55121</x:v>
      </x:c>
      <x:c r="I31" s="14" t="n">
        <x:v>619848.0514935874</x:v>
      </x:c>
      <x:c r="J31" s="14" t="n">
        <x:v>677019.3336087444</x:v>
      </x:c>
      <x:c r="K31" s="14" t="n">
        <x:v>8914085</x:v>
      </x:c>
      <x:c r="L31" s="14" t="n">
        <x:v>9394184</x:v>
      </x:c>
      <x:c r="M31" s="12" t="n">
        <x:v>41</x:v>
      </x:c>
      <x:c r="N31" s="12" t="inlineStr">
        <x:is>
          <x:t xml:space="preserve">primary</x:t>
        </x:is>
      </x:c>
      <x:c r="O31" s="12" t="n"/>
      <x:c r="P31" s="12" t="inlineStr">
        <x:is>
          <x:t xml:space="preserve">long_tenured</x:t>
        </x:is>
      </x:c>
      <x:c r="Q31" s="12" t="inlineStr">
        <x:is>
          <x:t xml:space="preserve">52-1609875</x:t>
        </x:is>
      </x:c>
      <x:c r="R31" s="12" t="n">
        <x:v>2.026013193493021e+17</x:v>
      </x:c>
      <x:c r="S31" s="16" t="inlineStr">
        <x:is>
          <x:t xml:space="preserve">https://apps.irs.gov/pub/epostcard/990/xml/2026/202601319349302140_public.xml</x:t>
        </x:is>
      </x:c>
      <x:c r="T31" s="16" t="inlineStr">
        <x:is>
          <x:t xml:space="preserve">https://projects.propublica.org/nonprofits/organizations/521609875</x:t>
        </x:is>
      </x:c>
      <x:c r="U31" s="17" t="inlineStr">
        <x:is>
          <x:t xml:space="preserve">SRC-990-EXT-RESEARCH-AMERICA</x:t>
        </x:is>
      </x:c>
    </x:row>
    <x:row r="32">
      <x:c r="A32" s="12" t="inlineStr">
        <x:is>
          <x:t xml:space="preserve">Stimson Center</x:t>
        </x:is>
      </x:c>
      <x:c r="B32" s="12" t="inlineStr">
        <x:is>
          <x:t xml:space="preserve">Brian Finlay</x:t>
        </x:is>
      </x:c>
      <x:c r="C32" s="12" t="inlineStr">
        <x:is>
          <x:t xml:space="preserve">President &amp; CEO</x:t>
        </x:is>
      </x:c>
      <x:c r="D32" s="14" t="n">
        <x:v>2024</x:v>
      </x:c>
      <x:c r="E32" s="12" t="inlineStr">
        <x:is>
          <x:t xml:space="preserve">2025-11-12</x:t>
        </x:is>
      </x:c>
      <x:c r="F32" s="12" t="n">
        <x:v>398606</x:v>
      </x:c>
      <x:c r="G32" s="12" t="n">
        <x:v>0</x:v>
      </x:c>
      <x:c r="H32" s="12" t="n">
        <x:v>42061</x:v>
      </x:c>
      <x:c r="I32" s="14" t="n">
        <x:v>424311.3052308206</x:v>
      </x:c>
      <x:c r="J32" s="14" t="n">
        <x:v>469084.7351573986</x:v>
      </x:c>
      <x:c r="K32" s="14" t="n">
        <x:v>14861548</x:v>
      </x:c>
      <x:c r="L32" s="14" t="n">
        <x:v>13743006</x:v>
      </x:c>
      <x:c r="M32" s="12" t="n">
        <x:v>103</x:v>
      </x:c>
      <x:c r="N32" s="12" t="inlineStr">
        <x:is>
          <x:t xml:space="preserve">primary</x:t>
        </x:is>
      </x:c>
      <x:c r="O32" s="12" t="n"/>
      <x:c r="P32" s="12" t="inlineStr">
        <x:is>
          <x:t xml:space="preserve">none</x:t>
        </x:is>
      </x:c>
      <x:c r="Q32" s="12" t="inlineStr">
        <x:is>
          <x:t xml:space="preserve">52-1640938</x:t>
        </x:is>
      </x:c>
      <x:c r="R32" s="12" t="n">
        <x:v>2.02533169349305e+17</x:v>
      </x:c>
      <x:c r="S32" s="16" t="inlineStr">
        <x:is>
          <x:t xml:space="preserve">https://apps.irs.gov/pub/epostcard/990/xml/2025/202533169349304988_public.xml</x:t>
        </x:is>
      </x:c>
      <x:c r="T32" s="16" t="inlineStr">
        <x:is>
          <x:t xml:space="preserve">https://projects.propublica.org/nonprofits/organizations/521640938</x:t>
        </x:is>
      </x:c>
      <x:c r="U32" s="17" t="inlineStr">
        <x:is>
          <x:t xml:space="preserve">SRC-990-EXT-STIMSON-CENTER</x:t>
        </x:is>
      </x:c>
    </x:row>
    <x:row r="33">
      <x:c r="A33" s="12" t="inlineStr">
        <x:is>
          <x:t xml:space="preserve">Center for Law and Social Policy</x:t>
        </x:is>
      </x:c>
      <x:c r="B33" s="12" t="inlineStr">
        <x:is>
          <x:t xml:space="preserve">Indivar Dutta-Gupta</x:t>
        </x:is>
      </x:c>
      <x:c r="C33" s="12" t="inlineStr">
        <x:is>
          <x:t xml:space="preserve">President &amp; Executive Director</x:t>
        </x:is>
      </x:c>
      <x:c r="D33" s="14" t="n">
        <x:v>2024</x:v>
      </x:c>
      <x:c r="E33" s="12" t="inlineStr">
        <x:is>
          <x:t xml:space="preserve">2025-11-14</x:t>
        </x:is>
      </x:c>
      <x:c r="F33" s="12" t="n">
        <x:v>151725</x:v>
      </x:c>
      <x:c r="G33" s="12" t="n">
        <x:v>0</x:v>
      </x:c>
      <x:c r="H33" s="12" t="n">
        <x:v>4000</x:v>
      </x:c>
      <x:c r="I33" s="14" t="n">
        <x:v>161509.4423720322</x:v>
      </x:c>
      <x:c r="J33" s="14" t="n">
        <x:v>165767.3943871129</x:v>
      </x:c>
      <x:c r="K33" s="14" t="n">
        <x:v>9138332</x:v>
      </x:c>
      <x:c r="L33" s="14" t="n">
        <x:v>10108913</x:v>
      </x:c>
      <x:c r="M33" s="12" t="n">
        <x:v>86</x:v>
      </x:c>
      <x:c r="N33" s="12" t="inlineStr">
        <x:is>
          <x:t xml:space="preserve">excluded_transition</x:t>
        </x:is>
      </x:c>
      <x:c r="O33" s="13" t="inlineStr">
        <x:is>
          <x:t xml:space="preserve">President/ED departed June 14, 2024; acting and interim leadership followed.</x:t>
        </x:is>
      </x:c>
      <x:c r="P33" s="12" t="inlineStr">
        <x:is>
          <x:t xml:space="preserve">leadership_transition</x:t>
        </x:is>
      </x:c>
      <x:c r="Q33" s="12" t="inlineStr">
        <x:is>
          <x:t xml:space="preserve">23-7000150</x:t>
        </x:is>
      </x:c>
      <x:c r="R33" s="12" t="n">
        <x:v>2.025131893493146e+17</x:v>
      </x:c>
      <x:c r="S33" s="16" t="inlineStr">
        <x:is>
          <x:t xml:space="preserve">https://apps.irs.gov/pub/epostcard/990/xml/2025/202513189349314621_public.xml</x:t>
        </x:is>
      </x:c>
      <x:c r="T33" s="16" t="inlineStr">
        <x:is>
          <x:t xml:space="preserve">https://projects.propublica.org/nonprofits/organizations/237000150</x:t>
        </x:is>
      </x:c>
      <x:c r="U33" s="17" t="inlineStr">
        <x:is>
          <x:t xml:space="preserve">SRC-990-EXT-CENTER-FOR-LAW-AND-SOCIAL-POLICY</x:t>
        </x:is>
      </x:c>
    </x:row>
    <x:row r="34">
      <x:c r="A34" s="12" t="inlineStr">
        <x:is>
          <x:t xml:space="preserve">PEAK Grantmaking</x:t>
        </x:is>
      </x:c>
      <x:c r="B34" s="12" t="inlineStr">
        <x:is>
          <x:t xml:space="preserve">Satonya Fair</x:t>
        </x:is>
      </x:c>
      <x:c r="C34" s="12" t="inlineStr">
        <x:is>
          <x:t xml:space="preserve">President and CEO</x:t>
        </x:is>
      </x:c>
      <x:c r="D34" s="14" t="n">
        <x:v>2024</x:v>
      </x:c>
      <x:c r="E34" s="12" t="inlineStr">
        <x:is>
          <x:t xml:space="preserve">2025-05-01</x:t>
        </x:is>
      </x:c>
      <x:c r="F34" s="12" t="n">
        <x:v>283209</x:v>
      </x:c>
      <x:c r="G34" s="12" t="n">
        <x:v>0</x:v>
      </x:c>
      <x:c r="H34" s="12" t="n">
        <x:v>31790</x:v>
      </x:c>
      <x:c r="I34" s="14" t="n">
        <x:v>301472.5830597519</x:v>
      </x:c>
      <x:c r="J34" s="14" t="n">
        <x:v>335312.6566996063</x:v>
      </x:c>
      <x:c r="K34" s="14" t="n">
        <x:v>5320383</x:v>
      </x:c>
      <x:c r="L34" s="14" t="n">
        <x:v>7129646</x:v>
      </x:c>
      <x:c r="M34" s="12" t="n">
        <x:v>23</x:v>
      </x:c>
      <x:c r="N34" s="12" t="inlineStr">
        <x:is>
          <x:t xml:space="preserve">primary</x:t>
        </x:is>
      </x:c>
      <x:c r="O34" s="12" t="n"/>
      <x:c r="P34" s="12" t="inlineStr">
        <x:is>
          <x:t xml:space="preserve">none</x:t>
        </x:is>
      </x:c>
      <x:c r="Q34" s="12" t="inlineStr">
        <x:is>
          <x:t xml:space="preserve">74-3158155</x:t>
        </x:is>
      </x:c>
      <x:c r="R34" s="12" t="n">
        <x:v>2.025112193493016e+17</x:v>
      </x:c>
      <x:c r="S34" s="16" t="inlineStr">
        <x:is>
          <x:t xml:space="preserve">https://apps.irs.gov/pub/epostcard/990/xml/2025/202511219349301641_public.xml</x:t>
        </x:is>
      </x:c>
      <x:c r="T34" s="16" t="inlineStr">
        <x:is>
          <x:t xml:space="preserve">https://projects.propublica.org/nonprofits/organizations/743158155</x:t>
        </x:is>
      </x:c>
      <x:c r="U34" s="17" t="inlineStr">
        <x:is>
          <x:t xml:space="preserve">SRC-990-EXT-PEAK-GRANTMAKING</x:t>
        </x:is>
      </x:c>
    </x:row>
    <x:row r="35">
      <x:c r="A35" s="12" t="inlineStr">
        <x:is>
          <x:t xml:space="preserve">Public Knowledge</x:t>
        </x:is>
      </x:c>
      <x:c r="B35" s="12" t="inlineStr">
        <x:is>
          <x:t xml:space="preserve">Christopher J. Lewis</x:t>
        </x:is>
      </x:c>
      <x:c r="C35" s="12" t="inlineStr">
        <x:is>
          <x:t xml:space="preserve">President/CEO</x:t>
        </x:is>
      </x:c>
      <x:c r="D35" s="14" t="n">
        <x:v>2024</x:v>
      </x:c>
      <x:c r="E35" s="12" t="inlineStr">
        <x:is>
          <x:t xml:space="preserve">2025-11-10</x:t>
        </x:is>
      </x:c>
      <x:c r="F35" s="12" t="n">
        <x:v>252001</x:v>
      </x:c>
      <x:c r="G35" s="12" t="n">
        <x:v>0</x:v>
      </x:c>
      <x:c r="H35" s="12" t="n">
        <x:v>16771</x:v>
      </x:c>
      <x:c r="I35" s="14" t="n">
        <x:v>268252.0414380918</x:v>
      </x:c>
      <x:c r="J35" s="14" t="n">
        <x:v>286104.5697493216</x:v>
      </x:c>
      <x:c r="K35" s="14" t="n">
        <x:v>2876810</x:v>
      </x:c>
      <x:c r="L35" s="14" t="n">
        <x:v>3654052</x:v>
      </x:c>
      <x:c r="M35" s="12" t="n">
        <x:v>22</x:v>
      </x:c>
      <x:c r="N35" s="12" t="inlineStr">
        <x:is>
          <x:t xml:space="preserve">primary</x:t>
        </x:is>
      </x:c>
      <x:c r="O35" s="12" t="n"/>
      <x:c r="P35" s="12" t="inlineStr">
        <x:is>
          <x:t xml:space="preserve">none</x:t>
        </x:is>
      </x:c>
      <x:c r="Q35" s="12" t="inlineStr">
        <x:is>
          <x:t xml:space="preserve">52-2336690</x:t>
        </x:is>
      </x:c>
      <x:c r="R35" s="12" t="n">
        <x:v>2.025331493493019e+17</x:v>
      </x:c>
      <x:c r="S35" s="16" t="inlineStr">
        <x:is>
          <x:t xml:space="preserve">https://apps.irs.gov/pub/epostcard/990/xml/2025/202533149349301903_public.xml</x:t>
        </x:is>
      </x:c>
      <x:c r="T35" s="16" t="inlineStr">
        <x:is>
          <x:t xml:space="preserve">https://projects.propublica.org/nonprofits/organizations/522336690</x:t>
        </x:is>
      </x:c>
      <x:c r="U35" s="17" t="inlineStr">
        <x:is>
          <x:t xml:space="preserve">SRC-990-EXT-PUBLIC-KNOWLEDGE</x:t>
        </x:is>
      </x:c>
    </x:row>
    <x:row r="36">
      <x:c r="A36" s="12" t="inlineStr">
        <x:is>
          <x:t xml:space="preserve">VillageReach</x:t>
        </x:is>
      </x:c>
      <x:c r="B36" s="12" t="inlineStr">
        <x:is>
          <x:t xml:space="preserve">Emily Bancroft</x:t>
        </x:is>
      </x:c>
      <x:c r="C36" s="12" t="inlineStr">
        <x:is>
          <x:t xml:space="preserve">President</x:t>
        </x:is>
      </x:c>
      <x:c r="D36" s="14" t="n">
        <x:v>2023</x:v>
      </x:c>
      <x:c r="E36" s="12" t="inlineStr">
        <x:is>
          <x:t xml:space="preserve">2025-08-07</x:t>
        </x:is>
      </x:c>
      <x:c r="F36" s="12" t="n">
        <x:v>228632</x:v>
      </x:c>
      <x:c r="G36" s="12" t="n">
        <x:v>0</x:v>
      </x:c>
      <x:c r="H36" s="12" t="n">
        <x:v>14623</x:v>
      </x:c>
      <x:c r="I36" s="14" t="n">
        <x:v>250554.4583681466</x:v>
      </x:c>
      <x:c r="J36" s="14" t="n">
        <x:v>266579.5897789614</x:v>
      </x:c>
      <x:c r="K36" s="14" t="n">
        <x:v>31514699</x:v>
      </x:c>
      <x:c r="L36" s="14" t="n">
        <x:v>31767757</x:v>
      </x:c>
      <x:c r="M36" s="12" t="n">
        <x:v>62</x:v>
      </x:c>
      <x:c r="N36" s="12" t="inlineStr">
        <x:is>
          <x:t xml:space="preserve">primary_with_structure_flag</x:t>
        </x:is>
      </x:c>
      <x:c r="O36" s="12" t="n"/>
      <x:c r="P36" s="12" t="inlineStr">
        <x:is>
          <x:t xml:space="preserve">delivery_hybrid</x:t>
        </x:is>
      </x:c>
      <x:c r="Q36" s="12" t="inlineStr">
        <x:is>
          <x:t xml:space="preserve">91-2083484</x:t>
        </x:is>
      </x:c>
      <x:c r="R36" s="12" t="n">
        <x:v>2.025121993493013e+17</x:v>
      </x:c>
      <x:c r="S36" s="16" t="inlineStr">
        <x:is>
          <x:t xml:space="preserve">https://apps.irs.gov/pub/epostcard/990/xml/2025/202512199349301336_public.xml</x:t>
        </x:is>
      </x:c>
      <x:c r="T36" s="16" t="inlineStr">
        <x:is>
          <x:t xml:space="preserve">https://projects.propublica.org/nonprofits/organizations/912083484</x:t>
        </x:is>
      </x:c>
      <x:c r="U36" s="17" t="inlineStr">
        <x:is>
          <x:t xml:space="preserve">SRC-990-EXT-VILLAGEREACH</x:t>
        </x:is>
      </x:c>
    </x:row>
    <x:row r="37">
      <x:c r="A37" s="12" t="inlineStr">
        <x:is>
          <x:t xml:space="preserve">Bulletin of the Atomic Scientists</x:t>
        </x:is>
      </x:c>
      <x:c r="B37" s="12" t="inlineStr">
        <x:is>
          <x:t xml:space="preserve">Alexandra Bell</x:t>
        </x:is>
      </x:c>
      <x:c r="C37" s="12" t="inlineStr">
        <x:is>
          <x:t xml:space="preserve">CEO</x:t>
        </x:is>
      </x:c>
      <x:c r="D37" s="14" t="n">
        <x:v>2024</x:v>
      </x:c>
      <x:c r="E37" s="12" t="inlineStr">
        <x:is>
          <x:t xml:space="preserve">2026-01-14</x:t>
        </x:is>
      </x:c>
      <x:c r="F37" s="12" t="n">
        <x:v>210000</x:v>
      </x:c>
      <x:c r="G37" s="12" t="n">
        <x:v>0</x:v>
      </x:c>
      <x:c r="H37" s="12" t="n">
        <x:v>6300</x:v>
      </x:c>
      <x:c r="I37" s="14" t="n">
        <x:v>223542.48079174</x:v>
      </x:c>
      <x:c r="J37" s="14" t="n">
        <x:v>230248.7552154922</x:v>
      </x:c>
      <x:c r="K37" s="14" t="n">
        <x:v>2782626</x:v>
      </x:c>
      <x:c r="L37" s="14" t="n">
        <x:v>3533371</x:v>
      </x:c>
      <x:c r="M37" s="12" t="n">
        <x:v>21</x:v>
      </x:c>
      <x:c r="N37" s="12" t="inlineStr">
        <x:is>
          <x:t xml:space="preserve">primary_with_structure_flag</x:t>
        </x:is>
      </x:c>
      <x:c r="O37" s="12" t="n"/>
      <x:c r="P37" s="12" t="inlineStr">
        <x:is>
          <x:t xml:space="preserve">publishing_research_hybrid</x:t>
        </x:is>
      </x:c>
      <x:c r="Q37" s="12" t="inlineStr">
        <x:is>
          <x:t xml:space="preserve">36-2136497</x:t>
        </x:is>
      </x:c>
      <x:c r="R37" s="12" t="n">
        <x:v>2.026101493493018e+17</x:v>
      </x:c>
      <x:c r="S37" s="16" t="inlineStr">
        <x:is>
          <x:t xml:space="preserve">https://apps.irs.gov/pub/epostcard/990/xml/2026/202610149349301801_public.xml</x:t>
        </x:is>
      </x:c>
      <x:c r="T37" s="16" t="inlineStr">
        <x:is>
          <x:t xml:space="preserve">https://projects.propublica.org/nonprofits/organizations/362136497</x:t>
        </x:is>
      </x:c>
      <x:c r="U37" s="17" t="inlineStr">
        <x:is>
          <x:t xml:space="preserve">SRC-990-EXT-BULLETIN-OF-THE-ATOMIC-SCIENTISTS</x:t>
        </x:is>
      </x:c>
    </x:row>
    <x:row r="38">
      <x:c r="A38" s="12" t="inlineStr">
        <x:is>
          <x:t xml:space="preserve">Federation of American Scientists</x:t>
        </x:is>
      </x:c>
      <x:c r="B38" s="12" t="inlineStr">
        <x:is>
          <x:t xml:space="preserve">Daniel Correa</x:t>
        </x:is>
      </x:c>
      <x:c r="C38" s="12" t="inlineStr">
        <x:is>
          <x:t xml:space="preserve">Chief Executive Officer</x:t>
        </x:is>
      </x:c>
      <x:c r="D38" s="14" t="n">
        <x:v>2024</x:v>
      </x:c>
      <x:c r="E38" s="12" t="inlineStr">
        <x:is>
          <x:t xml:space="preserve">2026-04-03</x:t>
        </x:is>
      </x:c>
      <x:c r="F38" s="12" t="n">
        <x:v>683472</x:v>
      </x:c>
      <x:c r="G38" s="12" t="n">
        <x:v>0</x:v>
      </x:c>
      <x:c r="H38" s="12" t="n">
        <x:v>96001</x:v>
      </x:c>
      <x:c r="I38" s="14" t="n">
        <x:v>727547.7449128197</x:v>
      </x:c>
      <x:c r="J38" s="14" t="n">
        <x:v>829739.6577627618</x:v>
      </x:c>
      <x:c r="K38" s="14" t="n">
        <x:v>35602788</x:v>
      </x:c>
      <x:c r="L38" s="14" t="n">
        <x:v>36430648</x:v>
      </x:c>
      <x:c r="M38" s="12" t="n">
        <x:v>116</x:v>
      </x:c>
      <x:c r="N38" s="12" t="inlineStr">
        <x:is>
          <x:t xml:space="preserve">primary_with_structure_flag</x:t>
        </x:is>
      </x:c>
      <x:c r="O38" s="12" t="n"/>
      <x:c r="P38" s="12" t="inlineStr">
        <x:is>
          <x:t xml:space="preserve">above_primary_scale</x:t>
        </x:is>
      </x:c>
      <x:c r="Q38" s="12" t="inlineStr">
        <x:is>
          <x:t xml:space="preserve">23-7185827</x:t>
        </x:is>
      </x:c>
      <x:c r="R38" s="12" t="n">
        <x:v>2.026209393493008e+17</x:v>
      </x:c>
      <x:c r="S38" s="16" t="inlineStr">
        <x:is>
          <x:t xml:space="preserve">https://apps.irs.gov/pub/epostcard/990/xml/2026/202620939349300837_public.xml</x:t>
        </x:is>
      </x:c>
      <x:c r="T38" s="16" t="inlineStr">
        <x:is>
          <x:t xml:space="preserve">https://projects.propublica.org/nonprofits/organizations/237185827</x:t>
        </x:is>
      </x:c>
      <x:c r="U38" s="17" t="inlineStr">
        <x:is>
          <x:t xml:space="preserve">SRC-990-EXT-FEDERATION-OF-AMERICAN-SCIENTISTS</x:t>
        </x:is>
      </x:c>
    </x:row>
    <x:row r="39">
      <x:c r="A39" s="12" t="inlineStr">
        <x:is>
          <x:t xml:space="preserve">Good Food Institute</x:t>
        </x:is>
      </x:c>
      <x:c r="B39" s="12" t="inlineStr">
        <x:is>
          <x:t xml:space="preserve">Ilya Sheyman</x:t>
        </x:is>
      </x:c>
      <x:c r="C39" s="12" t="inlineStr">
        <x:is>
          <x:t xml:space="preserve">CEO</x:t>
        </x:is>
      </x:c>
      <x:c r="D39" s="14" t="n">
        <x:v>2024</x:v>
      </x:c>
      <x:c r="E39" s="12" t="inlineStr">
        <x:is>
          <x:t xml:space="preserve">2025-11-14</x:t>
        </x:is>
      </x:c>
      <x:c r="F39" s="12" t="n">
        <x:v>225925</x:v>
      </x:c>
      <x:c r="G39" s="12" t="n">
        <x:v>0</x:v>
      </x:c>
      <x:c r="H39" s="12" t="n">
        <x:v>22475</x:v>
      </x:c>
      <x:c r="I39" s="14" t="n">
        <x:v>240494.4522517803</x:v>
      </x:c>
      <x:c r="J39" s="14" t="n">
        <x:v>264418.8201365154</x:v>
      </x:c>
      <x:c r="K39" s="14" t="n">
        <x:v>28143912</x:v>
      </x:c>
      <x:c r="L39" s="14" t="n">
        <x:v>35420353</x:v>
      </x:c>
      <x:c r="M39" s="12" t="n">
        <x:v>132</x:v>
      </x:c>
      <x:c r="N39" s="12" t="inlineStr">
        <x:is>
          <x:t xml:space="preserve">primary_with_structure_flag</x:t>
        </x:is>
      </x:c>
      <x:c r="O39" s="12" t="n"/>
      <x:c r="P39" s="12" t="inlineStr">
        <x:is>
          <x:t xml:space="preserve">founder_president_plus_ceo</x:t>
        </x:is>
      </x:c>
      <x:c r="Q39" s="12" t="inlineStr">
        <x:is>
          <x:t xml:space="preserve">81-0840578</x:t>
        </x:is>
      </x:c>
      <x:c r="R39" s="12" t="n">
        <x:v>2.025431893493017e+17</x:v>
      </x:c>
      <x:c r="S39" s="16" t="inlineStr">
        <x:is>
          <x:t xml:space="preserve">https://apps.irs.gov/pub/epostcard/990/xml/2025/202543189349301719_public.xml</x:t>
        </x:is>
      </x:c>
      <x:c r="T39" s="16" t="inlineStr">
        <x:is>
          <x:t xml:space="preserve">https://projects.propublica.org/nonprofits/organizations/810840578</x:t>
        </x:is>
      </x:c>
      <x:c r="U39" s="17" t="inlineStr">
        <x:is>
          <x:t xml:space="preserve">SRC-990-EXT-GOOD-FOOD-INSTITUTE</x:t>
        </x:is>
      </x:c>
    </x:row>
    <x:row r="40">
      <x:c r="A40" s="13" t="inlineStr">
        <x:is>
          <x:t xml:space="preserve">National Committee for Responsive Philanthropy</x:t>
        </x:is>
      </x:c>
      <x:c r="B40" s="12" t="inlineStr">
        <x:is>
          <x:t xml:space="preserve">Aaron Dorfman</x:t>
        </x:is>
      </x:c>
      <x:c r="C40" s="12" t="inlineStr">
        <x:is>
          <x:t xml:space="preserve">CEO</x:t>
        </x:is>
      </x:c>
      <x:c r="D40" s="14" t="n">
        <x:v>2024</x:v>
      </x:c>
      <x:c r="E40" s="12" t="inlineStr">
        <x:is>
          <x:t xml:space="preserve">2026-02-13</x:t>
        </x:is>
      </x:c>
      <x:c r="F40" s="12" t="n">
        <x:v>321240</x:v>
      </x:c>
      <x:c r="G40" s="12" t="n">
        <x:v>0</x:v>
      </x:c>
      <x:c r="H40" s="12" t="n">
        <x:v>52272</x:v>
      </x:c>
      <x:c r="I40" s="14" t="n">
        <x:v>341956.126331136</x:v>
      </x:c>
      <x:c r="J40" s="14" t="n">
        <x:v>397599.0432642114</x:v>
      </x:c>
      <x:c r="K40" s="14" t="n">
        <x:v>3680502</x:v>
      </x:c>
      <x:c r="L40" s="14" t="n">
        <x:v>4098025</x:v>
      </x:c>
      <x:c r="M40" s="12" t="n">
        <x:v>27</x:v>
      </x:c>
      <x:c r="N40" s="12" t="inlineStr">
        <x:is>
          <x:t xml:space="preserve">primary</x:t>
        </x:is>
      </x:c>
      <x:c r="O40" s="12" t="n"/>
      <x:c r="P40" s="12" t="inlineStr">
        <x:is>
          <x:t xml:space="preserve">none</x:t>
        </x:is>
      </x:c>
      <x:c r="Q40" s="12" t="inlineStr">
        <x:is>
          <x:t xml:space="preserve">52-1072749</x:t>
        </x:is>
      </x:c>
      <x:c r="R40" s="12" t="n">
        <x:v>2.026104493493009e+17</x:v>
      </x:c>
      <x:c r="S40" s="16" t="inlineStr">
        <x:is>
          <x:t xml:space="preserve">https://apps.irs.gov/pub/epostcard/990/xml/2026/202610449349300906_public.xml</x:t>
        </x:is>
      </x:c>
      <x:c r="T40" s="16" t="inlineStr">
        <x:is>
          <x:t xml:space="preserve">https://projects.propublica.org/nonprofits/organizations/521072749</x:t>
        </x:is>
      </x:c>
      <x:c r="U40" s="16" t="inlineStr">
        <x:is>
          <x:t xml:space="preserve">SRC-990-EXT-NATIONAL-COMMITTEE-FOR-RESPONSIVE-PHILANTHROPY</x:t>
        </x:is>
      </x:c>
    </x:row>
    <x:row r="41">
      <x:c r="A41" s="12" t="inlineStr">
        <x:is>
          <x:t xml:space="preserve">Physicians Committee for Responsible Medicine</x:t>
        </x:is>
      </x:c>
      <x:c r="B41" s="12" t="inlineStr">
        <x:is>
          <x:t xml:space="preserve">No clean paid CEO/ED observation</x:t>
        </x:is>
      </x:c>
      <x:c r="C41" s="12" t="n"/>
      <x:c r="D41" s="14" t="n">
        <x:v>2024</x:v>
      </x:c>
      <x:c r="E41" s="12" t="inlineStr">
        <x:is>
          <x:t xml:space="preserve">2026-01-16</x:t>
        </x:is>
      </x:c>
      <x:c r="F41" s="12" t="n"/>
      <x:c r="G41" s="12" t="n"/>
      <x:c r="H41" s="12" t="n"/>
      <x:c r="I41" s="14" t="n"/>
      <x:c r="J41" s="14" t="n"/>
      <x:c r="K41" s="14" t="n">
        <x:v>21391471</x:v>
      </x:c>
      <x:c r="L41" s="14" t="n">
        <x:v>23901833</x:v>
      </x:c>
      <x:c r="M41" s="12" t="n">
        <x:v>110</x:v>
      </x:c>
      <x:c r="N41" s="12" t="inlineStr">
        <x:is>
          <x:t xml:space="preserve">excluded_measurement</x:t>
        </x:is>
      </x:c>
      <x:c r="O41" s="13" t="inlineStr">
        <x:is>
          <x:t xml:space="preserve">No clean paid organization-wide CEO/ED observation in accessible filing table.</x:t>
        </x:is>
      </x:c>
      <x:c r="P41" s="12" t="inlineStr">
        <x:is>
          <x:t xml:space="preserve">no_clean_top_executive_measure</x:t>
        </x:is>
      </x:c>
      <x:c r="Q41" s="12" t="inlineStr">
        <x:is>
          <x:t xml:space="preserve">52-1394893</x:t>
        </x:is>
      </x:c>
      <x:c r="R41" s="12" t="n">
        <x:v>2.026301693493008e+17</x:v>
      </x:c>
      <x:c r="S41" s="16" t="inlineStr">
        <x:is>
          <x:t xml:space="preserve">https://apps.irs.gov/pub/epostcard/990/xml/2026/202630169349300803_public.xml</x:t>
        </x:is>
      </x:c>
      <x:c r="T41" s="16" t="inlineStr">
        <x:is>
          <x:t xml:space="preserve">https://projects.propublica.org/nonprofits/organizations/521394893</x:t>
        </x:is>
      </x:c>
      <x:c r="U41" s="16" t="inlineStr">
        <x:is>
          <x:t xml:space="preserve">SRC-990-EXT-PHYSICIANS-COMMITTEE-FOR-RESPONSIBLE-MEDICINE</x:t>
        </x:is>
      </x:c>
    </x:row>
    <x:row r="42">
      <x:c r="A42" s="12" t="inlineStr">
        <x:is>
          <x:t xml:space="preserve">Electronic Frontier Foundation</x:t>
        </x:is>
      </x:c>
      <x:c r="B42" s="12" t="inlineStr">
        <x:is>
          <x:t xml:space="preserve">Cindy Cohn</x:t>
        </x:is>
      </x:c>
      <x:c r="C42" s="12" t="inlineStr">
        <x:is>
          <x:t xml:space="preserve">Executive Director</x:t>
        </x:is>
      </x:c>
      <x:c r="D42" s="14" t="n">
        <x:v>2024</x:v>
      </x:c>
      <x:c r="E42" s="12" t="inlineStr">
        <x:is>
          <x:t xml:space="preserve">2026-04-09</x:t>
        </x:is>
      </x:c>
      <x:c r="F42" s="12" t="n">
        <x:v>352039</x:v>
      </x:c>
      <x:c r="G42" s="12" t="n">
        <x:v>0</x:v>
      </x:c>
      <x:c r="H42" s="12" t="n">
        <x:v>24127</x:v>
      </x:c>
      <x:c r="I42" s="14" t="n">
        <x:v>374741.2923592541</x:v>
      </x:c>
      <x:c r="J42" s="14" t="n">
        <x:v>400424.1944262175</x:v>
      </x:c>
      <x:c r="K42" s="14" t="n">
        <x:v>21592581</x:v>
      </x:c>
      <x:c r="L42" s="14" t="n">
        <x:v>25771066</x:v>
      </x:c>
      <x:c r="M42" s="12" t="n">
        <x:v>121</x:v>
      </x:c>
      <x:c r="N42" s="12" t="inlineStr">
        <x:is>
          <x:t xml:space="preserve">primary_with_structure_flag</x:t>
        </x:is>
      </x:c>
      <x:c r="O42" s="12" t="n"/>
      <x:c r="P42" s="12" t="inlineStr">
        <x:is>
          <x:t xml:space="preserve">legal_advocacy_hybrid</x:t>
        </x:is>
      </x:c>
      <x:c r="Q42" s="12" t="inlineStr">
        <x:is>
          <x:t xml:space="preserve">04-3091431</x:t>
        </x:is>
      </x:c>
      <x:c r="R42" s="12" t="n">
        <x:v>2.026109893493017e+17</x:v>
      </x:c>
      <x:c r="S42" s="16" t="inlineStr">
        <x:is>
          <x:t xml:space="preserve">https://apps.irs.gov/pub/epostcard/990/xml/2026/202610989349301676_public.xml</x:t>
        </x:is>
      </x:c>
      <x:c r="T42" s="16" t="inlineStr">
        <x:is>
          <x:t xml:space="preserve">https://projects.propublica.org/nonprofits/organizations/43091431</x:t>
        </x:is>
      </x:c>
      <x:c r="U42" s="17" t="inlineStr">
        <x:is>
          <x:t xml:space="preserve">SRC-990-EXT-ELECTRONIC-FRONTIER-FOUNDATION</x:t>
        </x:is>
      </x:c>
    </x:row>
    <x:row r="43">
      <x:c r="A43" s="12" t="inlineStr">
        <x:is>
          <x:t xml:space="preserve">Center for Effective Philanthropy</x:t>
        </x:is>
      </x:c>
      <x:c r="B43" s="12" t="inlineStr">
        <x:is>
          <x:t xml:space="preserve">Phil Buchanan</x:t>
        </x:is>
      </x:c>
      <x:c r="C43" s="12" t="inlineStr">
        <x:is>
          <x:t xml:space="preserve">President</x:t>
        </x:is>
      </x:c>
      <x:c r="D43" s="14" t="n">
        <x:v>2025</x:v>
      </x:c>
      <x:c r="E43" s="12" t="inlineStr">
        <x:is>
          <x:t xml:space="preserve">2026-07-22</x:t>
        </x:is>
      </x:c>
      <x:c r="F43" s="12" t="n">
        <x:v>636356</x:v>
      </x:c>
      <x:c r="G43" s="12" t="n">
        <x:v>0</x:v>
      </x:c>
      <x:c r="H43" s="12" t="n">
        <x:v>64664</x:v>
      </x:c>
      <x:c r="I43" s="14" t="n">
        <x:v>660025.9139288632</x:v>
      </x:c>
      <x:c r="J43" s="14" t="n">
        <x:v>727095.1577142539</x:v>
      </x:c>
      <x:c r="K43" s="14" t="n">
        <x:v>18084378</x:v>
      </x:c>
      <x:c r="L43" s="14" t="n">
        <x:v>15868358</x:v>
      </x:c>
      <x:c r="M43" s="12" t="n">
        <x:v>74</x:v>
      </x:c>
      <x:c r="N43" s="12" t="inlineStr">
        <x:is>
          <x:t xml:space="preserve">primary</x:t>
        </x:is>
      </x:c>
      <x:c r="O43" s="12" t="n"/>
      <x:c r="P43" s="12" t="inlineStr">
        <x:is>
          <x:t xml:space="preserve">none</x:t>
        </x:is>
      </x:c>
      <x:c r="Q43" s="12" t="inlineStr">
        <x:is>
          <x:t xml:space="preserve">04-3523528</x:t>
        </x:is>
      </x:c>
      <x:c r="R43" s="12" t="n">
        <x:v>2.026020393493002e+17</x:v>
      </x:c>
      <x:c r="S43" s="16" t="inlineStr">
        <x:is>
          <x:t xml:space="preserve">https://apps.irs.gov/pub/epostcard/990/xml/2026/202602039349300145_public.xml</x:t>
        </x:is>
      </x:c>
      <x:c r="T43" s="16" t="inlineStr">
        <x:is>
          <x:t xml:space="preserve">https://projects.propublica.org/nonprofits/organizations/43523528</x:t>
        </x:is>
      </x:c>
      <x:c r="U43" s="17" t="inlineStr">
        <x:is>
          <x:t xml:space="preserve">SRC-990-EXT-CENTER-FOR-EFFECTIVE-PHILANTHROPY</x:t>
        </x:is>
      </x:c>
    </x:row>
    <x:row r="44">
      <x:c r="A44" s="12" t="inlineStr">
        <x:is>
          <x:t xml:space="preserve">Grantmakers for Effective Organizations</x:t>
        </x:is>
      </x:c>
      <x:c r="B44" s="12" t="inlineStr">
        <x:is>
          <x:t xml:space="preserve">Marcus Walton</x:t>
        </x:is>
      </x:c>
      <x:c r="C44" s="12" t="inlineStr">
        <x:is>
          <x:t xml:space="preserve">President &amp; CEO</x:t>
        </x:is>
      </x:c>
      <x:c r="D44" s="14" t="n">
        <x:v>2024</x:v>
      </x:c>
      <x:c r="E44" s="12" t="inlineStr">
        <x:is>
          <x:t xml:space="preserve">2025-11-06</x:t>
        </x:is>
      </x:c>
      <x:c r="F44" s="12" t="n">
        <x:v>370900</x:v>
      </x:c>
      <x:c r="G44" s="12" t="n">
        <x:v>0</x:v>
      </x:c>
      <x:c r="H44" s="12" t="n">
        <x:v>12006</x:v>
      </x:c>
      <x:c r="I44" s="14" t="n">
        <x:v>394818.6005983637</x:v>
      </x:c>
      <x:c r="J44" s="14" t="n">
        <x:v>407598.8435716286</x:v>
      </x:c>
      <x:c r="K44" s="14" t="n">
        <x:v>10014322</x:v>
      </x:c>
      <x:c r="L44" s="14" t="n">
        <x:v>7553004</x:v>
      </x:c>
      <x:c r="M44" s="12" t="n">
        <x:v>28</x:v>
      </x:c>
      <x:c r="N44" s="12" t="inlineStr">
        <x:is>
          <x:t xml:space="preserve">primary</x:t>
        </x:is>
      </x:c>
      <x:c r="O44" s="12" t="n"/>
      <x:c r="P44" s="12" t="inlineStr">
        <x:is>
          <x:t xml:space="preserve">none</x:t>
        </x:is>
      </x:c>
      <x:c r="Q44" s="12" t="inlineStr">
        <x:is>
          <x:t xml:space="preserve">01-0669150</x:t>
        </x:is>
      </x:c>
      <x:c r="R44" s="12" t="n">
        <x:v>2.025031093493036e+17</x:v>
      </x:c>
      <x:c r="S44" s="16" t="inlineStr">
        <x:is>
          <x:t xml:space="preserve">https://apps.irs.gov/pub/epostcard/990/xml/2025/202503109349303655_public.xml</x:t>
        </x:is>
      </x:c>
      <x:c r="T44" s="16" t="inlineStr">
        <x:is>
          <x:t xml:space="preserve">https://projects.propublica.org/nonprofits/organizations/10669150</x:t>
        </x:is>
      </x:c>
      <x:c r="U44" s="16" t="inlineStr">
        <x:is>
          <x:t xml:space="preserve">SRC-990-EXT-GRANTMAKERS-FOR-EFFECTIVE-ORGANIZATIONS</x:t>
        </x:is>
      </x:c>
    </x:row>
    <x:row r="45">
      <x:c r="A45" s="12" t="inlineStr">
        <x:is>
          <x:t xml:space="preserve">Precision Development</x:t>
        </x:is>
      </x:c>
      <x:c r="B45" s="12" t="inlineStr">
        <x:is>
          <x:t xml:space="preserve">Owen Barder</x:t>
        </x:is>
      </x:c>
      <x:c r="C45" s="12" t="inlineStr">
        <x:is>
          <x:t xml:space="preserve">Chief Executive Officer</x:t>
        </x:is>
      </x:c>
      <x:c r="D45" s="14" t="n">
        <x:v>2023</x:v>
      </x:c>
      <x:c r="E45" s="12" t="inlineStr">
        <x:is>
          <x:t xml:space="preserve">2024-11-14</x:t>
        </x:is>
      </x:c>
      <x:c r="F45" s="12" t="n">
        <x:v>224927</x:v>
      </x:c>
      <x:c r="G45" s="12" t="n">
        <x:v>0</x:v>
      </x:c>
      <x:c r="H45" s="12" t="n">
        <x:v>22600</x:v>
      </x:c>
      <x:c r="I45" s="14" t="n">
        <x:v>246494.203162165</x:v>
      </x:c>
      <x:c r="J45" s="14" t="n">
        <x:v>271261.2119759798</x:v>
      </x:c>
      <x:c r="K45" s="14" t="n">
        <x:v>6178835</x:v>
      </x:c>
      <x:c r="L45" s="14" t="n">
        <x:v>5234047</x:v>
      </x:c>
      <x:c r="M45" s="12" t="n">
        <x:v>12</x:v>
      </x:c>
      <x:c r="N45" s="12" t="inlineStr">
        <x:is>
          <x:t xml:space="preserve">primary_older_clean</x:t>
        </x:is>
      </x:c>
      <x:c r="O45" s="12" t="n"/>
      <x:c r="P45" s="12" t="inlineStr">
        <x:is>
          <x:t xml:space="preserve">older_clean_due_transition</x:t>
        </x:is>
      </x:c>
      <x:c r="Q45" s="12" t="inlineStr">
        <x:is>
          <x:t xml:space="preserve">81-0779400</x:t>
        </x:is>
      </x:c>
      <x:c r="R45" s="12" t="n">
        <x:v>2.024331993493022e+17</x:v>
      </x:c>
      <x:c r="S45" s="16" t="inlineStr">
        <x:is>
          <x:t xml:space="preserve">https://apps.irs.gov/pub/epostcard/990/xml/2024/202433199349302193_public.xml</x:t>
        </x:is>
      </x:c>
      <x:c r="T45" s="16" t="inlineStr">
        <x:is>
          <x:t xml:space="preserve">https://projects.propublica.org/nonprofits/organizations/810779400</x:t>
        </x:is>
      </x:c>
      <x:c r="U45" s="17" t="inlineStr">
        <x:is>
          <x:t xml:space="preserve">SRC-990-EXT-PRECISION-DEVELOPMENT</x:t>
        </x:is>
      </x:c>
    </x:row>
    <x:row r="46">
      <x:c r="A46" s="12" t="inlineStr">
        <x:is>
          <x:t xml:space="preserve">Results for Development</x:t>
        </x:is>
      </x:c>
      <x:c r="B46" s="12" t="inlineStr">
        <x:is>
          <x:t xml:space="preserve">Gina Lagomarsino</x:t>
        </x:is>
      </x:c>
      <x:c r="C46" s="12" t="inlineStr">
        <x:is>
          <x:t xml:space="preserve">President &amp; CEO</x:t>
        </x:is>
      </x:c>
      <x:c r="D46" s="14" t="n">
        <x:v>2024</x:v>
      </x:c>
      <x:c r="E46" s="12" t="inlineStr">
        <x:is>
          <x:t xml:space="preserve">2025-09-30</x:t>
        </x:is>
      </x:c>
      <x:c r="F46" s="12" t="n">
        <x:v>384084</x:v>
      </x:c>
      <x:c r="G46" s="12" t="n">
        <x:v>0</x:v>
      </x:c>
      <x:c r="H46" s="12" t="n">
        <x:v>13800</x:v>
      </x:c>
      <x:c r="I46" s="14" t="n">
        <x:v>408852.8104400699</x:v>
      </x:c>
      <x:c r="J46" s="14" t="n">
        <x:v>423542.7448920985</x:v>
      </x:c>
      <x:c r="K46" s="14" t="n">
        <x:v>49137699</x:v>
      </x:c>
      <x:c r="L46" s="14" t="n">
        <x:v>48542325</x:v>
      </x:c>
      <x:c r="M46" s="12" t="n">
        <x:v>140</x:v>
      </x:c>
      <x:c r="N46" s="12" t="inlineStr">
        <x:is>
          <x:t xml:space="preserve">primary_with_structure_flag</x:t>
        </x:is>
      </x:c>
      <x:c r="O46" s="12" t="n"/>
      <x:c r="P46" s="12" t="inlineStr">
        <x:is>
          <x:t xml:space="preserve">above_primary_scale</x:t>
        </x:is>
      </x:c>
      <x:c r="Q46" s="12" t="inlineStr">
        <x:is>
          <x:t xml:space="preserve">20-8530747</x:t>
        </x:is>
      </x:c>
      <x:c r="R46" s="12" t="n">
        <x:v>2.025127393493023e+17</x:v>
      </x:c>
      <x:c r="S46" s="16" t="inlineStr">
        <x:is>
          <x:t xml:space="preserve">https://apps.irs.gov/pub/epostcard/990/xml/2025/202512739349302306_public.xml</x:t>
        </x:is>
      </x:c>
      <x:c r="T46" s="16" t="inlineStr">
        <x:is>
          <x:t xml:space="preserve">https://projects.propublica.org/nonprofits/organizations/208530747</x:t>
        </x:is>
      </x:c>
      <x:c r="U46" s="17" t="inlineStr">
        <x:is>
          <x:t xml:space="preserve">SRC-990-EXT-RESULTS-FOR-DEVELOPMENT</x:t>
        </x:is>
      </x:c>
    </x:row>
    <x:row r="47">
      <x:c r="A47" s="12" t="inlineStr">
        <x:is>
          <x:t xml:space="preserve">Animal Equality</x:t>
        </x:is>
      </x:c>
      <x:c r="B47" s="12" t="inlineStr">
        <x:is>
          <x:t xml:space="preserve">Sharon Maria Nunez Gough</x:t>
        </x:is>
      </x:c>
      <x:c r="C47" s="12" t="inlineStr">
        <x:is>
          <x:t xml:space="preserve">President</x:t>
        </x:is>
      </x:c>
      <x:c r="D47" s="14" t="n">
        <x:v>2024</x:v>
      </x:c>
      <x:c r="E47" s="12" t="inlineStr">
        <x:is>
          <x:t xml:space="preserve">2025-10-27</x:t>
        </x:is>
      </x:c>
      <x:c r="F47" s="12" t="n">
        <x:v>100966</x:v>
      </x:c>
      <x:c r="G47" s="12" t="n">
        <x:v>0</x:v>
      </x:c>
      <x:c r="H47" s="12" t="n">
        <x:v>9893</x:v>
      </x:c>
      <x:c r="I47" s="14" t="n">
        <x:v>107477.0957886611</x:v>
      </x:c>
      <x:c r="J47" s="14" t="n">
        <x:v>118008.0756099596</x:v>
      </x:c>
      <x:c r="K47" s="14" t="n">
        <x:v>4411463</x:v>
      </x:c>
      <x:c r="L47" s="14" t="n">
        <x:v>5192778</x:v>
      </x:c>
      <x:c r="M47" s="12" t="n">
        <x:v>27</x:v>
      </x:c>
      <x:c r="N47" s="12" t="inlineStr">
        <x:is>
          <x:t xml:space="preserve">structural_sensitivity</x:t>
        </x:is>
      </x:c>
      <x:c r="O47" s="12" t="n"/>
      <x:c r="P47" s="12" t="inlineStr">
        <x:is>
          <x:t xml:space="preserve">international_affiliate_multiple_directors</x:t>
        </x:is>
      </x:c>
      <x:c r="Q47" s="12" t="inlineStr">
        <x:is>
          <x:t xml:space="preserve">47-2420444</x:t>
        </x:is>
      </x:c>
      <x:c r="R47" s="12" t="n">
        <x:v>2.025330093493012e+17</x:v>
      </x:c>
      <x:c r="S47" s="16" t="inlineStr">
        <x:is>
          <x:t xml:space="preserve">https://apps.irs.gov/pub/epostcard/990/xml/2025/202533009349301263_public.xml</x:t>
        </x:is>
      </x:c>
      <x:c r="T47" s="16" t="inlineStr">
        <x:is>
          <x:t xml:space="preserve">https://projects.propublica.org/nonprofits/organizations/472420444</x:t>
        </x:is>
      </x:c>
      <x:c r="U47" s="17" t="inlineStr">
        <x:is>
          <x:t xml:space="preserve">SRC-990-EXT-ANIMAL-EQUALITY</x:t>
        </x:is>
      </x:c>
    </x:row>
    <x:row r="48">
      <x:c r="A48" s="12" t="inlineStr">
        <x:is>
          <x:t xml:space="preserve">Last Mile Health</x:t>
        </x:is>
      </x:c>
      <x:c r="B48" s="12" t="inlineStr">
        <x:is>
          <x:t xml:space="preserve">Lisha McCormick</x:t>
        </x:is>
      </x:c>
      <x:c r="C48" s="12" t="inlineStr">
        <x:is>
          <x:t xml:space="preserve">Chief Executive Officer</x:t>
        </x:is>
      </x:c>
      <x:c r="D48" s="14" t="n">
        <x:v>2024</x:v>
      </x:c>
      <x:c r="E48" s="12" t="inlineStr">
        <x:is>
          <x:t xml:space="preserve">2026-05-15</x:t>
        </x:is>
      </x:c>
      <x:c r="F48" s="12" t="n">
        <x:v>249008</x:v>
      </x:c>
      <x:c r="G48" s="12" t="n">
        <x:v>0</x:v>
      </x:c>
      <x:c r="H48" s="12" t="n">
        <x:v>7164</x:v>
      </x:c>
      <x:c r="I48" s="14" t="n">
        <x:v>265066.0288428076</x:v>
      </x:c>
      <x:c r="J48" s="14" t="n">
        <x:v>272692.0209018172</x:v>
      </x:c>
      <x:c r="K48" s="14" t="n">
        <x:v>21567118</x:v>
      </x:c>
      <x:c r="L48" s="14" t="n">
        <x:v>26962344</x:v>
      </x:c>
      <x:c r="M48" s="12" t="n">
        <x:v>55</x:v>
      </x:c>
      <x:c r="N48" s="12" t="inlineStr">
        <x:is>
          <x:t xml:space="preserve">primary_with_structure_flag</x:t>
        </x:is>
      </x:c>
      <x:c r="O48" s="12" t="n"/>
      <x:c r="P48" s="12" t="inlineStr">
        <x:is>
          <x:t xml:space="preserve">delivery_hybrid</x:t>
        </x:is>
      </x:c>
      <x:c r="Q48" s="12" t="inlineStr">
        <x:is>
          <x:t xml:space="preserve">26-1401736</x:t>
        </x:is>
      </x:c>
      <x:c r="R48" s="12" t="n">
        <x:v>2.026313593493053e+17</x:v>
      </x:c>
      <x:c r="S48" s="16" t="inlineStr">
        <x:is>
          <x:t xml:space="preserve">https://apps.irs.gov/pub/epostcard/990/xml/2026/202631359349305343_public.xml</x:t>
        </x:is>
      </x:c>
      <x:c r="T48" s="16" t="inlineStr">
        <x:is>
          <x:t xml:space="preserve">https://projects.propublica.org/nonprofits/organizations/261401736</x:t>
        </x:is>
      </x:c>
      <x:c r="U48" s="17" t="inlineStr">
        <x:is>
          <x:t xml:space="preserve">SRC-990-EXT-LAST-MILE-HEALTH</x:t>
        </x:is>
      </x:c>
    </x:row>
    <x:row r="49">
      <x:c r="A49" s="12" t="inlineStr">
        <x:is>
          <x:t xml:space="preserve">StrongMinds</x:t>
        </x:is>
      </x:c>
      <x:c r="B49" s="12" t="inlineStr">
        <x:is>
          <x:t xml:space="preserve">Sean Mayberry</x:t>
        </x:is>
      </x:c>
      <x:c r="C49" s="12" t="inlineStr">
        <x:is>
          <x:t xml:space="preserve">Chief Executive Officer</x:t>
        </x:is>
      </x:c>
      <x:c r="D49" s="14" t="n">
        <x:v>2024</x:v>
      </x:c>
      <x:c r="E49" s="12" t="inlineStr">
        <x:is>
          <x:t xml:space="preserve">2025-06-20</x:t>
        </x:is>
      </x:c>
      <x:c r="F49" s="12" t="n">
        <x:v>240015</x:v>
      </x:c>
      <x:c r="G49" s="12" t="n">
        <x:v>0</x:v>
      </x:c>
      <x:c r="H49" s="12" t="n">
        <x:v>7453</x:v>
      </x:c>
      <x:c r="I49" s="14" t="n">
        <x:v>255493.0882249023</x:v>
      </x:c>
      <x:c r="J49" s="14" t="n">
        <x:v>263426.7173170015</x:v>
      </x:c>
      <x:c r="K49" s="14" t="n">
        <x:v>9289461</x:v>
      </x:c>
      <x:c r="L49" s="14" t="n">
        <x:v>9651790</x:v>
      </x:c>
      <x:c r="M49" s="12" t="n">
        <x:v>25</x:v>
      </x:c>
      <x:c r="N49" s="12" t="inlineStr">
        <x:is>
          <x:t xml:space="preserve">primary_with_structure_flag</x:t>
        </x:is>
      </x:c>
      <x:c r="O49" s="12" t="n"/>
      <x:c r="P49" s="12" t="inlineStr">
        <x:is>
          <x:t xml:space="preserve">delivery_hybrid</x:t>
        </x:is>
      </x:c>
      <x:c r="Q49" s="12" t="inlineStr">
        <x:is>
          <x:t xml:space="preserve">46-2090059</x:t>
        </x:is>
      </x:c>
      <x:c r="R49" s="12" t="n">
        <x:v>2.025117193493e+17</x:v>
      </x:c>
      <x:c r="S49" s="16" t="inlineStr">
        <x:is>
          <x:t xml:space="preserve">https://apps.irs.gov/pub/epostcard/990/xml/2025/202511719349300036_public.xml</x:t>
        </x:is>
      </x:c>
      <x:c r="T49" s="16" t="inlineStr">
        <x:is>
          <x:t xml:space="preserve">https://projects.propublica.org/nonprofits/organizations/462090059</x:t>
        </x:is>
      </x:c>
      <x:c r="U49" s="17" t="inlineStr">
        <x:is>
          <x:t xml:space="preserve">SRC-990-EXT-STRONGMINDS</x:t>
        </x:is>
      </x:c>
    </x:row>
    <x:row r="50">
      <x:c r="A50" s="12" t="inlineStr">
        <x:is>
          <x:t xml:space="preserve">Animal Legal Defense Fund</x:t>
        </x:is>
      </x:c>
      <x:c r="B50" s="12" t="inlineStr">
        <x:is>
          <x:t xml:space="preserve">Chris Green</x:t>
        </x:is>
      </x:c>
      <x:c r="C50" s="12" t="inlineStr">
        <x:is>
          <x:t xml:space="preserve">Executive Director</x:t>
        </x:is>
      </x:c>
      <x:c r="D50" s="14" t="n">
        <x:v>2024</x:v>
      </x:c>
      <x:c r="E50" s="12" t="inlineStr">
        <x:is>
          <x:t xml:space="preserve">2026-05-04</x:t>
        </x:is>
      </x:c>
      <x:c r="F50" s="12" t="n">
        <x:v>287102</x:v>
      </x:c>
      <x:c r="G50" s="12" t="n">
        <x:v>0</x:v>
      </x:c>
      <x:c r="H50" s="12" t="n">
        <x:v>29811</x:v>
      </x:c>
      <x:c r="I50" s="14" t="n">
        <x:v>305616.6348584293</x:v>
      </x:c>
      <x:c r="J50" s="14" t="n">
        <x:v>337350.0867388224</x:v>
      </x:c>
      <x:c r="K50" s="14" t="n">
        <x:v>19716926</x:v>
      </x:c>
      <x:c r="L50" s="14" t="n">
        <x:v>17525202</x:v>
      </x:c>
      <x:c r="M50" s="12" t="n">
        <x:v>109</x:v>
      </x:c>
      <x:c r="N50" s="12" t="inlineStr">
        <x:is>
          <x:t xml:space="preserve">primary_with_structure_flag</x:t>
        </x:is>
      </x:c>
      <x:c r="O50" s="12" t="n"/>
      <x:c r="P50" s="12" t="inlineStr">
        <x:is>
          <x:t xml:space="preserve">legal_advocacy_hybrid</x:t>
        </x:is>
      </x:c>
      <x:c r="Q50" s="12" t="inlineStr">
        <x:is>
          <x:t xml:space="preserve">94-2681680</x:t>
        </x:is>
      </x:c>
      <x:c r="R50" s="12" t="n">
        <x:v>2.026312493493019e+17</x:v>
      </x:c>
      <x:c r="S50" s="16" t="inlineStr">
        <x:is>
          <x:t xml:space="preserve">https://apps.irs.gov/pub/epostcard/990/xml/2026/202631249349301878_public.xml</x:t>
        </x:is>
      </x:c>
      <x:c r="T50" s="16" t="inlineStr">
        <x:is>
          <x:t xml:space="preserve">https://projects.propublica.org/nonprofits/organizations/942681680</x:t>
        </x:is>
      </x:c>
      <x:c r="U50" s="17" t="inlineStr">
        <x:is>
          <x:t xml:space="preserve">SRC-990-EXT-ANIMAL-LEGAL-DEFENSE-FUND</x:t>
        </x:is>
      </x:c>
    </x:row>
    <x:row r="51">
      <x:c r="A51" s="12" t="inlineStr">
        <x:is>
          <x:t xml:space="preserve">Exponent Philanthropy</x:t>
        </x:is>
      </x:c>
      <x:c r="B51" s="12" t="inlineStr">
        <x:is>
          <x:t xml:space="preserve">Paul Daugherty</x:t>
        </x:is>
      </x:c>
      <x:c r="C51" s="12" t="inlineStr">
        <x:is>
          <x:t xml:space="preserve">Chief Executive Officer</x:t>
        </x:is>
      </x:c>
      <x:c r="D51" s="14" t="n">
        <x:v>2025</x:v>
      </x:c>
      <x:c r="E51" s="12" t="inlineStr">
        <x:is>
          <x:t xml:space="preserve">2026-06-18</x:t>
        </x:is>
      </x:c>
      <x:c r="F51" s="12" t="n">
        <x:v>297424</x:v>
      </x:c>
      <x:c r="G51" s="12" t="n">
        <x:v>0</x:v>
      </x:c>
      <x:c r="H51" s="12" t="n">
        <x:v>53300</x:v>
      </x:c>
      <x:c r="I51" s="14" t="n">
        <x:v>308486.990653625</x:v>
      </x:c>
      <x:c r="J51" s="14" t="n">
        <x:v>363769.5388065589</x:v>
      </x:c>
      <x:c r="K51" s="14" t="n">
        <x:v>3267087</x:v>
      </x:c>
      <x:c r="L51" s="14" t="n">
        <x:v>3343665</x:v>
      </x:c>
      <x:c r="M51" s="12" t="n">
        <x:v>19</x:v>
      </x:c>
      <x:c r="N51" s="12" t="inlineStr">
        <x:is>
          <x:t xml:space="preserve">primary</x:t>
        </x:is>
      </x:c>
      <x:c r="O51" s="12" t="n"/>
      <x:c r="P51" s="12" t="inlineStr">
        <x:is>
          <x:t xml:space="preserve">below_primary_scale</x:t>
        </x:is>
      </x:c>
      <x:c r="Q51" s="12" t="inlineStr">
        <x:is>
          <x:t xml:space="preserve">65-0617866</x:t>
        </x:is>
      </x:c>
      <x:c r="R51" s="12" t="n">
        <x:v>2.026216993493001e+17</x:v>
      </x:c>
      <x:c r="S51" s="16" t="inlineStr">
        <x:is>
          <x:t xml:space="preserve">https://apps.irs.gov/pub/epostcard/990/xml/2026/202621699349300132_public.xml</x:t>
        </x:is>
      </x:c>
      <x:c r="T51" s="16" t="inlineStr">
        <x:is>
          <x:t xml:space="preserve">https://projects.propublica.org/nonprofits/organizations/650617866</x:t>
        </x:is>
      </x:c>
      <x:c r="U51" s="17" t="inlineStr">
        <x:is>
          <x:t xml:space="preserve">SRC-990-EXT-EXPONENT-PHILANTHROPY</x:t>
        </x:is>
      </x:c>
    </x:row>
    <x:row r="52">
      <x:c r="A52" s="12" t="inlineStr">
        <x:is>
          <x:t xml:space="preserve">Compassion in World Farming USA</x:t>
        </x:is>
      </x:c>
      <x:c r="B52" s="12" t="inlineStr">
        <x:is>
          <x:t xml:space="preserve">Benjamin Williamson</x:t>
        </x:is>
      </x:c>
      <x:c r="C52" s="12" t="inlineStr">
        <x:is>
          <x:t xml:space="preserve">US Director</x:t>
        </x:is>
      </x:c>
      <x:c r="D52" s="14" t="n">
        <x:v>2023</x:v>
      </x:c>
      <x:c r="E52" s="12" t="inlineStr">
        <x:is>
          <x:t xml:space="preserve">2024-09-24</x:t>
        </x:is>
      </x:c>
      <x:c r="F52" s="12" t="n">
        <x:v>103049</x:v>
      </x:c>
      <x:c r="G52" s="12" t="n">
        <x:v>0</x:v>
      </x:c>
      <x:c r="H52" s="12" t="n">
        <x:v>20358</x:v>
      </x:c>
      <x:c r="I52" s="14" t="n">
        <x:v>112929.8889935754</x:v>
      </x:c>
      <x:c r="J52" s="14" t="n">
        <x:v>135239.9228622322</x:v>
      </x:c>
      <x:c r="K52" s="14" t="n">
        <x:v>2356610</x:v>
      </x:c>
      <x:c r="L52" s="14" t="n">
        <x:v>2417841</x:v>
      </x:c>
      <x:c r="M52" s="12" t="n">
        <x:v>19</x:v>
      </x:c>
      <x:c r="N52" s="12" t="inlineStr">
        <x:is>
          <x:t xml:space="preserve">structural_sensitivity</x:t>
        </x:is>
      </x:c>
      <x:c r="O52" s="12" t="n"/>
      <x:c r="P52" s="12" t="inlineStr">
        <x:is>
          <x:t xml:space="preserve">international_affiliate_older_clean</x:t>
        </x:is>
      </x:c>
      <x:c r="Q52" s="12" t="inlineStr">
        <x:is>
          <x:t xml:space="preserve">46-1822635</x:t>
        </x:is>
      </x:c>
      <x:c r="R52" s="12" t="n">
        <x:v>2.024026893493007e+17</x:v>
      </x:c>
      <x:c r="S52" s="16" t="inlineStr">
        <x:is>
          <x:t xml:space="preserve">https://apps.irs.gov/pub/epostcard/990/xml/2024/202402689349300735_public.xml</x:t>
        </x:is>
      </x:c>
      <x:c r="T52" s="16" t="inlineStr">
        <x:is>
          <x:t xml:space="preserve">https://projects.propublica.org/nonprofits/organizations/461822635</x:t>
        </x:is>
      </x:c>
      <x:c r="U52" s="17" t="inlineStr">
        <x:is>
          <x:t xml:space="preserve">SRC-990-EXT-COMPASSION-IN-WORLD-FARMING-USA</x:t>
        </x:is>
      </x:c>
    </x:row>
    <x:row r="53">
      <x:c r="A53" s="12" t="inlineStr">
        <x:is>
          <x:t xml:space="preserve">Living Goods</x:t>
        </x:is>
      </x:c>
      <x:c r="B53" s="12" t="inlineStr">
        <x:is>
          <x:t xml:space="preserve">Elizabeth Ann Jarman</x:t>
        </x:is>
      </x:c>
      <x:c r="C53" s="12" t="inlineStr">
        <x:is>
          <x:t xml:space="preserve">CEO/Officer</x:t>
        </x:is>
      </x:c>
      <x:c r="D53" s="14" t="n">
        <x:v>2023</x:v>
      </x:c>
      <x:c r="E53" s="12" t="inlineStr">
        <x:is>
          <x:t xml:space="preserve">2024-11-14</x:t>
        </x:is>
      </x:c>
      <x:c r="F53" s="12" t="n">
        <x:v>247500</x:v>
      </x:c>
      <x:c r="G53" s="12" t="n">
        <x:v>0</x:v>
      </x:c>
      <x:c r="H53" s="12" t="n">
        <x:v>0</x:v>
      </x:c>
      <x:c r="I53" s="14" t="n">
        <x:v>271231.6230716447</x:v>
      </x:c>
      <x:c r="J53" s="14" t="n">
        <x:v>271231.6230716447</x:v>
      </x:c>
      <x:c r="K53" s="14" t="n">
        <x:v>17489687</x:v>
      </x:c>
      <x:c r="L53" s="14" t="n">
        <x:v>23722146</x:v>
      </x:c>
      <x:c r="M53" s="12" t="n">
        <x:v>17</x:v>
      </x:c>
      <x:c r="N53" s="12" t="inlineStr">
        <x:is>
          <x:t xml:space="preserve">primary_with_structure_flag</x:t>
        </x:is>
      </x:c>
      <x:c r="O53" s="12" t="n"/>
      <x:c r="P53" s="12" t="inlineStr">
        <x:is>
          <x:t xml:space="preserve">delivery_hybrid_older_clean</x:t>
        </x:is>
      </x:c>
      <x:c r="Q53" s="12" t="inlineStr">
        <x:is>
          <x:t xml:space="preserve">20-5010527</x:t>
        </x:is>
      </x:c>
      <x:c r="R53" s="12" t="n">
        <x:v>2.024331993493075e+17</x:v>
      </x:c>
      <x:c r="S53" s="16" t="inlineStr">
        <x:is>
          <x:t xml:space="preserve">https://apps.irs.gov/pub/epostcard/990/xml/2024/202433199349307518_public.xml</x:t>
        </x:is>
      </x:c>
      <x:c r="T53" s="16" t="inlineStr">
        <x:is>
          <x:t xml:space="preserve">https://projects.propublica.org/nonprofits/organizations/205010527</x:t>
        </x:is>
      </x:c>
      <x:c r="U53" s="17" t="inlineStr">
        <x:is>
          <x:t xml:space="preserve">SRC-990-EXT-LIVING-GOODS</x:t>
        </x:is>
      </x:c>
    </x:row>
    <x:row r="54">
      <x:c r="A54" s="12" t="inlineStr">
        <x:is>
          <x:t xml:space="preserve">The Humane League</x:t>
        </x:is>
      </x:c>
      <x:c r="B54" s="12" t="inlineStr">
        <x:is>
          <x:t xml:space="preserve">Victoria Bond</x:t>
        </x:is>
      </x:c>
      <x:c r="C54" s="12" t="inlineStr">
        <x:is>
          <x:t xml:space="preserve">President</x:t>
        </x:is>
      </x:c>
      <x:c r="D54" s="14" t="n">
        <x:v>2024</x:v>
      </x:c>
      <x:c r="E54" s="12" t="inlineStr">
        <x:is>
          <x:t xml:space="preserve">2025-09-05</x:t>
        </x:is>
      </x:c>
      <x:c r="F54" s="12" t="n">
        <x:v>223031</x:v>
      </x:c>
      <x:c r="G54" s="12" t="n">
        <x:v>0</x:v>
      </x:c>
      <x:c r="H54" s="12" t="n">
        <x:v>23029</x:v>
      </x:c>
      <x:c r="I54" s="14" t="n">
        <x:v>237413.8239688694</x:v>
      </x:c>
      <x:c r="J54" s="14" t="n">
        <x:v>261927.9182076931</x:v>
      </x:c>
      <x:c r="K54" s="14" t="n">
        <x:v>27934789</x:v>
      </x:c>
      <x:c r="L54" s="14" t="n">
        <x:v>19963588</x:v>
      </x:c>
      <x:c r="M54" s="12" t="n">
        <x:v>112</x:v>
      </x:c>
      <x:c r="N54" s="12" t="inlineStr">
        <x:is>
          <x:t xml:space="preserve">primary_with_structure_flag</x:t>
        </x:is>
      </x:c>
      <x:c r="O54" s="12" t="n"/>
      <x:c r="P54" s="12" t="inlineStr">
        <x:is>
          <x:t xml:space="preserve">campaign_advocacy_model</x:t>
        </x:is>
      </x:c>
      <x:c r="Q54" s="12" t="inlineStr">
        <x:is>
          <x:t xml:space="preserve">04-3817491</x:t>
        </x:is>
      </x:c>
      <x:c r="R54" s="12" t="n">
        <x:v>2.025124893493018e+17</x:v>
      </x:c>
      <x:c r="S54" s="16" t="inlineStr">
        <x:is>
          <x:t xml:space="preserve">https://apps.irs.gov/pub/epostcard/990/xml/2025/202512489349301801_public.xml</x:t>
        </x:is>
      </x:c>
      <x:c r="T54" s="16" t="inlineStr">
        <x:is>
          <x:t xml:space="preserve">https://projects.propublica.org/nonprofits/organizations/043817491</x:t>
        </x:is>
      </x:c>
      <x:c r="U54" s="17" t="inlineStr">
        <x:is>
          <x:t xml:space="preserve">SRC-990-EXT-THE-HUMANE-LEAGUE</x:t>
        </x:is>
      </x:c>
    </x:row>
    <x:row r="55">
      <x:c r="A55" s="12" t="inlineStr">
        <x:is>
          <x:t xml:space="preserve">Mercy For Animals</x:t>
        </x:is>
      </x:c>
      <x:c r="B55" s="12" t="inlineStr">
        <x:is>
          <x:t xml:space="preserve">Leah Garces</x:t>
        </x:is>
      </x:c>
      <x:c r="C55" s="12" t="inlineStr">
        <x:is>
          <x:t xml:space="preserve">Chief Executive Officer</x:t>
        </x:is>
      </x:c>
      <x:c r="D55" s="14" t="n">
        <x:v>2024</x:v>
      </x:c>
      <x:c r="E55" s="12" t="inlineStr">
        <x:is>
          <x:t xml:space="preserve">2025-08-13</x:t>
        </x:is>
      </x:c>
      <x:c r="F55" s="12" t="n">
        <x:v>195079</x:v>
      </x:c>
      <x:c r="G55" s="12" t="n">
        <x:v>0</x:v>
      </x:c>
      <x:c r="H55" s="12" t="n">
        <x:v>7282</x:v>
      </x:c>
      <x:c r="I55" s="14" t="n">
        <x:v>207659.255287485</x:v>
      </x:c>
      <x:c r="J55" s="14" t="n">
        <x:v>215410.8569309396</x:v>
      </x:c>
      <x:c r="K55" s="14" t="n">
        <x:v>23344663</x:v>
      </x:c>
      <x:c r="L55" s="14" t="n">
        <x:v>23908480</x:v>
      </x:c>
      <x:c r="M55" s="12" t="n">
        <x:v>133</x:v>
      </x:c>
      <x:c r="N55" s="12" t="inlineStr">
        <x:is>
          <x:t xml:space="preserve">primary_with_structure_flag</x:t>
        </x:is>
      </x:c>
      <x:c r="O55" s="12" t="n"/>
      <x:c r="P55" s="12" t="inlineStr">
        <x:is>
          <x:t xml:space="preserve">campaign_advocacy_model</x:t>
        </x:is>
      </x:c>
      <x:c r="Q55" s="12" t="inlineStr">
        <x:is>
          <x:t xml:space="preserve">54-2076145</x:t>
        </x:is>
      </x:c>
      <x:c r="R55" s="12" t="n">
        <x:v>2.025022593493011e+17</x:v>
      </x:c>
      <x:c r="S55" s="16" t="inlineStr">
        <x:is>
          <x:t xml:space="preserve">https://apps.irs.gov/pub/epostcard/990/xml/2025/202502259349301135_public.xml</x:t>
        </x:is>
      </x:c>
      <x:c r="T55" s="16" t="inlineStr">
        <x:is>
          <x:t xml:space="preserve">https://projects.propublica.org/nonprofits/organizations/542076145</x:t>
        </x:is>
      </x:c>
      <x:c r="U55" s="17" t="inlineStr">
        <x:is>
          <x:t xml:space="preserve">SRC-990-EXT-MERCY-FOR-ANIMALS</x:t>
        </x:is>
      </x:c>
    </x:row>
    <x:row r="56">
      <x:c r="A56" s="12" t="inlineStr">
        <x:is>
          <x:t xml:space="preserve">Village Enterprise</x:t>
        </x:is>
      </x:c>
      <x:c r="B56" s="12" t="inlineStr">
        <x:is>
          <x:t xml:space="preserve">Dianne Calvi</x:t>
        </x:is>
      </x:c>
      <x:c r="C56" s="12" t="inlineStr">
        <x:is>
          <x:t xml:space="preserve">CEO</x:t>
        </x:is>
      </x:c>
      <x:c r="D56" s="14" t="n">
        <x:v>2024</x:v>
      </x:c>
      <x:c r="E56" s="12" t="inlineStr">
        <x:is>
          <x:t xml:space="preserve">2026-05-15</x:t>
        </x:is>
      </x:c>
      <x:c r="F56" s="12" t="n">
        <x:v>273863</x:v>
      </x:c>
      <x:c r="G56" s="12" t="n">
        <x:v>0</x:v>
      </x:c>
      <x:c r="H56" s="12" t="n">
        <x:v>28496</x:v>
      </x:c>
      <x:c r="I56" s="14" t="n">
        <x:v>291523.8781765157</x:v>
      </x:c>
      <x:c r="J56" s="14" t="n">
        <x:v>321857.5283319511</x:v>
      </x:c>
      <x:c r="K56" s="14" t="n">
        <x:v>21517758</x:v>
      </x:c>
      <x:c r="L56" s="14" t="n">
        <x:v>20984394</x:v>
      </x:c>
      <x:c r="M56" s="12" t="n">
        <x:v>19</x:v>
      </x:c>
      <x:c r="N56" s="12" t="inlineStr">
        <x:is>
          <x:t xml:space="preserve">primary_with_structure_flag</x:t>
        </x:is>
      </x:c>
      <x:c r="O56" s="12" t="n"/>
      <x:c r="P56" s="12" t="inlineStr">
        <x:is>
          <x:t xml:space="preserve">delivery_hybrid</x:t>
        </x:is>
      </x:c>
      <x:c r="Q56" s="12" t="inlineStr">
        <x:is>
          <x:t xml:space="preserve">22-2852248</x:t>
        </x:is>
      </x:c>
      <x:c r="R56" s="12" t="n">
        <x:v>2.026313593493011e+17</x:v>
      </x:c>
      <x:c r="S56" s="16" t="inlineStr">
        <x:is>
          <x:t xml:space="preserve">https://apps.irs.gov/pub/epostcard/990/xml/2026/202631359349301128_public.xml</x:t>
        </x:is>
      </x:c>
      <x:c r="T56" s="16" t="inlineStr">
        <x:is>
          <x:t xml:space="preserve">https://projects.propublica.org/nonprofits/organizations/222852248</x:t>
        </x:is>
      </x:c>
      <x:c r="U56" s="17" t="inlineStr">
        <x:is>
          <x:t xml:space="preserve">SRC-990-EXT-VILLAGE-ENTERPRISE</x:t>
        </x:is>
      </x:c>
    </x:row>
    <x:row r="57">
      <x:c r="A57" s="12" t="inlineStr">
        <x:is>
          <x:t xml:space="preserve">Farm Sanctuary</x:t>
        </x:is>
      </x:c>
      <x:c r="B57" s="12" t="inlineStr">
        <x:is>
          <x:t xml:space="preserve">Ellen O'Connell</x:t>
        </x:is>
      </x:c>
      <x:c r="C57" s="12" t="inlineStr">
        <x:is>
          <x:t xml:space="preserve">CEO</x:t>
        </x:is>
      </x:c>
      <x:c r="D57" s="14" t="n">
        <x:v>2023</x:v>
      </x:c>
      <x:c r="E57" s="12" t="inlineStr">
        <x:is>
          <x:t xml:space="preserve">2024-09-25</x:t>
        </x:is>
      </x:c>
      <x:c r="F57" s="12" t="n">
        <x:v>203786</x:v>
      </x:c>
      <x:c r="G57" s="12" t="n">
        <x:v>0</x:v>
      </x:c>
      <x:c r="H57" s="12" t="n">
        <x:v>12709</x:v>
      </x:c>
      <x:c r="I57" s="14" t="n">
        <x:v>223326.0910677907</x:v>
      </x:c>
      <x:c r="J57" s="14" t="n">
        <x:v>237253.6979268514</x:v>
      </x:c>
      <x:c r="K57" s="14" t="n">
        <x:v>14525588</x:v>
      </x:c>
      <x:c r="L57" s="14" t="n">
        <x:v>15586548</x:v>
      </x:c>
      <x:c r="M57" s="12" t="n">
        <x:v>126</x:v>
      </x:c>
      <x:c r="N57" s="12" t="inlineStr">
        <x:is>
          <x:t xml:space="preserve">primary_with_structure_flag</x:t>
        </x:is>
      </x:c>
      <x:c r="O57" s="12" t="n"/>
      <x:c r="P57" s="12" t="inlineStr">
        <x:is>
          <x:t xml:space="preserve">sanctuary_delivery_older_clean</x:t>
        </x:is>
      </x:c>
      <x:c r="Q57" s="12" t="inlineStr">
        <x:is>
          <x:t xml:space="preserve">51-0292919</x:t>
        </x:is>
      </x:c>
      <x:c r="R57" s="12" t="n">
        <x:v>2.024226993493017e+17</x:v>
      </x:c>
      <x:c r="S57" s="16" t="inlineStr">
        <x:is>
          <x:t xml:space="preserve">https://apps.irs.gov/pub/epostcard/990/xml/2024/202422699349301652_public.xml</x:t>
        </x:is>
      </x:c>
      <x:c r="T57" s="16" t="inlineStr">
        <x:is>
          <x:t xml:space="preserve">https://projects.propublica.org/nonprofits/organizations/510292919</x:t>
        </x:is>
      </x:c>
      <x:c r="U57" s="17" t="inlineStr">
        <x:is>
          <x:t xml:space="preserve">SRC-990-EXT-FARM-SANCTUARY</x:t>
        </x:is>
      </x:c>
    </x:row>
    <x:row r="58">
      <x:c r="A58" s="12" t="inlineStr">
        <x:is>
          <x:t xml:space="preserve">New Roots Institute</x:t>
        </x:is>
      </x:c>
      <x:c r="B58" s="12" t="inlineStr">
        <x:is>
          <x:t xml:space="preserve">Monica Chen</x:t>
        </x:is>
      </x:c>
      <x:c r="C58" s="12" t="inlineStr">
        <x:is>
          <x:t xml:space="preserve">Executive Director</x:t>
        </x:is>
      </x:c>
      <x:c r="D58" s="14" t="n">
        <x:v>2024</x:v>
      </x:c>
      <x:c r="E58" s="12" t="inlineStr">
        <x:is>
          <x:t xml:space="preserve">2025-12-17</x:t>
        </x:is>
      </x:c>
      <x:c r="F58" s="12" t="n">
        <x:v>88945</x:v>
      </x:c>
      <x:c r="G58" s="12" t="n">
        <x:v>0</x:v>
      </x:c>
      <x:c r="H58" s="12" t="n">
        <x:v>6387</x:v>
      </x:c>
      <x:c r="I58" s="14" t="n">
        <x:v>94680.88549533959</x:v>
      </x:c>
      <x:c r="J58" s="14" t="n">
        <x:v>101479.7703754198</x:v>
      </x:c>
      <x:c r="K58" s="14" t="n">
        <x:v>3509009</x:v>
      </x:c>
      <x:c r="L58" s="14" t="n">
        <x:v>2260435</x:v>
      </x:c>
      <x:c r="M58" s="12" t="n">
        <x:v>36</x:v>
      </x:c>
      <x:c r="N58" s="12" t="inlineStr">
        <x:is>
          <x:t xml:space="preserve">primary</x:t>
        </x:is>
      </x:c>
      <x:c r="O58" s="12" t="n"/>
      <x:c r="P58" s="12" t="inlineStr">
        <x:is>
          <x:t xml:space="preserve">below_primary_scale</x:t>
        </x:is>
      </x:c>
      <x:c r="Q58" s="12" t="inlineStr">
        <x:is>
          <x:t xml:space="preserve">82-4594246</x:t>
        </x:is>
      </x:c>
      <x:c r="R58" s="12" t="n">
        <x:v>2.025235193493016e+17</x:v>
      </x:c>
      <x:c r="S58" s="16" t="inlineStr">
        <x:is>
          <x:t xml:space="preserve">https://apps.irs.gov/pub/epostcard/990/xml/2025/202523519349301637_public.xml</x:t>
        </x:is>
      </x:c>
      <x:c r="T58" s="16" t="inlineStr">
        <x:is>
          <x:t xml:space="preserve">https://projects.propublica.org/nonprofits/organizations/824594246</x:t>
        </x:is>
      </x:c>
      <x:c r="U58" s="17" t="inlineStr">
        <x:is>
          <x:t xml:space="preserve">SRC-990-EXT-NEW-ROOTS-INSTITUTE</x:t>
        </x:is>
      </x:c>
    </x:row>
    <x:row r="59">
      <x:c r="A59" s="12" t="inlineStr">
        <x:is>
          <x:t xml:space="preserve">Innovations for Poverty Action</x:t>
        </x:is>
      </x:c>
      <x:c r="B59" s="12" t="inlineStr">
        <x:is>
          <x:t xml:space="preserve">Annie Duflo</x:t>
        </x:is>
      </x:c>
      <x:c r="C59" s="12" t="inlineStr">
        <x:is>
          <x:t xml:space="preserve">Executive Director</x:t>
        </x:is>
      </x:c>
      <x:c r="D59" s="14" t="n">
        <x:v>2024</x:v>
      </x:c>
      <x:c r="E59" s="12" t="inlineStr">
        <x:is>
          <x:t xml:space="preserve">2025-11-12</x:t>
        </x:is>
      </x:c>
      <x:c r="F59" s="12" t="n">
        <x:v>249217</x:v>
      </x:c>
      <x:c r="G59" s="12" t="n">
        <x:v>0</x:v>
      </x:c>
      <x:c r="H59" s="12" t="n">
        <x:v>66190</x:v>
      </x:c>
      <x:c r="I59" s="14" t="n">
        <x:v>265288.5068355956</x:v>
      </x:c>
      <x:c r="J59" s="14" t="n">
        <x:v>335746.9678051445</x:v>
      </x:c>
      <x:c r="K59" s="14" t="n">
        <x:v>52795464</x:v>
      </x:c>
      <x:c r="L59" s="14" t="n">
        <x:v>57894421</x:v>
      </x:c>
      <x:c r="M59" s="12" t="n">
        <x:v>110</x:v>
      </x:c>
      <x:c r="N59" s="12" t="inlineStr">
        <x:is>
          <x:t xml:space="preserve">primary_with_structure_flag</x:t>
        </x:is>
      </x:c>
      <x:c r="O59" s="12" t="n"/>
      <x:c r="P59" s="12" t="inlineStr">
        <x:is>
          <x:t xml:space="preserve">above_primary_scale</x:t>
        </x:is>
      </x:c>
      <x:c r="Q59" s="12" t="inlineStr">
        <x:is>
          <x:t xml:space="preserve">06-1660068</x:t>
        </x:is>
      </x:c>
      <x:c r="R59" s="12" t="n">
        <x:v>2.025131693493006e+17</x:v>
      </x:c>
      <x:c r="S59" s="16" t="inlineStr">
        <x:is>
          <x:t xml:space="preserve">https://apps.irs.gov/pub/epostcard/990/xml/2025/202513169349300641_public.xml</x:t>
        </x:is>
      </x:c>
      <x:c r="T59" s="16" t="inlineStr">
        <x:is>
          <x:t xml:space="preserve">https://projects.propublica.org/nonprofits/organizations/061660068</x:t>
        </x:is>
      </x:c>
      <x:c r="U59" s="17" t="inlineStr">
        <x:is>
          <x:t xml:space="preserve">SRC-990-EXT-INNOVATIONS-FOR-POVERTY-ACTION</x:t>
        </x:is>
      </x:c>
    </x:row>
    <x:row r="60">
      <x:c r="A60" s="12" t="inlineStr">
        <x:is>
          <x:t xml:space="preserve">Evidence Action</x:t>
        </x:is>
      </x:c>
      <x:c r="B60" s="12" t="inlineStr">
        <x:is>
          <x:t xml:space="preserve">Kanika Bahl</x:t>
        </x:is>
      </x:c>
      <x:c r="C60" s="12" t="inlineStr">
        <x:is>
          <x:t xml:space="preserve">Chief Executive Officer</x:t>
        </x:is>
      </x:c>
      <x:c r="D60" s="14" t="n">
        <x:v>2024</x:v>
      </x:c>
      <x:c r="E60" s="12" t="inlineStr">
        <x:is>
          <x:t xml:space="preserve">2025-10-09</x:t>
        </x:is>
      </x:c>
      <x:c r="F60" s="12" t="n">
        <x:v>385764</x:v>
      </x:c>
      <x:c r="G60" s="12" t="n">
        <x:v>0</x:v>
      </x:c>
      <x:c r="H60" s="12" t="n">
        <x:v>45901</x:v>
      </x:c>
      <x:c r="I60" s="14" t="n">
        <x:v>410641.1502864038</x:v>
      </x:c>
      <x:c r="J60" s="14" t="n">
        <x:v>459502.2141474593</x:v>
      </x:c>
      <x:c r="K60" s="14" t="n">
        <x:v>36213681</x:v>
      </x:c>
      <x:c r="L60" s="14" t="n">
        <x:v>45139532</x:v>
      </x:c>
      <x:c r="M60" s="12" t="n">
        <x:v>98</x:v>
      </x:c>
      <x:c r="N60" s="12" t="inlineStr">
        <x:is>
          <x:t xml:space="preserve">primary_with_structure_flag</x:t>
        </x:is>
      </x:c>
      <x:c r="O60" s="12" t="n"/>
      <x:c r="P60" s="12" t="inlineStr">
        <x:is>
          <x:t xml:space="preserve">above_scale_delivery_hybrid</x:t>
        </x:is>
      </x:c>
      <x:c r="Q60" s="12" t="inlineStr">
        <x:is>
          <x:t xml:space="preserve">90-0874591</x:t>
        </x:is>
      </x:c>
      <x:c r="R60" s="12" t="n">
        <x:v>2.025128293493023e+17</x:v>
      </x:c>
      <x:c r="S60" s="16" t="inlineStr">
        <x:is>
          <x:t xml:space="preserve">https://apps.irs.gov/pub/epostcard/990/xml/2025/202512829349302256_public.xml</x:t>
        </x:is>
      </x:c>
      <x:c r="T60" s="16" t="inlineStr">
        <x:is>
          <x:t xml:space="preserve">https://projects.propublica.org/nonprofits/organizations/900874591</x:t>
        </x:is>
      </x:c>
      <x:c r="U60" s="17" t="inlineStr">
        <x:is>
          <x:t xml:space="preserve">SRC-990-EXT-EVIDENCE-ACTION</x:t>
        </x:is>
      </x:c>
    </x:row>
    <x:row r="61">
      <x:c r="A61" s="12" t="inlineStr">
        <x:is>
          <x:t xml:space="preserve">Redwood Research</x:t>
        </x:is>
      </x:c>
      <x:c r="B61" s="12" t="inlineStr">
        <x:is>
          <x:t xml:space="preserve">Michael Shlegeris</x:t>
        </x:is>
      </x:c>
      <x:c r="C61" s="12" t="inlineStr">
        <x:is>
          <x:t xml:space="preserve">CEO, Director</x:t>
        </x:is>
      </x:c>
      <x:c r="D61" s="14" t="n">
        <x:v>2024</x:v>
      </x:c>
      <x:c r="E61" s="12" t="inlineStr">
        <x:is>
          <x:t xml:space="preserve">2025-11-15</x:t>
        </x:is>
      </x:c>
      <x:c r="F61" s="12" t="n">
        <x:v>272164</x:v>
      </x:c>
      <x:c r="G61" s="12" t="n">
        <x:v>0</x:v>
      </x:c>
      <x:c r="H61" s="12" t="n">
        <x:v>11301</x:v>
      </x:c>
      <x:c r="I61" s="14" t="n">
        <x:v>289715.3130581101</x:v>
      </x:c>
      <x:c r="J61" s="14" t="n">
        <x:v>301745.0919887171</x:v>
      </x:c>
      <x:c r="K61" s="14" t="n">
        <x:v>22060</x:v>
      </x:c>
      <x:c r="L61" s="14" t="n">
        <x:v>2922498</x:v>
      </x:c>
      <x:c r="M61" s="12" t="n">
        <x:v>6</x:v>
      </x:c>
      <x:c r="N61" s="12" t="inlineStr">
        <x:is>
          <x:t xml:space="preserve">primary</x:t>
        </x:is>
      </x:c>
      <x:c r="O61" s="12" t="n"/>
      <x:c r="P61" s="12" t="inlineStr">
        <x:is>
          <x:t xml:space="preserve">below_scale_revenue_anomaly</x:t>
        </x:is>
      </x:c>
      <x:c r="Q61" s="12" t="inlineStr">
        <x:is>
          <x:t xml:space="preserve">87-1702255</x:t>
        </x:is>
      </x:c>
      <x:c r="R61" s="12" t="n">
        <x:v>2.025031993493029e+17</x:v>
      </x:c>
      <x:c r="S61" s="16" t="inlineStr">
        <x:is>
          <x:t xml:space="preserve">https://apps.irs.gov/pub/epostcard/990/xml/2025/202503199349302920_public.xml</x:t>
        </x:is>
      </x:c>
      <x:c r="T61" s="16" t="inlineStr">
        <x:is>
          <x:t xml:space="preserve">https://projects.propublica.org/nonprofits/organizations/871702255</x:t>
        </x:is>
      </x:c>
      <x:c r="U61" s="17" t="inlineStr">
        <x:is>
          <x:t xml:space="preserve">SRC-990-EXT-REDWOOD-RESEARCH</x:t>
        </x:is>
      </x:c>
    </x:row>
    <x:row r="62">
      <x:c r="A62" s="12" t="inlineStr">
        <x:is>
          <x:t xml:space="preserve">Guttmacher Institute</x:t>
        </x:is>
      </x:c>
      <x:c r="B62" s="12" t="inlineStr">
        <x:is>
          <x:t xml:space="preserve">Herminia Palacio</x:t>
        </x:is>
      </x:c>
      <x:c r="C62" s="12" t="inlineStr">
        <x:is>
          <x:t xml:space="preserve">President &amp; CEO</x:t>
        </x:is>
      </x:c>
      <x:c r="D62" s="14" t="n">
        <x:v>2022</x:v>
      </x:c>
      <x:c r="E62" s="12" t="inlineStr">
        <x:is>
          <x:t xml:space="preserve">2023-07-17</x:t>
        </x:is>
      </x:c>
      <x:c r="F62" s="12" t="n">
        <x:v>371060</x:v>
      </x:c>
      <x:c r="G62" s="12" t="n">
        <x:v>0</x:v>
      </x:c>
      <x:c r="H62" s="12" t="n">
        <x:v>48391</x:v>
      </x:c>
      <x:c r="I62" s="14" t="n">
        <x:v>423377.7419828809</x:v>
      </x:c>
      <x:c r="J62" s="14" t="n">
        <x:v>478591.6489313356</x:v>
      </x:c>
      <x:c r="K62" s="14" t="n">
        <x:v>32979466</x:v>
      </x:c>
      <x:c r="L62" s="14" t="n">
        <x:v>27769947</x:v>
      </x:c>
      <x:c r="M62" s="12" t="n">
        <x:v>145</x:v>
      </x:c>
      <x:c r="N62" s="12" t="inlineStr">
        <x:is>
          <x:t xml:space="preserve">primary_older_clean</x:t>
        </x:is>
      </x:c>
      <x:c r="O62" s="12" t="n"/>
      <x:c r="P62" s="12" t="inlineStr">
        <x:is>
          <x:t xml:space="preserve">older_clean_due_transition</x:t>
        </x:is>
      </x:c>
      <x:c r="Q62" s="12" t="inlineStr">
        <x:is>
          <x:t xml:space="preserve">13-2890727</x:t>
        </x:is>
      </x:c>
      <x:c r="R62" s="12" t="n">
        <x:v>2.023419893493015e+17</x:v>
      </x:c>
      <x:c r="S62" s="16" t="inlineStr">
        <x:is>
          <x:t xml:space="preserve">https://apps.irs.gov/pub/epostcard/990/xml/2023/202341989349301459_public.xml</x:t>
        </x:is>
      </x:c>
      <x:c r="T62" s="16" t="inlineStr">
        <x:is>
          <x:t xml:space="preserve">https://projects.propublica.org/nonprofits/organizations/132890727</x:t>
        </x:is>
      </x:c>
      <x:c r="U62" s="17" t="inlineStr">
        <x:is>
          <x:t xml:space="preserve">SRC-990-EXT-GUTTMACHER-INSTITUTE</x:t>
        </x:is>
      </x:c>
    </x:row>
    <x:row r="63">
      <x:c r="A63" s="12" t="inlineStr">
        <x:is>
          <x:t xml:space="preserve">Economic Policy Institute</x:t>
        </x:is>
      </x:c>
      <x:c r="B63" s="12" t="inlineStr">
        <x:is>
          <x:t xml:space="preserve">Heidi Shierholz</x:t>
        </x:is>
      </x:c>
      <x:c r="C63" s="12" t="inlineStr">
        <x:is>
          <x:t xml:space="preserve">President</x:t>
        </x:is>
      </x:c>
      <x:c r="D63" s="14" t="n">
        <x:v>2024</x:v>
      </x:c>
      <x:c r="E63" s="12" t="inlineStr">
        <x:is>
          <x:t xml:space="preserve">2025-09-03</x:t>
        </x:is>
      </x:c>
      <x:c r="F63" s="12" t="n">
        <x:v>239242</x:v>
      </x:c>
      <x:c r="G63" s="12" t="n">
        <x:v>0</x:v>
      </x:c>
      <x:c r="H63" s="12" t="n">
        <x:v>36671</x:v>
      </x:c>
      <x:c r="I63" s="14" t="n">
        <x:v>254670.238997988</x:v>
      </x:c>
      <x:c r="J63" s="14" t="n">
        <x:v>293706.0785842446</x:v>
      </x:c>
      <x:c r="K63" s="14" t="n">
        <x:v>11927401</x:v>
      </x:c>
      <x:c r="L63" s="14" t="n">
        <x:v>13581055</x:v>
      </x:c>
      <x:c r="M63" s="12" t="n"/>
      <x:c r="N63" s="12" t="inlineStr">
        <x:is>
          <x:t xml:space="preserve">primary</x:t>
        </x:is>
      </x:c>
      <x:c r="O63" s="12" t="n"/>
      <x:c r="P63" s="12" t="inlineStr">
        <x:is>
          <x:t xml:space="preserve">none</x:t>
        </x:is>
      </x:c>
      <x:c r="Q63" s="12" t="inlineStr">
        <x:is>
          <x:t xml:space="preserve">52-1368964</x:t>
        </x:is>
      </x:c>
      <x:c r="R63" s="12" t="n">
        <x:v>2.025424693493016e+17</x:v>
      </x:c>
      <x:c r="S63" s="16" t="inlineStr">
        <x:is>
          <x:t xml:space="preserve">https://apps.irs.gov/pub/epostcard/990/xml/2025/202542469349301614_public.xml</x:t>
        </x:is>
      </x:c>
      <x:c r="T63" s="16" t="inlineStr">
        <x:is>
          <x:t xml:space="preserve">https://projects.propublica.org/nonprofits/organizations/521368964</x:t>
        </x:is>
      </x:c>
      <x:c r="U63" s="17" t="inlineStr">
        <x:is>
          <x:t xml:space="preserve">SRC-990-EXT-ECONOMIC-POLICY-INSTITUTE</x:t>
        </x:is>
      </x:c>
    </x:row>
    <x:row r="64">
      <x:c r="A64" s="12" t="inlineStr">
        <x:is>
          <x:t xml:space="preserve">Tax Foundation</x:t>
        </x:is>
      </x:c>
      <x:c r="B64" s="12" t="inlineStr">
        <x:is>
          <x:t xml:space="preserve">Daniel Bunn</x:t>
        </x:is>
      </x:c>
      <x:c r="C64" s="12" t="inlineStr">
        <x:is>
          <x:t xml:space="preserve">President &amp; CEO and Board Secretary</x:t>
        </x:is>
      </x:c>
      <x:c r="D64" s="14" t="n">
        <x:v>2025</x:v>
      </x:c>
      <x:c r="E64" s="12" t="inlineStr">
        <x:is>
          <x:t xml:space="preserve">2026-07-14</x:t>
        </x:is>
      </x:c>
      <x:c r="F64" s="12" t="n">
        <x:v>362681</x:v>
      </x:c>
      <x:c r="G64" s="12" t="n">
        <x:v>0</x:v>
      </x:c>
      <x:c r="H64" s="12" t="n">
        <x:v>45865</x:v>
      </x:c>
      <x:c r="I64" s="14" t="n">
        <x:v>376171.291682068</x:v>
      </x:c>
      <x:c r="J64" s="14" t="n">
        <x:v>423742.2873862765</x:v>
      </x:c>
      <x:c r="K64" s="14" t="n">
        <x:v>7746689</x:v>
      </x:c>
      <x:c r="L64" s="14" t="n">
        <x:v>9094340</x:v>
      </x:c>
      <x:c r="M64" s="12" t="n"/>
      <x:c r="N64" s="12" t="inlineStr">
        <x:is>
          <x:t xml:space="preserve">primary</x:t>
        </x:is>
      </x:c>
      <x:c r="O64" s="12" t="n"/>
      <x:c r="P64" s="12" t="inlineStr">
        <x:is>
          <x:t xml:space="preserve">none</x:t>
        </x:is>
      </x:c>
      <x:c r="Q64" s="12" t="inlineStr">
        <x:is>
          <x:t xml:space="preserve">52-1703065</x:t>
        </x:is>
      </x:c>
      <x:c r="R64" s="12" t="n">
        <x:v>2.026319593493018e+17</x:v>
      </x:c>
      <x:c r="S64" s="16" t="inlineStr">
        <x:is>
          <x:t xml:space="preserve">https://apps.irs.gov/pub/epostcard/990/xml/2026/202631959349301758_public.xml</x:t>
        </x:is>
      </x:c>
      <x:c r="T64" s="16" t="inlineStr">
        <x:is>
          <x:t xml:space="preserve">https://projects.propublica.org/nonprofits/organizations/521703065</x:t>
        </x:is>
      </x:c>
      <x:c r="U64" s="17" t="inlineStr">
        <x:is>
          <x:t xml:space="preserve">SRC-990-EXT-TAX-FOUNDATION</x:t>
        </x:is>
      </x:c>
    </x:row>
    <x:row r="65">
      <x:c r="A65" s="12" t="inlineStr">
        <x:is>
          <x:t xml:space="preserve">Institute on Taxation and Economic Policy</x:t>
        </x:is>
      </x:c>
      <x:c r="B65" s="12" t="inlineStr">
        <x:is>
          <x:t xml:space="preserve">Amy Hanauer</x:t>
        </x:is>
      </x:c>
      <x:c r="C65" s="12" t="inlineStr">
        <x:is>
          <x:t xml:space="preserve">Executive Director</x:t>
        </x:is>
      </x:c>
      <x:c r="D65" s="14" t="n">
        <x:v>2025</x:v>
      </x:c>
      <x:c r="E65" s="12" t="inlineStr">
        <x:is>
          <x:t xml:space="preserve">2026-06-04</x:t>
        </x:is>
      </x:c>
      <x:c r="F65" s="12" t="n">
        <x:v>219286</x:v>
      </x:c>
      <x:c r="G65" s="12" t="n">
        <x:v>0</x:v>
      </x:c>
      <x:c r="H65" s="12" t="n">
        <x:v>87929</x:v>
      </x:c>
      <x:c r="I65" s="14" t="n">
        <x:v>227442.5676222189</x:v>
      </x:c>
      <x:c r="J65" s="14" t="n">
        <x:v>318642.1769381537</x:v>
      </x:c>
      <x:c r="K65" s="14" t="n">
        <x:v>8490036</x:v>
      </x:c>
      <x:c r="L65" s="14" t="n">
        <x:v>4822380</x:v>
      </x:c>
      <x:c r="M65" s="12" t="n"/>
      <x:c r="N65" s="12" t="inlineStr">
        <x:is>
          <x:t xml:space="preserve">primary</x:t>
        </x:is>
      </x:c>
      <x:c r="O65" s="12" t="n"/>
      <x:c r="P65" s="12" t="inlineStr">
        <x:is>
          <x:t xml:space="preserve">lower_edge_expense</x:t>
        </x:is>
      </x:c>
      <x:c r="Q65" s="12" t="inlineStr">
        <x:is>
          <x:t xml:space="preserve">04-2688165</x:t>
        </x:is>
      </x:c>
      <x:c r="R65" s="12" t="n">
        <x:v>2.026115593493005e+17</x:v>
      </x:c>
      <x:c r="S65" s="16" t="inlineStr">
        <x:is>
          <x:t xml:space="preserve">https://apps.irs.gov/pub/epostcard/990/xml/2026/202611559349300546_public.xml</x:t>
        </x:is>
      </x:c>
      <x:c r="T65" s="16" t="inlineStr">
        <x:is>
          <x:t xml:space="preserve">https://projects.propublica.org/nonprofits/organizations/042688165</x:t>
        </x:is>
      </x:c>
      <x:c r="U65" s="16" t="inlineStr">
        <x:is>
          <x:t xml:space="preserve">SRC-990-EXT-INSTITUTE-ON-TAXATION-AND-ECONOMIC-POLICY</x:t>
        </x:is>
      </x:c>
    </x:row>
    <x:row r="66">
      <x:c r="A66" s="12" t="inlineStr">
        <x:is>
          <x:t xml:space="preserve">Center for Economic and Policy Research</x:t>
        </x:is>
      </x:c>
      <x:c r="B66" s="12" t="inlineStr">
        <x:is>
          <x:t xml:space="preserve">Mark Weisbrot / Eileen Appelbaum</x:t>
        </x:is>
      </x:c>
      <x:c r="C66" s="12" t="inlineStr">
        <x:is>
          <x:t xml:space="preserve">Co-Directors</x:t>
        </x:is>
      </x:c>
      <x:c r="D66" s="14" t="n">
        <x:v>2024</x:v>
      </x:c>
      <x:c r="E66" s="12" t="inlineStr">
        <x:is>
          <x:t xml:space="preserve">2025-11-12</x:t>
        </x:is>
      </x:c>
      <x:c r="F66" s="12" t="n">
        <x:v>143856</x:v>
      </x:c>
      <x:c r="G66" s="12" t="n">
        <x:v>0</x:v>
      </x:c>
      <x:c r="H66" s="12" t="n">
        <x:v>27047</x:v>
      </x:c>
      <x:c r="I66" s="14" t="n">
        <x:v>153132.9862703645</x:v>
      </x:c>
      <x:c r="J66" s="14" t="n">
        <x:v>181924.1933083369</x:v>
      </x:c>
      <x:c r="K66" s="14" t="n">
        <x:v>3264794</x:v>
      </x:c>
      <x:c r="L66" s="14" t="n">
        <x:v>6134388</x:v>
      </x:c>
      <x:c r="M66" s="12" t="n"/>
      <x:c r="N66" s="12" t="inlineStr">
        <x:is>
          <x:t xml:space="preserve">structural_sensitivity</x:t>
        </x:is>
      </x:c>
      <x:c r="O66" s="13" t="inlineStr">
        <x:is>
          <x:t xml:space="preserve">Co-director observation excluded from primary solo-CEO summaries.</x:t>
        </x:is>
      </x:c>
      <x:c r="P66" s="12" t="inlineStr">
        <x:is>
          <x:t xml:space="preserve">co_directors</x:t>
        </x:is>
      </x:c>
      <x:c r="Q66" s="12" t="inlineStr">
        <x:is>
          <x:t xml:space="preserve">52-2204029</x:t>
        </x:is>
      </x:c>
      <x:c r="R66" s="12" t="n">
        <x:v>2.02543169349305e+17</x:v>
      </x:c>
      <x:c r="S66" s="16" t="inlineStr">
        <x:is>
          <x:t xml:space="preserve">https://apps.irs.gov/pub/epostcard/990/xml/2025/202543169349304999_public.xml</x:t>
        </x:is>
      </x:c>
      <x:c r="T66" s="16" t="inlineStr">
        <x:is>
          <x:t xml:space="preserve">https://projects.propublica.org/nonprofits/organizations/522204029</x:t>
        </x:is>
      </x:c>
      <x:c r="U66" s="16" t="inlineStr">
        <x:is>
          <x:t xml:space="preserve">SRC-990-EXT-CENTER-FOR-ECONOMIC-AND-POLICY-RESEARCH</x:t>
        </x:is>
      </x:c>
    </x:row>
    <x:row r="67">
      <x:c r="A67" s="12" t="inlineStr">
        <x:is>
          <x:t xml:space="preserve">Roosevelt Institute</x:t>
        </x:is>
      </x:c>
      <x:c r="B67" s="12" t="inlineStr">
        <x:is>
          <x:t xml:space="preserve">Felicia Wong</x:t>
        </x:is>
      </x:c>
      <x:c r="C67" s="12" t="inlineStr">
        <x:is>
          <x:t xml:space="preserve">President &amp; CEO</x:t>
        </x:is>
      </x:c>
      <x:c r="D67" s="14" t="n">
        <x:v>2024</x:v>
      </x:c>
      <x:c r="E67" s="12" t="inlineStr">
        <x:is>
          <x:t xml:space="preserve">2025-09-30</x:t>
        </x:is>
      </x:c>
      <x:c r="F67" s="12" t="n">
        <x:v>515721</x:v>
      </x:c>
      <x:c r="G67" s="12" t="n">
        <x:v>0</x:v>
      </x:c>
      <x:c r="H67" s="12" t="n">
        <x:v>51141</x:v>
      </x:c>
      <x:c r="I67" s="14" t="n">
        <x:v>548978.8177923664</x:v>
      </x:c>
      <x:c r="J67" s="14" t="n">
        <x:v>603417.7987931778</x:v>
      </x:c>
      <x:c r="K67" s="14" t="n">
        <x:v>22836897</x:v>
      </x:c>
      <x:c r="L67" s="14" t="n">
        <x:v>14132654</x:v>
      </x:c>
      <x:c r="M67" s="12" t="n"/>
      <x:c r="N67" s="12" t="inlineStr">
        <x:is>
          <x:t xml:space="preserve">primary</x:t>
        </x:is>
      </x:c>
      <x:c r="O67" s="12" t="n"/>
      <x:c r="P67" s="12" t="inlineStr">
        <x:is>
          <x:t xml:space="preserve">none</x:t>
        </x:is>
      </x:c>
      <x:c r="Q67" s="12" t="inlineStr">
        <x:is>
          <x:t xml:space="preserve">23-7213592</x:t>
        </x:is>
      </x:c>
      <x:c r="R67" s="12" t="n">
        <x:v>2.02532729349302e+17</x:v>
      </x:c>
      <x:c r="S67" s="16" t="inlineStr">
        <x:is>
          <x:t xml:space="preserve">https://apps.irs.gov/pub/epostcard/990/xml/2025/202532729349301978_public.xml</x:t>
        </x:is>
      </x:c>
      <x:c r="T67" s="16" t="inlineStr">
        <x:is>
          <x:t xml:space="preserve">https://projects.propublica.org/nonprofits/organizations/237213592</x:t>
        </x:is>
      </x:c>
      <x:c r="U67" s="17" t="inlineStr">
        <x:is>
          <x:t xml:space="preserve">SRC-990-EXT-ROOSEVELT-INSTITUTE</x:t>
        </x:is>
      </x:c>
    </x:row>
    <x:row r="68">
      <x:c r="A68" s="12" t="inlineStr">
        <x:is>
          <x:t xml:space="preserve">Bipartisan Policy Center</x:t>
        </x:is>
      </x:c>
      <x:c r="B68" s="12" t="inlineStr">
        <x:is>
          <x:t xml:space="preserve">Margaret Spellings</x:t>
        </x:is>
      </x:c>
      <x:c r="C68" s="12" t="inlineStr">
        <x:is>
          <x:t xml:space="preserve">President &amp; CEO</x:t>
        </x:is>
      </x:c>
      <x:c r="D68" s="14" t="n">
        <x:v>2024</x:v>
      </x:c>
      <x:c r="E68" s="12" t="inlineStr">
        <x:is>
          <x:t xml:space="preserve">2025-11-06</x:t>
        </x:is>
      </x:c>
      <x:c r="F68" s="12" t="n">
        <x:v>781500</x:v>
      </x:c>
      <x:c r="G68" s="12" t="n">
        <x:v>195375</x:v>
      </x:c>
      <x:c r="H68" s="12" t="n">
        <x:v>46194</x:v>
      </x:c>
      <x:c r="I68" s="14" t="n">
        <x:v>1039871.718683005</x:v>
      </x:c>
      <x:c r="J68" s="14" t="n">
        <x:v>1089044.677529165</x:v>
      </x:c>
      <x:c r="K68" s="14" t="n">
        <x:v>37835818</x:v>
      </x:c>
      <x:c r="L68" s="14" t="n">
        <x:v>35378989</x:v>
      </x:c>
      <x:c r="M68" s="12" t="n"/>
      <x:c r="N68" s="12" t="inlineStr">
        <x:is>
          <x:t xml:space="preserve">primary_with_structure_flag</x:t>
        </x:is>
      </x:c>
      <x:c r="O68" s="12" t="n"/>
      <x:c r="P68" s="12" t="inlineStr">
        <x:is>
          <x:t xml:space="preserve">above_scale_related_org_pay</x:t>
        </x:is>
      </x:c>
      <x:c r="Q68" s="12" t="inlineStr">
        <x:is>
          <x:t xml:space="preserve">73-1628382</x:t>
        </x:is>
      </x:c>
      <x:c r="R68" s="12" t="n">
        <x:v>2.025131093493026e+17</x:v>
      </x:c>
      <x:c r="S68" s="16" t="inlineStr">
        <x:is>
          <x:t xml:space="preserve">https://apps.irs.gov/pub/epostcard/990/xml/2025/202513109349302561_public.xml</x:t>
        </x:is>
      </x:c>
      <x:c r="T68" s="16" t="inlineStr">
        <x:is>
          <x:t xml:space="preserve">https://projects.propublica.org/nonprofits/organizations/731628382</x:t>
        </x:is>
      </x:c>
      <x:c r="U68" s="17" t="inlineStr">
        <x:is>
          <x:t xml:space="preserve">SRC-990-EXT-BIPARTISAN-POLICY-CENTER</x:t>
        </x:is>
      </x:c>
    </x:row>
    <x:row r="69">
      <x:c r="A69" s="12" t="inlineStr">
        <x:is>
          <x:t xml:space="preserve">Third Way Institute</x:t>
        </x:is>
      </x:c>
      <x:c r="B69" s="12" t="inlineStr">
        <x:is>
          <x:t xml:space="preserve">Jonathan Cowan</x:t>
        </x:is>
      </x:c>
      <x:c r="C69" s="12" t="inlineStr">
        <x:is>
          <x:t xml:space="preserve">President</x:t>
        </x:is>
      </x:c>
      <x:c r="D69" s="14" t="n">
        <x:v>2024</x:v>
      </x:c>
      <x:c r="E69" s="12" t="inlineStr">
        <x:is>
          <x:t xml:space="preserve">2025-11-11</x:t>
        </x:is>
      </x:c>
      <x:c r="F69" s="12" t="n">
        <x:v>0</x:v>
      </x:c>
      <x:c r="G69" s="12" t="n">
        <x:v>413118</x:v>
      </x:c>
      <x:c r="H69" s="12" t="n">
        <x:v>41470</x:v>
      </x:c>
      <x:c r="I69" s="14" t="n">
        <x:v>439759.1551415336</x:v>
      </x:c>
      <x:c r="J69" s="14" t="n">
        <x:v>483903.4726578834</x:v>
      </x:c>
      <x:c r="K69" s="14" t="n">
        <x:v>19278889</x:v>
      </x:c>
      <x:c r="L69" s="14" t="n">
        <x:v>22331511</x:v>
      </x:c>
      <x:c r="M69" s="12" t="n"/>
      <x:c r="N69" s="12" t="inlineStr">
        <x:is>
          <x:t xml:space="preserve">primary_with_structure_flag</x:t>
        </x:is>
      </x:c>
      <x:c r="O69" s="12" t="n"/>
      <x:c r="P69" s="12" t="inlineStr">
        <x:is>
          <x:t xml:space="preserve">all_cash_from_related_org</x:t>
        </x:is>
      </x:c>
      <x:c r="Q69" s="12" t="inlineStr">
        <x:is>
          <x:t xml:space="preserve">26-0535276</x:t>
        </x:is>
      </x:c>
      <x:c r="R69" s="12" t="n">
        <x:v>2.025431593493017e+17</x:v>
      </x:c>
      <x:c r="S69" s="16" t="inlineStr">
        <x:is>
          <x:t xml:space="preserve">https://apps.irs.gov/pub/epostcard/990/xml/2025/202543159349301669_public.xml</x:t>
        </x:is>
      </x:c>
      <x:c r="T69" s="16" t="inlineStr">
        <x:is>
          <x:t xml:space="preserve">https://projects.propublica.org/nonprofits/organizations/260535276</x:t>
        </x:is>
      </x:c>
      <x:c r="U69" s="17" t="inlineStr">
        <x:is>
          <x:t xml:space="preserve">SRC-990-EXT-THIRD-WAY-INSTITUTE</x:t>
        </x:is>
      </x:c>
    </x:row>
    <x:row r="70">
      <x:c r="A70" s="12" t="inlineStr">
        <x:is>
          <x:t xml:space="preserve">New America</x:t>
        </x:is>
      </x:c>
      <x:c r="B70" s="12" t="inlineStr">
        <x:is>
          <x:t xml:space="preserve">Anne-Marie Slaughter</x:t>
        </x:is>
      </x:c>
      <x:c r="C70" s="12" t="inlineStr">
        <x:is>
          <x:t xml:space="preserve">CEO</x:t>
        </x:is>
      </x:c>
      <x:c r="D70" s="14" t="n">
        <x:v>2024</x:v>
      </x:c>
      <x:c r="E70" s="12" t="inlineStr">
        <x:is>
          <x:t xml:space="preserve">2025-11-06</x:t>
        </x:is>
      </x:c>
      <x:c r="F70" s="12" t="n">
        <x:v>570709</x:v>
      </x:c>
      <x:c r="G70" s="12" t="n">
        <x:v>0</x:v>
      </x:c>
      <x:c r="H70" s="12" t="n">
        <x:v>39151</x:v>
      </x:c>
      <x:c r="I70" s="14" t="n">
        <x:v>607512.8841436817</x:v>
      </x:c>
      <x:c r="J70" s="14" t="n">
        <x:v>649188.6539792884</x:v>
      </x:c>
      <x:c r="K70" s="14" t="n">
        <x:v>37233867</x:v>
      </x:c>
      <x:c r="L70" s="14" t="n">
        <x:v>41339553</x:v>
      </x:c>
      <x:c r="M70" s="12" t="n"/>
      <x:c r="N70" s="12" t="inlineStr">
        <x:is>
          <x:t xml:space="preserve">primary_with_structure_flag</x:t>
        </x:is>
      </x:c>
      <x:c r="O70" s="12" t="n"/>
      <x:c r="P70" s="12" t="inlineStr">
        <x:is>
          <x:t xml:space="preserve">above_primary_scale</x:t>
        </x:is>
      </x:c>
      <x:c r="Q70" s="12" t="inlineStr">
        <x:is>
          <x:t xml:space="preserve">52-2096845</x:t>
        </x:is>
      </x:c>
      <x:c r="R70" s="12" t="n">
        <x:v>2.025131093493041e+17</x:v>
      </x:c>
      <x:c r="S70" s="16" t="inlineStr">
        <x:is>
          <x:t xml:space="preserve">https://apps.irs.gov/pub/epostcard/990/xml/2025/202513109349304131_public.xml</x:t>
        </x:is>
      </x:c>
      <x:c r="T70" s="16" t="inlineStr">
        <x:is>
          <x:t xml:space="preserve">https://projects.propublica.org/nonprofits/organizations/522096845</x:t>
        </x:is>
      </x:c>
      <x:c r="U70" s="17" t="inlineStr">
        <x:is>
          <x:t xml:space="preserve">SRC-990-EXT-NEW-AMERICA</x:t>
        </x:is>
      </x:c>
    </x:row>
    <x:row r="71">
      <x:c r="A71" s="12" t="inlineStr">
        <x:is>
          <x:t xml:space="preserve">Public Religion Research Institute</x:t>
        </x:is>
      </x:c>
      <x:c r="B71" s="12" t="inlineStr">
        <x:is>
          <x:t xml:space="preserve">Melissa Deckman</x:t>
        </x:is>
      </x:c>
      <x:c r="C71" s="12" t="inlineStr">
        <x:is>
          <x:t xml:space="preserve">CEO</x:t>
        </x:is>
      </x:c>
      <x:c r="D71" s="14" t="n">
        <x:v>2024</x:v>
      </x:c>
      <x:c r="E71" s="12" t="inlineStr">
        <x:is>
          <x:t xml:space="preserve">2025-11-14</x:t>
        </x:is>
      </x:c>
      <x:c r="F71" s="12" t="n">
        <x:v>224687</x:v>
      </x:c>
      <x:c r="G71" s="12" t="n">
        <x:v>0</x:v>
      </x:c>
      <x:c r="H71" s="12" t="n">
        <x:v>6800</x:v>
      </x:c>
      <x:c r="I71" s="14" t="n">
        <x:v>239176.6161031128</x:v>
      </x:c>
      <x:c r="J71" s="14" t="n">
        <x:v>246415.1345287501</x:v>
      </x:c>
      <x:c r="K71" s="14" t="n">
        <x:v>3923505</x:v>
      </x:c>
      <x:c r="L71" s="14" t="n">
        <x:v>3488154</x:v>
      </x:c>
      <x:c r="M71" s="12" t="n"/>
      <x:c r="N71" s="12" t="inlineStr">
        <x:is>
          <x:t xml:space="preserve">structural_sensitivity</x:t>
        </x:is>
      </x:c>
      <x:c r="O71" s="13" t="inlineStr">
        <x:is>
          <x:t xml:space="preserve">Separate paid President and CEO complicate identification of one solo organization-wide chief executive.</x:t>
        </x:is>
      </x:c>
      <x:c r="P71" s="12" t="inlineStr">
        <x:is>
          <x:t xml:space="preserve">paid_president_and_ceo</x:t>
        </x:is>
      </x:c>
      <x:c r="Q71" s="12" t="inlineStr">
        <x:is>
          <x:t xml:space="preserve">27-0586980</x:t>
        </x:is>
      </x:c>
      <x:c r="R71" s="12" t="n">
        <x:v>2.025331893493098e+17</x:v>
      </x:c>
      <x:c r="S71" s="16" t="inlineStr">
        <x:is>
          <x:t xml:space="preserve">https://apps.irs.gov/pub/epostcard/990/xml/2025/202533189349309763_public.xml</x:t>
        </x:is>
      </x:c>
      <x:c r="T71" s="16" t="inlineStr">
        <x:is>
          <x:t xml:space="preserve">https://projects.propublica.org/nonprofits/organizations/270586980</x:t>
        </x:is>
      </x:c>
      <x:c r="U71" s="16" t="inlineStr">
        <x:is>
          <x:t xml:space="preserve">SRC-990-EXT-PUBLIC-RELIGION-RESEARCH-INSTITUTE</x:t>
        </x:is>
      </x:c>
    </x:row>
    <x:row r="72">
      <x:c r="A72" s="12" t="inlineStr">
        <x:is>
          <x:t xml:space="preserve">FrameWorks Institute</x:t>
        </x:is>
      </x:c>
      <x:c r="B72" s="12" t="inlineStr">
        <x:is>
          <x:t xml:space="preserve">Nathaniel Kendall-Taylor</x:t>
        </x:is>
      </x:c>
      <x:c r="C72" s="12" t="inlineStr">
        <x:is>
          <x:t xml:space="preserve">Chief Executive Officer</x:t>
        </x:is>
      </x:c>
      <x:c r="D72" s="14" t="n">
        <x:v>2024</x:v>
      </x:c>
      <x:c r="E72" s="12" t="inlineStr">
        <x:is>
          <x:t xml:space="preserve">2026-05-18</x:t>
        </x:is>
      </x:c>
      <x:c r="F72" s="12" t="n">
        <x:v>426832</x:v>
      </x:c>
      <x:c r="G72" s="12" t="n">
        <x:v>0</x:v>
      </x:c>
      <x:c r="H72" s="12" t="n">
        <x:v>61329</x:v>
      </x:c>
      <x:c r="I72" s="14" t="n">
        <x:v>454357.5436252379</x:v>
      </x:c>
      <x:c r="J72" s="14" t="n">
        <x:v>519641.52840846</x:v>
      </x:c>
      <x:c r="K72" s="14" t="n">
        <x:v>5952829</x:v>
      </x:c>
      <x:c r="L72" s="14" t="n">
        <x:v>10039139</x:v>
      </x:c>
      <x:c r="M72" s="12" t="n"/>
      <x:c r="N72" s="12" t="inlineStr">
        <x:is>
          <x:t xml:space="preserve">primary</x:t>
        </x:is>
      </x:c>
      <x:c r="O72" s="12" t="n"/>
      <x:c r="P72" s="12" t="inlineStr">
        <x:is>
          <x:t xml:space="preserve">none</x:t>
        </x:is>
      </x:c>
      <x:c r="Q72" s="12" t="inlineStr">
        <x:is>
          <x:t xml:space="preserve">71-0891642</x:t>
        </x:is>
      </x:c>
      <x:c r="R72" s="12" t="n">
        <x:v>2.026413893493004e+17</x:v>
      </x:c>
      <x:c r="S72" s="16" t="inlineStr">
        <x:is>
          <x:t xml:space="preserve">https://apps.irs.gov/pub/epostcard/990/xml/2026/202641389349300439_public.xml</x:t>
        </x:is>
      </x:c>
      <x:c r="T72" s="16" t="inlineStr">
        <x:is>
          <x:t xml:space="preserve">https://projects.propublica.org/nonprofits/organizations/710891642</x:t>
        </x:is>
      </x:c>
      <x:c r="U72" s="17" t="inlineStr">
        <x:is>
          <x:t xml:space="preserve">SRC-990-EXT-FRAMEWORKS-INSTITUTE</x:t>
        </x:is>
      </x:c>
    </x:row>
    <x:row r="73">
      <x:c r="A73" s="12" t="inlineStr">
        <x:is>
          <x:t xml:space="preserve">Data Quality Campaign</x:t>
        </x:is>
      </x:c>
      <x:c r="B73" s="12" t="inlineStr">
        <x:is>
          <x:t xml:space="preserve">Jennifer Bell-Ellwanger</x:t>
        </x:is>
      </x:c>
      <x:c r="C73" s="12" t="inlineStr">
        <x:is>
          <x:t xml:space="preserve">CEO/President</x:t>
        </x:is>
      </x:c>
      <x:c r="D73" s="14" t="n">
        <x:v>2024</x:v>
      </x:c>
      <x:c r="E73" s="12" t="inlineStr">
        <x:is>
          <x:t xml:space="preserve">2026-05-13</x:t>
        </x:is>
      </x:c>
      <x:c r="F73" s="12" t="n">
        <x:v>411509</x:v>
      </x:c>
      <x:c r="G73" s="12" t="n">
        <x:v>0</x:v>
      </x:c>
      <x:c r="H73" s="12" t="n">
        <x:v>46847</x:v>
      </x:c>
      <x:c r="I73" s="14" t="n">
        <x:v>438046.3939434674</x:v>
      </x:c>
      <x:c r="J73" s="14" t="n">
        <x:v>487914.4634560894</x:v>
      </x:c>
      <x:c r="K73" s="14" t="n">
        <x:v>3867847</x:v>
      </x:c>
      <x:c r="L73" s="14" t="n">
        <x:v>6466981</x:v>
      </x:c>
      <x:c r="M73" s="12" t="n"/>
      <x:c r="N73" s="12" t="inlineStr">
        <x:is>
          <x:t xml:space="preserve">primary</x:t>
        </x:is>
      </x:c>
      <x:c r="O73" s="12" t="n"/>
      <x:c r="P73" s="12" t="inlineStr">
        <x:is>
          <x:t xml:space="preserve">none</x:t>
        </x:is>
      </x:c>
      <x:c r="Q73" s="12" t="inlineStr">
        <x:is>
          <x:t xml:space="preserve">27-4566795</x:t>
        </x:is>
      </x:c>
      <x:c r="R73" s="12" t="n">
        <x:v>2.026213393493047e+17</x:v>
      </x:c>
      <x:c r="S73" s="16" t="inlineStr">
        <x:is>
          <x:t xml:space="preserve">https://apps.irs.gov/pub/epostcard/990/xml/2026/202621339349304737_public.xml</x:t>
        </x:is>
      </x:c>
      <x:c r="T73" s="16" t="inlineStr">
        <x:is>
          <x:t xml:space="preserve">https://projects.propublica.org/nonprofits/organizations/274566795</x:t>
        </x:is>
      </x:c>
      <x:c r="U73" s="17" t="inlineStr">
        <x:is>
          <x:t xml:space="preserve">SRC-990-EXT-DATA-QUALITY-CAMPAIGN</x:t>
        </x:is>
      </x:c>
    </x:row>
    <x:row r="74">
      <x:c r="A74" s="12" t="inlineStr">
        <x:is>
          <x:t xml:space="preserve">Public Agenda</x:t>
        </x:is>
      </x:c>
      <x:c r="B74" s="12" t="inlineStr">
        <x:is>
          <x:t xml:space="preserve">Andrew Seligsohn</x:t>
        </x:is>
      </x:c>
      <x:c r="C74" s="12" t="inlineStr">
        <x:is>
          <x:t xml:space="preserve">President</x:t>
        </x:is>
      </x:c>
      <x:c r="D74" s="14" t="n">
        <x:v>2024</x:v>
      </x:c>
      <x:c r="E74" s="12" t="inlineStr">
        <x:is>
          <x:t xml:space="preserve">2026-04-12</x:t>
        </x:is>
      </x:c>
      <x:c r="F74" s="12" t="n">
        <x:v>255662</x:v>
      </x:c>
      <x:c r="G74" s="12" t="n">
        <x:v>0</x:v>
      </x:c>
      <x:c r="H74" s="12" t="n">
        <x:v>31061</x:v>
      </x:c>
      <x:c r="I74" s="14" t="n">
        <x:v>272149.1320198945</x:v>
      </x:c>
      <x:c r="J74" s="14" t="n">
        <x:v>305213.1939050003</x:v>
      </x:c>
      <x:c r="K74" s="14" t="n">
        <x:v>3699693</x:v>
      </x:c>
      <x:c r="L74" s="14" t="n">
        <x:v>3449526</x:v>
      </x:c>
      <x:c r="M74" s="12" t="n"/>
      <x:c r="N74" s="12" t="inlineStr">
        <x:is>
          <x:t xml:space="preserve">primary</x:t>
        </x:is>
      </x:c>
      <x:c r="O74" s="12" t="n"/>
      <x:c r="P74" s="12" t="inlineStr">
        <x:is>
          <x:t xml:space="preserve">lower_edge_expense</x:t>
        </x:is>
      </x:c>
      <x:c r="Q74" s="12" t="inlineStr">
        <x:is>
          <x:t xml:space="preserve">13-2847587</x:t>
        </x:is>
      </x:c>
      <x:c r="R74" s="12" t="n">
        <x:v>2.026310293493005e+17</x:v>
      </x:c>
      <x:c r="S74" s="16" t="inlineStr">
        <x:is>
          <x:t xml:space="preserve">https://apps.irs.gov/pub/epostcard/990/xml/2026/202631029349300503_public.xml</x:t>
        </x:is>
      </x:c>
      <x:c r="T74" s="16" t="inlineStr">
        <x:is>
          <x:t xml:space="preserve">https://projects.propublica.org/nonprofits/organizations/132847587</x:t>
        </x:is>
      </x:c>
      <x:c r="U74" s="17" t="inlineStr">
        <x:is>
          <x:t xml:space="preserve">SRC-990-EXT-PUBLIC-AGENDA</x:t>
        </x:is>
      </x:c>
    </x:row>
    <x:row r="75">
      <x:c r="A75" s="12" t="inlineStr">
        <x:is>
          <x:t xml:space="preserve">National Employment Law Project</x:t>
        </x:is>
      </x:c>
      <x:c r="B75" s="12" t="inlineStr">
        <x:is>
          <x:t xml:space="preserve">Rebecca Dixon</x:t>
        </x:is>
      </x:c>
      <x:c r="C75" s="12" t="inlineStr">
        <x:is>
          <x:t xml:space="preserve">President &amp; CEO</x:t>
        </x:is>
      </x:c>
      <x:c r="D75" s="14" t="n">
        <x:v>2024</x:v>
      </x:c>
      <x:c r="E75" s="12" t="inlineStr">
        <x:is>
          <x:t xml:space="preserve">2025-11-04</x:t>
        </x:is>
      </x:c>
      <x:c r="F75" s="12" t="n">
        <x:v>346615</x:v>
      </x:c>
      <x:c r="G75" s="12" t="n">
        <x:v>0</x:v>
      </x:c>
      <x:c r="H75" s="12" t="n">
        <x:v>79051</x:v>
      </x:c>
      <x:c r="I75" s="14" t="n">
        <x:v>368967.5094268046</x:v>
      </x:c>
      <x:c r="J75" s="14" t="n">
        <x:v>453116.350612842</x:v>
      </x:c>
      <x:c r="K75" s="14" t="n">
        <x:v>6874119</x:v>
      </x:c>
      <x:c r="L75" s="14" t="n">
        <x:v>13263163</x:v>
      </x:c>
      <x:c r="M75" s="12" t="n"/>
      <x:c r="N75" s="12" t="inlineStr">
        <x:is>
          <x:t xml:space="preserve">primary</x:t>
        </x:is>
      </x:c>
      <x:c r="O75" s="12" t="n"/>
      <x:c r="P75" s="12" t="inlineStr">
        <x:is>
          <x:t xml:space="preserve">policy_plus_advocacy</x:t>
        </x:is>
      </x:c>
      <x:c r="Q75" s="12" t="inlineStr">
        <x:is>
          <x:t xml:space="preserve">13-2758558</x:t>
        </x:is>
      </x:c>
      <x:c r="R75" s="12" t="n">
        <x:v>2.025230893493029e+17</x:v>
      </x:c>
      <x:c r="S75" s="16" t="inlineStr">
        <x:is>
          <x:t xml:space="preserve">https://apps.irs.gov/pub/epostcard/990/xml/2025/202523089349302957_public.xml</x:t>
        </x:is>
      </x:c>
      <x:c r="T75" s="16" t="inlineStr">
        <x:is>
          <x:t xml:space="preserve">https://projects.propublica.org/nonprofits/organizations/132758558</x:t>
        </x:is>
      </x:c>
      <x:c r="U75" s="17" t="inlineStr">
        <x:is>
          <x:t xml:space="preserve">SRC-990-EXT-NATIONAL-EMPLOYMENT-LAW-PROJECT</x:t>
        </x:is>
      </x:c>
    </x:row>
    <x:row r="76">
      <x:c r="A76" s="12" t="inlineStr">
        <x:is>
          <x:t xml:space="preserve">The Sentencing Project</x:t>
        </x:is>
      </x:c>
      <x:c r="B76" s="12" t="inlineStr">
        <x:is>
          <x:t xml:space="preserve">Kara Gotsch</x:t>
        </x:is>
      </x:c>
      <x:c r="C76" s="12" t="inlineStr">
        <x:is>
          <x:t xml:space="preserve">Executive Director</x:t>
        </x:is>
      </x:c>
      <x:c r="D76" s="14" t="n">
        <x:v>2024</x:v>
      </x:c>
      <x:c r="E76" s="12" t="inlineStr">
        <x:is>
          <x:t xml:space="preserve">2025-10-09</x:t>
        </x:is>
      </x:c>
      <x:c r="F76" s="12" t="n">
        <x:v>195000</x:v>
      </x:c>
      <x:c r="G76" s="12" t="n">
        <x:v>0</x:v>
      </x:c>
      <x:c r="H76" s="12" t="n">
        <x:v>26207</x:v>
      </x:c>
      <x:c r="I76" s="14" t="n">
        <x:v>207575.1607351871</x:v>
      </x:c>
      <x:c r="J76" s="14" t="n">
        <x:v>235472.1978499925</x:v>
      </x:c>
      <x:c r="K76" s="14" t="n">
        <x:v>8346667</x:v>
      </x:c>
      <x:c r="L76" s="14" t="n">
        <x:v>5599399</x:v>
      </x:c>
      <x:c r="M76" s="12" t="n"/>
      <x:c r="N76" s="12" t="inlineStr">
        <x:is>
          <x:t xml:space="preserve">primary</x:t>
        </x:is>
      </x:c>
      <x:c r="O76" s="12" t="n"/>
      <x:c r="P76" s="12" t="inlineStr">
        <x:is>
          <x:t xml:space="preserve">none</x:t>
        </x:is>
      </x:c>
      <x:c r="Q76" s="12" t="inlineStr">
        <x:is>
          <x:t xml:space="preserve">52-1472546</x:t>
        </x:is>
      </x:c>
      <x:c r="R76" s="12" t="n">
        <x:v>2.025228293493014e+17</x:v>
      </x:c>
      <x:c r="S76" s="16" t="inlineStr">
        <x:is>
          <x:t xml:space="preserve">https://apps.irs.gov/pub/epostcard/990/xml/2025/202522829349301367_public.xml</x:t>
        </x:is>
      </x:c>
      <x:c r="T76" s="16" t="inlineStr">
        <x:is>
          <x:t xml:space="preserve">https://projects.propublica.org/nonprofits/organizations/521472546</x:t>
        </x:is>
      </x:c>
      <x:c r="U76" s="17" t="inlineStr">
        <x:is>
          <x:t xml:space="preserve">SRC-990-EXT-THE-SENTENCING-PROJECT</x:t>
        </x:is>
      </x:c>
    </x:row>
    <x:row r="77">
      <x:c r="A77" s="12" t="inlineStr">
        <x:is>
          <x:t xml:space="preserve">Open Markets Institute</x:t>
        </x:is>
      </x:c>
      <x:c r="B77" s="12" t="inlineStr">
        <x:is>
          <x:t xml:space="preserve">Barry Lynn</x:t>
        </x:is>
      </x:c>
      <x:c r="C77" s="12" t="inlineStr">
        <x:is>
          <x:t xml:space="preserve">Executive Director</x:t>
        </x:is>
      </x:c>
      <x:c r="D77" s="14" t="n">
        <x:v>2024</x:v>
      </x:c>
      <x:c r="E77" s="12" t="inlineStr">
        <x:is>
          <x:t xml:space="preserve">2025-11-16</x:t>
        </x:is>
      </x:c>
      <x:c r="F77" s="12" t="n">
        <x:v>184842</x:v>
      </x:c>
      <x:c r="G77" s="12" t="n">
        <x:v>0</x:v>
      </x:c>
      <x:c r="H77" s="12" t="n">
        <x:v>34111</x:v>
      </x:c>
      <x:c r="I77" s="14" t="n">
        <x:v>196762.0915928896</x:v>
      </x:c>
      <x:c r="J77" s="14" t="n">
        <x:v>233072.8418894945</x:v>
      </x:c>
      <x:c r="K77" s="14" t="n">
        <x:v>2871589</x:v>
      </x:c>
      <x:c r="L77" s="14" t="n">
        <x:v>3918043</x:v>
      </x:c>
      <x:c r="M77" s="12" t="n"/>
      <x:c r="N77" s="12" t="inlineStr">
        <x:is>
          <x:t xml:space="preserve">primary</x:t>
        </x:is>
      </x:c>
      <x:c r="O77" s="12" t="n"/>
      <x:c r="P77" s="12" t="inlineStr">
        <x:is>
          <x:t xml:space="preserve">lower_edge_expense</x:t>
        </x:is>
      </x:c>
      <x:c r="Q77" s="12" t="inlineStr">
        <x:is>
          <x:t xml:space="preserve">82-2529375</x:t>
        </x:is>
      </x:c>
      <x:c r="R77" s="12" t="n">
        <x:v>2.025332093493005e+17</x:v>
      </x:c>
      <x:c r="S77" s="16" t="inlineStr">
        <x:is>
          <x:t xml:space="preserve">https://apps.irs.gov/pub/epostcard/990/xml/2025/202533209349300548_public.xml</x:t>
        </x:is>
      </x:c>
      <x:c r="T77" s="16" t="inlineStr">
        <x:is>
          <x:t xml:space="preserve">https://projects.propublica.org/nonprofits/organizations/822529375</x:t>
        </x:is>
      </x:c>
      <x:c r="U77" s="17" t="inlineStr">
        <x:is>
          <x:t xml:space="preserve">SRC-990-EXT-OPEN-MARKETS-INSTITUTE</x:t>
        </x:is>
      </x:c>
    </x:row>
    <x:row r="78">
      <x:c r="A78" s="12" t="inlineStr">
        <x:is>
          <x:t xml:space="preserve">Center for Responsible Lending</x:t>
        </x:is>
      </x:c>
      <x:c r="B78" s="12" t="n"/>
      <x:c r="C78" s="12" t="n"/>
      <x:c r="D78" s="14" t="n">
        <x:v>2024</x:v>
      </x:c>
      <x:c r="E78" s="12" t="inlineStr">
        <x:is>
          <x:t xml:space="preserve">2026-04-24</x:t>
        </x:is>
      </x:c>
      <x:c r="F78" s="12" t="n">
        <x:v>0</x:v>
      </x:c>
      <x:c r="G78" s="12" t="n">
        <x:v>0</x:v>
      </x:c>
      <x:c r="H78" s="12" t="n">
        <x:v>0</x:v>
      </x:c>
      <x:c r="I78" s="14" t="n">
        <x:v>0</x:v>
      </x:c>
      <x:c r="J78" s="14" t="n">
        <x:v>0</x:v>
      </x:c>
      <x:c r="K78" s="14" t="n">
        <x:v>9670335</x:v>
      </x:c>
      <x:c r="L78" s="14" t="n">
        <x:v>5870496</x:v>
      </x:c>
      <x:c r="M78" s="12" t="n"/>
      <x:c r="N78" s="12" t="inlineStr">
        <x:is>
          <x:t xml:space="preserve">excluded_measurement</x:t>
        </x:is>
      </x:c>
      <x:c r="O78" s="13" t="inlineStr">
        <x:is>
          <x:t xml:space="preserve">Latest filing does not provide a clean organization-wide CEO/President observation; prior President appears only in an earlier filing.</x:t>
        </x:is>
      </x:c>
      <x:c r="P78" s="12" t="inlineStr">
        <x:is>
          <x:t xml:space="preserve">related_parent_or_missing_top_exec</x:t>
        </x:is>
      </x:c>
      <x:c r="Q78" s="12" t="inlineStr">
        <x:is>
          <x:t xml:space="preserve">74-3043913</x:t>
        </x:is>
      </x:c>
      <x:c r="R78" s="12" t="n">
        <x:v>2.026211493493014e+17</x:v>
      </x:c>
      <x:c r="S78" s="16" t="inlineStr">
        <x:is>
          <x:t xml:space="preserve">https://apps.irs.gov/pub/epostcard/990/xml/2026/202621149349301437_public.xml</x:t>
        </x:is>
      </x:c>
      <x:c r="T78" s="16" t="inlineStr">
        <x:is>
          <x:t xml:space="preserve">https://projects.propublica.org/nonprofits/organizations/743043913</x:t>
        </x:is>
      </x:c>
      <x:c r="U78" s="17" t="inlineStr">
        <x:is>
          <x:t xml:space="preserve">SRC-990-EXT-CENTER-FOR-RESPONSIBLE-LENDING</x:t>
        </x:is>
      </x:c>
    </x:row>
    <x:row r="79">
      <x:c r="A79" s="12" t="inlineStr">
        <x:is>
          <x:t xml:space="preserve">Committee for a Responsible Federal Budget</x:t>
        </x:is>
      </x:c>
      <x:c r="B79" s="12" t="inlineStr">
        <x:is>
          <x:t xml:space="preserve">Maya MacGuineas</x:t>
        </x:is>
      </x:c>
      <x:c r="C79" s="12" t="inlineStr">
        <x:is>
          <x:t xml:space="preserve">President</x:t>
        </x:is>
      </x:c>
      <x:c r="D79" s="14" t="n">
        <x:v>2025</x:v>
      </x:c>
      <x:c r="E79" s="12" t="inlineStr">
        <x:is>
          <x:t xml:space="preserve">2026-07-13</x:t>
        </x:is>
      </x:c>
      <x:c r="F79" s="12" t="n">
        <x:v>612079</x:v>
      </x:c>
      <x:c r="G79" s="12" t="n">
        <x:v>0</x:v>
      </x:c>
      <x:c r="H79" s="12" t="n">
        <x:v>60152</x:v>
      </x:c>
      <x:c r="I79" s="14" t="n">
        <x:v>634845.9060206311</x:v>
      </x:c>
      <x:c r="J79" s="14" t="n">
        <x:v>697235.3213394918</x:v>
      </x:c>
      <x:c r="K79" s="14" t="n">
        <x:v>10368338</x:v>
      </x:c>
      <x:c r="L79" s="14" t="n">
        <x:v>6703049</x:v>
      </x:c>
      <x:c r="M79" s="12" t="n"/>
      <x:c r="N79" s="12" t="inlineStr">
        <x:is>
          <x:t xml:space="preserve">primary</x:t>
        </x:is>
      </x:c>
      <x:c r="O79" s="12" t="n"/>
      <x:c r="P79" s="12" t="inlineStr">
        <x:is>
          <x:t xml:space="preserve">none</x:t>
        </x:is>
      </x:c>
      <x:c r="Q79" s="12" t="inlineStr">
        <x:is>
          <x:t xml:space="preserve">52-1231278</x:t>
        </x:is>
      </x:c>
      <x:c r="R79" s="12" t="n">
        <x:v>2.026119493493017e+17</x:v>
      </x:c>
      <x:c r="S79" s="16" t="inlineStr">
        <x:is>
          <x:t xml:space="preserve">https://apps.irs.gov/pub/epostcard/990/xml/2026/202611949349301721_public.xml</x:t>
        </x:is>
      </x:c>
      <x:c r="T79" s="16" t="inlineStr">
        <x:is>
          <x:t xml:space="preserve">https://projects.propublica.org/nonprofits/organizations/521231278</x:t>
        </x:is>
      </x:c>
      <x:c r="U79" s="16" t="inlineStr">
        <x:is>
          <x:t xml:space="preserve">SRC-990-EXT-COMMITTEE-FOR-A-RESPONSIBLE-FEDERAL-BUDGET</x:t>
        </x:is>
      </x:c>
    </x:row>
    <x:row r="80">
      <x:c r="A80" s="12" t="inlineStr">
        <x:is>
          <x:t xml:space="preserve">Chicago Council on Global Affairs</x:t>
        </x:is>
      </x:c>
      <x:c r="B80" s="12" t="inlineStr">
        <x:is>
          <x:t xml:space="preserve">Ivo Daalder</x:t>
        </x:is>
      </x:c>
      <x:c r="C80" s="12" t="inlineStr">
        <x:is>
          <x:t xml:space="preserve">President</x:t>
        </x:is>
      </x:c>
      <x:c r="D80" s="14" t="n">
        <x:v>2024</x:v>
      </x:c>
      <x:c r="E80" s="12" t="inlineStr">
        <x:is>
          <x:t xml:space="preserve">2025-11-13</x:t>
        </x:is>
      </x:c>
      <x:c r="F80" s="12" t="n">
        <x:v>482447</x:v>
      </x:c>
      <x:c r="G80" s="12" t="n">
        <x:v>0</x:v>
      </x:c>
      <x:c r="H80" s="12" t="n">
        <x:v>32475</x:v>
      </x:c>
      <x:c r="I80" s="14" t="n">
        <x:v>513559.0439549172</x:v>
      </x:c>
      <x:c r="J80" s="14" t="n">
        <x:v>548128.291877354</x:v>
      </x:c>
      <x:c r="K80" s="14" t="n">
        <x:v>7715407</x:v>
      </x:c>
      <x:c r="L80" s="14" t="n">
        <x:v>11944089</x:v>
      </x:c>
      <x:c r="M80" s="12" t="n"/>
      <x:c r="N80" s="12" t="inlineStr">
        <x:is>
          <x:t xml:space="preserve">primary</x:t>
        </x:is>
      </x:c>
      <x:c r="O80" s="12" t="n"/>
      <x:c r="P80" s="12" t="inlineStr">
        <x:is>
          <x:t xml:space="preserve">membership_and_events_mix</x:t>
        </x:is>
      </x:c>
      <x:c r="Q80" s="12" t="inlineStr">
        <x:is>
          <x:t xml:space="preserve">36-2181969</x:t>
        </x:is>
      </x:c>
      <x:c r="R80" s="12" t="n">
        <x:v>2.025431793493092e+17</x:v>
      </x:c>
      <x:c r="S80" s="16" t="inlineStr">
        <x:is>
          <x:t xml:space="preserve">https://apps.irs.gov/pub/epostcard/990/xml/2025/202543179349309229_public.xml</x:t>
        </x:is>
      </x:c>
      <x:c r="T80" s="16" t="inlineStr">
        <x:is>
          <x:t xml:space="preserve">https://projects.propublica.org/nonprofits/organizations/362181969</x:t>
        </x:is>
      </x:c>
      <x:c r="U80" s="17" t="inlineStr">
        <x:is>
          <x:t xml:space="preserve">SRC-990-EXT-CHICAGO-COUNCIL-ON-GLOBAL-AFFAIRS</x:t>
        </x:is>
      </x:c>
    </x:row>
    <x:row r="81">
      <x:c r="A81" s="12" t="inlineStr">
        <x:is>
          <x:t xml:space="preserve">American Immigration Council</x:t>
        </x:is>
      </x:c>
      <x:c r="B81" s="12" t="inlineStr">
        <x:is>
          <x:t xml:space="preserve">Jeremy Robbins</x:t>
        </x:is>
      </x:c>
      <x:c r="C81" s="12" t="inlineStr">
        <x:is>
          <x:t xml:space="preserve">Executive Director</x:t>
        </x:is>
      </x:c>
      <x:c r="D81" s="14" t="n">
        <x:v>2024</x:v>
      </x:c>
      <x:c r="E81" s="12" t="inlineStr">
        <x:is>
          <x:t xml:space="preserve">2025-10-24</x:t>
        </x:is>
      </x:c>
      <x:c r="F81" s="12" t="n">
        <x:v>327947</x:v>
      </x:c>
      <x:c r="G81" s="12" t="n">
        <x:v>0</x:v>
      </x:c>
      <x:c r="H81" s="12" t="n">
        <x:v>9912</x:v>
      </x:c>
      <x:c r="I81" s="14" t="n">
        <x:v>349095.6473724227</x:v>
      </x:c>
      <x:c r="J81" s="14" t="n">
        <x:v>359646.8524657929</x:v>
      </x:c>
      <x:c r="K81" s="14" t="n">
        <x:v>11940088</x:v>
      </x:c>
      <x:c r="L81" s="14" t="n">
        <x:v>12429698</x:v>
      </x:c>
      <x:c r="M81" s="12" t="n"/>
      <x:c r="N81" s="12" t="inlineStr">
        <x:is>
          <x:t xml:space="preserve">primary</x:t>
        </x:is>
      </x:c>
      <x:c r="O81" s="12" t="n"/>
      <x:c r="P81" s="12" t="inlineStr">
        <x:is>
          <x:t xml:space="preserve">research_plus_legal_programs</x:t>
        </x:is>
      </x:c>
      <x:c r="Q81" s="12" t="inlineStr">
        <x:is>
          <x:t xml:space="preserve">52-1549711</x:t>
        </x:is>
      </x:c>
      <x:c r="R81" s="12" t="n">
        <x:v>2.025429793493015e+17</x:v>
      </x:c>
      <x:c r="S81" s="16" t="inlineStr">
        <x:is>
          <x:t xml:space="preserve">https://apps.irs.gov/pub/epostcard/990/xml/2025/202542979349301509_public.xml</x:t>
        </x:is>
      </x:c>
      <x:c r="T81" s="16" t="inlineStr">
        <x:is>
          <x:t xml:space="preserve">https://projects.propublica.org/nonprofits/organizations/521549711</x:t>
        </x:is>
      </x:c>
      <x:c r="U81" s="17" t="inlineStr">
        <x:is>
          <x:t xml:space="preserve">SRC-990-EXT-AMERICAN-IMMIGRATION-COUNCIL</x:t>
        </x:is>
      </x:c>
    </x:row>
    <x:row r="82">
      <x:c r="A82" s="12" t="inlineStr">
        <x:is>
          <x:t xml:space="preserve">Institute for Policy Studies</x:t>
        </x:is>
      </x:c>
      <x:c r="B82" s="12" t="inlineStr">
        <x:is>
          <x:t xml:space="preserve">Tope Folarin</x:t>
        </x:is>
      </x:c>
      <x:c r="C82" s="12" t="inlineStr">
        <x:is>
          <x:t xml:space="preserve">Executive Director</x:t>
        </x:is>
      </x:c>
      <x:c r="D82" s="14" t="n">
        <x:v>2024</x:v>
      </x:c>
      <x:c r="E82" s="12" t="inlineStr">
        <x:is>
          <x:t xml:space="preserve">2025-11-17</x:t>
        </x:is>
      </x:c>
      <x:c r="F82" s="12" t="n">
        <x:v>161376</x:v>
      </x:c>
      <x:c r="G82" s="12" t="n">
        <x:v>0</x:v>
      </x:c>
      <x:c r="H82" s="12" t="n">
        <x:v>27313</x:v>
      </x:c>
      <x:c r="I82" s="14" t="n">
        <x:v>171782.8160964183</x:v>
      </x:c>
      <x:c r="J82" s="14" t="n">
        <x:v>200857.1769433935</x:v>
      </x:c>
      <x:c r="K82" s="14" t="n">
        <x:v>5650996</x:v>
      </x:c>
      <x:c r="L82" s="14" t="n">
        <x:v>5230308</x:v>
      </x:c>
      <x:c r="M82" s="12" t="n"/>
      <x:c r="N82" s="12" t="inlineStr">
        <x:is>
          <x:t xml:space="preserve">primary</x:t>
        </x:is>
      </x:c>
      <x:c r="O82" s="12" t="n"/>
      <x:c r="P82" s="12" t="inlineStr">
        <x:is>
          <x:t xml:space="preserve">none</x:t>
        </x:is>
      </x:c>
      <x:c r="Q82" s="12" t="inlineStr">
        <x:is>
          <x:t xml:space="preserve">52-0788947</x:t>
        </x:is>
      </x:c>
      <x:c r="R82" s="12" t="n">
        <x:v>2.025132193493028e+17</x:v>
      </x:c>
      <x:c r="S82" s="16" t="inlineStr">
        <x:is>
          <x:t xml:space="preserve">https://apps.irs.gov/pub/epostcard/990/xml/2025/202513219349302816_public.xml</x:t>
        </x:is>
      </x:c>
      <x:c r="T82" s="16" t="inlineStr">
        <x:is>
          <x:t xml:space="preserve">https://projects.propublica.org/nonprofits/organizations/520788947</x:t>
        </x:is>
      </x:c>
      <x:c r="U82" s="17" t="inlineStr">
        <x:is>
          <x:t xml:space="preserve">SRC-990-EXT-INSTITUTE-FOR-POLICY-STUDIES</x:t>
        </x:is>
      </x:c>
    </x:row>
    <x:row r="83">
      <x:c r="A83" s="12" t="inlineStr">
        <x:is>
          <x:t xml:space="preserve">Institute for Security and Technology</x:t>
        </x:is>
      </x:c>
      <x:c r="B83" s="12" t="inlineStr">
        <x:is>
          <x:t xml:space="preserve">Philip Reiner</x:t>
        </x:is>
      </x:c>
      <x:c r="C83" s="12" t="inlineStr">
        <x:is>
          <x:t xml:space="preserve">CEO</x:t>
        </x:is>
      </x:c>
      <x:c r="D83" s="14" t="n">
        <x:v>2024</x:v>
      </x:c>
      <x:c r="E83" s="12" t="inlineStr">
        <x:is>
          <x:t xml:space="preserve">2025-11-17</x:t>
        </x:is>
      </x:c>
      <x:c r="F83" s="12" t="n">
        <x:v>324624</x:v>
      </x:c>
      <x:c r="G83" s="12" t="n">
        <x:v>0</x:v>
      </x:c>
      <x:c r="H83" s="12" t="n">
        <x:v>41801</x:v>
      </x:c>
      <x:c r="I83" s="14" t="n">
        <x:v>345558.3537358944</x:v>
      </x:c>
      <x:c r="J83" s="14" t="n">
        <x:v>390055.0167814921</x:v>
      </x:c>
      <x:c r="K83" s="14" t="n">
        <x:v>3587978</x:v>
      </x:c>
      <x:c r="L83" s="14" t="n">
        <x:v>4436894</x:v>
      </x:c>
      <x:c r="M83" s="12" t="n"/>
      <x:c r="N83" s="12" t="inlineStr">
        <x:is>
          <x:t xml:space="preserve">primary</x:t>
        </x:is>
      </x:c>
      <x:c r="O83" s="12" t="n"/>
      <x:c r="P83" s="12" t="inlineStr">
        <x:is>
          <x:t xml:space="preserve">lower_edge_scale</x:t>
        </x:is>
      </x:c>
      <x:c r="Q83" s="12" t="inlineStr">
        <x:is>
          <x:t xml:space="preserve">47-5677755</x:t>
        </x:is>
      </x:c>
      <x:c r="R83" s="12" t="n">
        <x:v>2.025232193493106e+17</x:v>
      </x:c>
      <x:c r="S83" s="16" t="inlineStr">
        <x:is>
          <x:t xml:space="preserve">https://apps.irs.gov/pub/epostcard/990/xml/2025/202523219349310552_public.xml</x:t>
        </x:is>
      </x:c>
      <x:c r="T83" s="16" t="inlineStr">
        <x:is>
          <x:t xml:space="preserve">https://projects.propublica.org/nonprofits/organizations/475677755</x:t>
        </x:is>
      </x:c>
      <x:c r="U83" s="16" t="inlineStr">
        <x:is>
          <x:t xml:space="preserve">SRC-990-EXT-INSTITUTE-FOR-SECURITY-AND-TECHNOLOGY</x:t>
        </x:is>
      </x:c>
    </x:row>
    <x:row r="84">
      <x:c r="A84" s="12" t="inlineStr">
        <x:is>
          <x:t xml:space="preserve">Quincy Institute for Responsible Statecraft</x:t>
        </x:is>
      </x:c>
      <x:c r="B84" s="12" t="inlineStr">
        <x:is>
          <x:t xml:space="preserve">Lora Lumpe</x:t>
        </x:is>
      </x:c>
      <x:c r="C84" s="12" t="inlineStr">
        <x:is>
          <x:t xml:space="preserve">Chief Executive Officer</x:t>
        </x:is>
      </x:c>
      <x:c r="D84" s="14" t="n">
        <x:v>2024</x:v>
      </x:c>
      <x:c r="E84" s="12" t="inlineStr">
        <x:is>
          <x:t xml:space="preserve">2025-11-12</x:t>
        </x:is>
      </x:c>
      <x:c r="F84" s="12" t="n">
        <x:v>287373</x:v>
      </x:c>
      <x:c r="G84" s="12" t="n">
        <x:v>0</x:v>
      </x:c>
      <x:c r="H84" s="12" t="n">
        <x:v>52655</x:v>
      </x:c>
      <x:c r="I84" s="14" t="n">
        <x:v>305905.111107451</x:v>
      </x:c>
      <x:c r="J84" s="14" t="n">
        <x:v>361955.7269459703</x:v>
      </x:c>
      <x:c r="K84" s="14" t="n">
        <x:v>5498898</x:v>
      </x:c>
      <x:c r="L84" s="14" t="n">
        <x:v>7389743</x:v>
      </x:c>
      <x:c r="M84" s="12" t="n"/>
      <x:c r="N84" s="12" t="inlineStr">
        <x:is>
          <x:t xml:space="preserve">primary</x:t>
        </x:is>
      </x:c>
      <x:c r="O84" s="12" t="n"/>
      <x:c r="P84" s="12" t="inlineStr">
        <x:is>
          <x:t xml:space="preserve">none</x:t>
        </x:is>
      </x:c>
      <x:c r="Q84" s="12" t="inlineStr">
        <x:is>
          <x:t xml:space="preserve">84-2285143</x:t>
        </x:is>
      </x:c>
      <x:c r="R84" s="12" t="n">
        <x:v>2.025231693493001e+17</x:v>
      </x:c>
      <x:c r="S84" s="16" t="inlineStr">
        <x:is>
          <x:t xml:space="preserve">https://apps.irs.gov/pub/epostcard/990/xml/2025/202523169349300137_public.xml</x:t>
        </x:is>
      </x:c>
      <x:c r="T84" s="16" t="inlineStr">
        <x:is>
          <x:t xml:space="preserve">https://projects.propublica.org/nonprofits/organizations/842285143</x:t>
        </x:is>
      </x:c>
      <x:c r="U84" s="16" t="inlineStr">
        <x:is>
          <x:t xml:space="preserve">SRC-990-EXT-QUINCY-INSTITUTE-FOR-RESPONSIBLE-STATECRAFT</x:t>
        </x:is>
      </x:c>
    </x:row>
    <x:row r="85">
      <x:c r="A85" s="12" t="inlineStr">
        <x:is>
          <x:t xml:space="preserve">Center for a New American Security</x:t>
        </x:is>
      </x:c>
      <x:c r="B85" s="12" t="inlineStr">
        <x:is>
          <x:t xml:space="preserve">Richard Fontaine</x:t>
        </x:is>
      </x:c>
      <x:c r="C85" s="12" t="inlineStr">
        <x:is>
          <x:t xml:space="preserve">CEO</x:t>
        </x:is>
      </x:c>
      <x:c r="D85" s="14" t="n">
        <x:v>2023</x:v>
      </x:c>
      <x:c r="E85" s="12" t="inlineStr">
        <x:is>
          <x:t xml:space="preserve">2025-08-20</x:t>
        </x:is>
      </x:c>
      <x:c r="F85" s="12" t="n">
        <x:v>777325</x:v>
      </x:c>
      <x:c r="G85" s="12" t="n">
        <x:v>0</x:v>
      </x:c>
      <x:c r="H85" s="12" t="n">
        <x:v>0</x:v>
      </x:c>
      <x:c r="I85" s="14" t="n">
        <x:v>851859.0763804696</x:v>
      </x:c>
      <x:c r="J85" s="14" t="n">
        <x:v>851859.0763804696</x:v>
      </x:c>
      <x:c r="K85" s="14" t="n">
        <x:v>14063810</x:v>
      </x:c>
      <x:c r="L85" s="14" t="n">
        <x:v>13803095</x:v>
      </x:c>
      <x:c r="M85" s="12" t="n"/>
      <x:c r="N85" s="12" t="inlineStr">
        <x:is>
          <x:t xml:space="preserve">primary</x:t>
        </x:is>
      </x:c>
      <x:c r="O85" s="12" t="n"/>
      <x:c r="P85" s="12" t="inlineStr">
        <x:is>
          <x:t xml:space="preserve">none</x:t>
        </x:is>
      </x:c>
      <x:c r="Q85" s="12" t="inlineStr">
        <x:is>
          <x:t xml:space="preserve">20-8084828</x:t>
        </x:is>
      </x:c>
      <x:c r="R85" s="12" t="n">
        <x:v>2.025423293493008e+17</x:v>
      </x:c>
      <x:c r="S85" s="16" t="inlineStr">
        <x:is>
          <x:t xml:space="preserve">https://apps.irs.gov/pub/epostcard/990/xml/2025/202542329349300819_public.xml</x:t>
        </x:is>
      </x:c>
      <x:c r="T85" s="16" t="inlineStr">
        <x:is>
          <x:t xml:space="preserve">https://projects.propublica.org/nonprofits/organizations/208084828</x:t>
        </x:is>
      </x:c>
      <x:c r="U85" s="16" t="inlineStr">
        <x:is>
          <x:t xml:space="preserve">SRC-990-EXT-CENTER-FOR-A-NEW-AMERICAN-SECURITY</x:t>
        </x:is>
      </x:c>
    </x:row>
    <x:row r="86">
      <x:c r="A86" s="13" t="inlineStr">
        <x:is>
          <x:t xml:space="preserve">Information Technology and Innovation Foundation</x:t>
        </x:is>
      </x:c>
      <x:c r="B86" s="12" t="inlineStr">
        <x:is>
          <x:t xml:space="preserve">Robert Atkinson</x:t>
        </x:is>
      </x:c>
      <x:c r="C86" s="12" t="inlineStr">
        <x:is>
          <x:t xml:space="preserve">President</x:t>
        </x:is>
      </x:c>
      <x:c r="D86" s="14" t="n">
        <x:v>2024</x:v>
      </x:c>
      <x:c r="E86" s="12" t="inlineStr">
        <x:is>
          <x:t xml:space="preserve">2026-01-15</x:t>
        </x:is>
      </x:c>
      <x:c r="F86" s="12" t="n">
        <x:v>606902</x:v>
      </x:c>
      <x:c r="G86" s="12" t="n">
        <x:v>0</x:v>
      </x:c>
      <x:c r="H86" s="12" t="n">
        <x:v>41857</x:v>
      </x:c>
      <x:c r="I86" s="14" t="n">
        <x:v>646039.8984641363</x:v>
      </x:c>
      <x:c r="J86" s="14" t="n">
        <x:v>690596.1728379451</x:v>
      </x:c>
      <x:c r="K86" s="14" t="n">
        <x:v>5804772</x:v>
      </x:c>
      <x:c r="L86" s="14" t="n">
        <x:v>6925232</x:v>
      </x:c>
      <x:c r="M86" s="12" t="n"/>
      <x:c r="N86" s="12" t="inlineStr">
        <x:is>
          <x:t xml:space="preserve">primary</x:t>
        </x:is>
      </x:c>
      <x:c r="O86" s="12" t="n"/>
      <x:c r="P86" s="12" t="inlineStr">
        <x:is>
          <x:t xml:space="preserve">none</x:t>
        </x:is>
      </x:c>
      <x:c r="Q86" s="12" t="inlineStr">
        <x:is>
          <x:t xml:space="preserve">20-4403497</x:t>
        </x:is>
      </x:c>
      <x:c r="R86" s="12" t="n">
        <x:v>2.026301593493006e+17</x:v>
      </x:c>
      <x:c r="S86" s="16" t="inlineStr">
        <x:is>
          <x:t xml:space="preserve">https://apps.irs.gov/pub/epostcard/990/xml/2026/202630159349300603_public.xml</x:t>
        </x:is>
      </x:c>
      <x:c r="T86" s="16" t="inlineStr">
        <x:is>
          <x:t xml:space="preserve">https://projects.propublica.org/nonprofits/organizations/204403497</x:t>
        </x:is>
      </x:c>
      <x:c r="U86" s="16" t="inlineStr">
        <x:is>
          <x:t xml:space="preserve">SRC-990-EXT-INFORMATION-TECHNOLOGY-AND-INNOVATION-FOUNDATION</x:t>
        </x:is>
      </x:c>
    </x:row>
    <x:row r="87">
      <x:c r="A87" s="12" t="inlineStr">
        <x:is>
          <x:t xml:space="preserve">Climate Central</x:t>
        </x:is>
      </x:c>
      <x:c r="B87" s="12" t="inlineStr">
        <x:is>
          <x:t xml:space="preserve">Benjamin Strauss</x:t>
        </x:is>
      </x:c>
      <x:c r="C87" s="12" t="inlineStr">
        <x:is>
          <x:t xml:space="preserve">CEO &amp; Chief Scientist</x:t>
        </x:is>
      </x:c>
      <x:c r="D87" s="14" t="n">
        <x:v>2025</x:v>
      </x:c>
      <x:c r="E87" s="12" t="inlineStr">
        <x:is>
          <x:t xml:space="preserve">2026-06-25</x:t>
        </x:is>
      </x:c>
      <x:c r="F87" s="12" t="n">
        <x:v>309795</x:v>
      </x:c>
      <x:c r="G87" s="12" t="n">
        <x:v>0</x:v>
      </x:c>
      <x:c r="H87" s="12" t="n">
        <x:v>82196</x:v>
      </x:c>
      <x:c r="I87" s="14" t="n">
        <x:v>321318.1426836428</x:v>
      </x:c>
      <x:c r="J87" s="14" t="n">
        <x:v>406571.5071860547</x:v>
      </x:c>
      <x:c r="K87" s="14" t="n">
        <x:v>22272608</x:v>
      </x:c>
      <x:c r="L87" s="14" t="n">
        <x:v>11535677</x:v>
      </x:c>
      <x:c r="M87" s="12" t="n"/>
      <x:c r="N87" s="12" t="inlineStr">
        <x:is>
          <x:t xml:space="preserve">primary</x:t>
        </x:is>
      </x:c>
      <x:c r="O87" s="12" t="n"/>
      <x:c r="P87" s="12" t="inlineStr">
        <x:is>
          <x:t xml:space="preserve">none</x:t>
        </x:is>
      </x:c>
      <x:c r="Q87" s="12" t="inlineStr">
        <x:is>
          <x:t xml:space="preserve">26-1797336</x:t>
        </x:is>
      </x:c>
      <x:c r="R87" s="12" t="n">
        <x:v>2.026317693493008e+17</x:v>
      </x:c>
      <x:c r="S87" s="16" t="inlineStr">
        <x:is>
          <x:t xml:space="preserve">https://apps.irs.gov/pub/epostcard/990/xml/2026/202631769349300823_public.xml</x:t>
        </x:is>
      </x:c>
      <x:c r="T87" s="16" t="inlineStr">
        <x:is>
          <x:t xml:space="preserve">https://projects.propublica.org/nonprofits/organizations/261797336</x:t>
        </x:is>
      </x:c>
      <x:c r="U87" s="17" t="inlineStr">
        <x:is>
          <x:t xml:space="preserve">SRC-990-EXT-CLIMATE-CENTRAL</x:t>
        </x:is>
      </x:c>
    </x:row>
    <x:row r="88">
      <x:c r="A88" s="12" t="inlineStr">
        <x:is>
          <x:t xml:space="preserve">Breakthrough Institute</x:t>
        </x:is>
      </x:c>
      <x:c r="B88" s="12" t="inlineStr">
        <x:is>
          <x:t xml:space="preserve">Ronald Nordhaus</x:t>
        </x:is>
      </x:c>
      <x:c r="C88" s="12" t="inlineStr">
        <x:is>
          <x:t xml:space="preserve">Executive Director</x:t>
        </x:is>
      </x:c>
      <x:c r="D88" s="14" t="n">
        <x:v>2025</x:v>
      </x:c>
      <x:c r="E88" s="12" t="inlineStr">
        <x:is>
          <x:t xml:space="preserve">2026-05-27</x:t>
        </x:is>
      </x:c>
      <x:c r="F88" s="12" t="n">
        <x:v>320000</x:v>
      </x:c>
      <x:c r="G88" s="12" t="n">
        <x:v>0</x:v>
      </x:c>
      <x:c r="H88" s="12" t="n">
        <x:v>50737</x:v>
      </x:c>
      <x:c r="I88" s="14" t="n">
        <x:v>331902.7281226801</x:v>
      </x:c>
      <x:c r="J88" s="14" t="n">
        <x:v>384526.9428625564</x:v>
      </x:c>
      <x:c r="K88" s="14" t="n">
        <x:v>5069912</x:v>
      </x:c>
      <x:c r="L88" s="14" t="n">
        <x:v>5783654</x:v>
      </x:c>
      <x:c r="M88" s="12" t="n"/>
      <x:c r="N88" s="12" t="inlineStr">
        <x:is>
          <x:t xml:space="preserve">primary</x:t>
        </x:is>
      </x:c>
      <x:c r="O88" s="12" t="n"/>
      <x:c r="P88" s="12" t="inlineStr">
        <x:is>
          <x:t xml:space="preserve">none</x:t>
        </x:is>
      </x:c>
      <x:c r="Q88" s="12" t="inlineStr">
        <x:is>
          <x:t xml:space="preserve">81-4526660</x:t>
        </x:is>
      </x:c>
      <x:c r="R88" s="12" t="n">
        <x:v>2.026314693493013e+17</x:v>
      </x:c>
      <x:c r="S88" s="16" t="inlineStr">
        <x:is>
          <x:t xml:space="preserve">https://apps.irs.gov/pub/epostcard/990/xml/2026/202631469349301333_public.xml</x:t>
        </x:is>
      </x:c>
      <x:c r="T88" s="16" t="inlineStr">
        <x:is>
          <x:t xml:space="preserve">https://projects.propublica.org/nonprofits/organizations/814526660</x:t>
        </x:is>
      </x:c>
      <x:c r="U88" s="17" t="inlineStr">
        <x:is>
          <x:t xml:space="preserve">SRC-990-EXT-BREAKTHROUGH-INSTITUTE</x:t>
        </x:is>
      </x:c>
    </x:row>
    <x:row r="89">
      <x:c r="A89" s="12" t="inlineStr">
        <x:is>
          <x:t xml:space="preserve">Center for Climate and Energy Solutions</x:t>
        </x:is>
      </x:c>
      <x:c r="B89" s="12" t="inlineStr">
        <x:is>
          <x:t xml:space="preserve">Nathaniel Keohane</x:t>
        </x:is>
      </x:c>
      <x:c r="C89" s="12" t="inlineStr">
        <x:is>
          <x:t xml:space="preserve">President</x:t>
        </x:is>
      </x:c>
      <x:c r="D89" s="14" t="n">
        <x:v>2024</x:v>
      </x:c>
      <x:c r="E89" s="12" t="inlineStr">
        <x:is>
          <x:t xml:space="preserve">2026-06-10</x:t>
        </x:is>
      </x:c>
      <x:c r="F89" s="12" t="n">
        <x:v>529164</x:v>
      </x:c>
      <x:c r="G89" s="12" t="n">
        <x:v>0</x:v>
      </x:c>
      <x:c r="H89" s="12" t="n">
        <x:v>21504</x:v>
      </x:c>
      <x:c r="I89" s="14" t="n">
        <x:v>563288.7300270492</x:v>
      </x:c>
      <x:c r="J89" s="14" t="n">
        <x:v>586179.4800601234</x:v>
      </x:c>
      <x:c r="K89" s="14" t="n">
        <x:v>18710584</x:v>
      </x:c>
      <x:c r="L89" s="14" t="n">
        <x:v>20611639</x:v>
      </x:c>
      <x:c r="M89" s="12" t="n"/>
      <x:c r="N89" s="12" t="inlineStr">
        <x:is>
          <x:t xml:space="preserve">primary_with_structure_flag</x:t>
        </x:is>
      </x:c>
      <x:c r="O89" s="12" t="n"/>
      <x:c r="P89" s="12" t="inlineStr">
        <x:is>
          <x:t xml:space="preserve">upper_edge_scale</x:t>
        </x:is>
      </x:c>
      <x:c r="Q89" s="12" t="inlineStr">
        <x:is>
          <x:t xml:space="preserve">54-1892252</x:t>
        </x:is>
      </x:c>
      <x:c r="R89" s="12" t="n">
        <x:v>2.026316193493008e+17</x:v>
      </x:c>
      <x:c r="S89" s="16" t="inlineStr">
        <x:is>
          <x:t xml:space="preserve">https://apps.irs.gov/pub/epostcard/990/xml/2026/202631619349300808_public.xml</x:t>
        </x:is>
      </x:c>
      <x:c r="T89" s="16" t="inlineStr">
        <x:is>
          <x:t xml:space="preserve">https://projects.propublica.org/nonprofits/organizations/541892252</x:t>
        </x:is>
      </x:c>
      <x:c r="U89" s="16" t="inlineStr">
        <x:is>
          <x:t xml:space="preserve">SRC-990-EXT-CENTER-FOR-CLIMATE-AND-ENERGY-SOLUTIONS</x:t>
        </x:is>
      </x:c>
    </x:row>
    <x:row r="90">
      <x:c r="A90" s="13" t="inlineStr">
        <x:is>
          <x:t xml:space="preserve">Institute for Energy Economics and Financial Analysis</x:t>
        </x:is>
      </x:c>
      <x:c r="B90" s="12" t="inlineStr">
        <x:is>
          <x:t xml:space="preserve">Alexandra Buchanan</x:t>
        </x:is>
      </x:c>
      <x:c r="C90" s="12" t="inlineStr">
        <x:is>
          <x:t xml:space="preserve">CEO/Board Secretary</x:t>
        </x:is>
      </x:c>
      <x:c r="D90" s="14" t="n">
        <x:v>2024</x:v>
      </x:c>
      <x:c r="E90" s="12" t="inlineStr">
        <x:is>
          <x:t xml:space="preserve">2025-07-16</x:t>
        </x:is>
      </x:c>
      <x:c r="F90" s="12" t="n">
        <x:v>273000</x:v>
      </x:c>
      <x:c r="G90" s="12" t="n">
        <x:v>0</x:v>
      </x:c>
      <x:c r="H90" s="12" t="n">
        <x:v>32082</x:v>
      </x:c>
      <x:c r="I90" s="14" t="n">
        <x:v>290605.225029262</x:v>
      </x:c>
      <x:c r="J90" s="14" t="n">
        <x:v>324756.1291662173</x:v>
      </x:c>
      <x:c r="K90" s="14" t="n">
        <x:v>11502239</x:v>
      </x:c>
      <x:c r="L90" s="14" t="n">
        <x:v>13341578</x:v>
      </x:c>
      <x:c r="M90" s="12" t="n"/>
      <x:c r="N90" s="12" t="inlineStr">
        <x:is>
          <x:t xml:space="preserve">primary</x:t>
        </x:is>
      </x:c>
      <x:c r="O90" s="12" t="n"/>
      <x:c r="P90" s="12" t="inlineStr">
        <x:is>
          <x:t xml:space="preserve">none</x:t>
        </x:is>
      </x:c>
      <x:c r="Q90" s="12" t="inlineStr">
        <x:is>
          <x:t xml:space="preserve">45-4244605</x:t>
        </x:is>
      </x:c>
      <x:c r="R90" s="12" t="n">
        <x:v>2.025419793493003e+17</x:v>
      </x:c>
      <x:c r="S90" s="16" t="inlineStr">
        <x:is>
          <x:t xml:space="preserve">https://apps.irs.gov/pub/epostcard/990/xml/2025/202541979349300319_public.xml</x:t>
        </x:is>
      </x:c>
      <x:c r="T90" s="16" t="inlineStr">
        <x:is>
          <x:t xml:space="preserve">https://projects.propublica.org/nonprofits/organizations/454244605</x:t>
        </x:is>
      </x:c>
      <x:c r="U90" s="16" t="inlineStr">
        <x:is>
          <x:t xml:space="preserve">SRC-990-EXT-INSTITUTE-FOR-ENERGY-ECONOMICS-AND-FINANCIAL-ANALYSIS</x:t>
        </x:is>
      </x:c>
    </x:row>
    <x:row r="91">
      <x:c r="A91" s="12" t="inlineStr">
        <x:is>
          <x:t xml:space="preserve">Demos</x:t>
        </x:is>
      </x:c>
      <x:c r="B91" s="12" t="inlineStr">
        <x:is>
          <x:t xml:space="preserve">Taifa Smith Butler</x:t>
        </x:is>
      </x:c>
      <x:c r="C91" s="12" t="inlineStr">
        <x:is>
          <x:t xml:space="preserve">President</x:t>
        </x:is>
      </x:c>
      <x:c r="D91" s="14" t="n">
        <x:v>2024</x:v>
      </x:c>
      <x:c r="E91" s="12" t="inlineStr">
        <x:is>
          <x:t xml:space="preserve">2025-11-11</x:t>
        </x:is>
      </x:c>
      <x:c r="F91" s="12" t="n">
        <x:v>290800</x:v>
      </x:c>
      <x:c r="G91" s="12" t="n">
        <x:v>0</x:v>
      </x:c>
      <x:c r="H91" s="12" t="n">
        <x:v>57692</x:v>
      </x:c>
      <x:c r="I91" s="14" t="n">
        <x:v>309553.1114963714</x:v>
      </x:c>
      <x:c r="J91" s="14" t="n">
        <x:v>370965.5534098813</x:v>
      </x:c>
      <x:c r="K91" s="14" t="n">
        <x:v>7617808</x:v>
      </x:c>
      <x:c r="L91" s="14" t="n">
        <x:v>8584066</x:v>
      </x:c>
      <x:c r="M91" s="12" t="n"/>
      <x:c r="N91" s="12" t="inlineStr">
        <x:is>
          <x:t xml:space="preserve">primary</x:t>
        </x:is>
      </x:c>
      <x:c r="O91" s="12" t="n"/>
      <x:c r="P91" s="12" t="inlineStr">
        <x:is>
          <x:t xml:space="preserve">none</x:t>
        </x:is>
      </x:c>
      <x:c r="Q91" s="12" t="inlineStr">
        <x:is>
          <x:t xml:space="preserve">13-4105066</x:t>
        </x:is>
      </x:c>
      <x:c r="R91" s="12" t="n">
        <x:v>2.025031593493061e+17</x:v>
      </x:c>
      <x:c r="S91" s="16" t="inlineStr">
        <x:is>
          <x:t xml:space="preserve">https://apps.irs.gov/pub/epostcard/990/xml/2025/202503159349306085_public.xml</x:t>
        </x:is>
      </x:c>
      <x:c r="T91" s="16" t="inlineStr">
        <x:is>
          <x:t xml:space="preserve">https://projects.propublica.org/nonprofits/organizations/134105066</x:t>
        </x:is>
      </x:c>
      <x:c r="U91" s="17" t="inlineStr">
        <x:is>
          <x:t xml:space="preserve">SRC-990-EXT-DEMOS</x:t>
        </x:is>
      </x:c>
    </x:row>
    <x:row r="92">
      <x:c r="A92" s="12" t="inlineStr">
        <x:is>
          <x:t xml:space="preserve">Vera Institute of Justice</x:t>
        </x:is>
      </x:c>
      <x:c r="B92" s="12" t="inlineStr">
        <x:is>
          <x:t xml:space="preserve">Nicholas Turner</x:t>
        </x:is>
      </x:c>
      <x:c r="C92" s="12" t="inlineStr">
        <x:is>
          <x:t xml:space="preserve">President</x:t>
        </x:is>
      </x:c>
      <x:c r="D92" s="14" t="n">
        <x:v>2024</x:v>
      </x:c>
      <x:c r="E92" s="12" t="inlineStr">
        <x:is>
          <x:t xml:space="preserve">2026-05-15</x:t>
        </x:is>
      </x:c>
      <x:c r="F92" s="12" t="n">
        <x:v>596633</x:v>
      </x:c>
      <x:c r="G92" s="12" t="n">
        <x:v>0</x:v>
      </x:c>
      <x:c r="H92" s="12" t="n">
        <x:v>66532</x:v>
      </x:c>
      <x:c r="I92" s="14" t="n">
        <x:v>635108.6711534201</x:v>
      </x:c>
      <x:c r="J92" s="14" t="n">
        <x:v>705931.1870202584</x:v>
      </x:c>
      <x:c r="K92" s="14" t="n">
        <x:v>40162188</x:v>
      </x:c>
      <x:c r="L92" s="14" t="n">
        <x:v>50053981</x:v>
      </x:c>
      <x:c r="M92" s="12" t="n"/>
      <x:c r="N92" s="12" t="inlineStr">
        <x:is>
          <x:t xml:space="preserve">primary_with_structure_flag</x:t>
        </x:is>
      </x:c>
      <x:c r="O92" s="12" t="n"/>
      <x:c r="P92" s="12" t="inlineStr">
        <x:is>
          <x:t xml:space="preserve">large_scale_and_implementation_mix</x:t>
        </x:is>
      </x:c>
      <x:c r="Q92" s="12" t="inlineStr">
        <x:is>
          <x:t xml:space="preserve">13-1941627</x:t>
        </x:is>
      </x:c>
      <x:c r="R92" s="12" t="n">
        <x:v>2.026313593493145e+17</x:v>
      </x:c>
      <x:c r="S92" s="16" t="inlineStr">
        <x:is>
          <x:t xml:space="preserve">https://apps.irs.gov/pub/epostcard/990/xml/2026/202631359349314463_public.xml</x:t>
        </x:is>
      </x:c>
      <x:c r="T92" s="16" t="inlineStr">
        <x:is>
          <x:t xml:space="preserve">https://projects.propublica.org/nonprofits/organizations/131941627</x:t>
        </x:is>
      </x:c>
      <x:c r="U92" s="17" t="inlineStr">
        <x:is>
          <x:t xml:space="preserve">SRC-990-EXT-VERA-INSTITUTE-OF-JUSTICE</x:t>
        </x:is>
      </x:c>
    </x:row>
    <x:row r="93">
      <x:c r="A93" s="12" t="inlineStr">
        <x:is>
          <x:t xml:space="preserve">Center for Public Integrity</x:t>
        </x:is>
      </x:c>
      <x:c r="B93" s="12" t="inlineStr">
        <x:is>
          <x:t xml:space="preserve">Paul Cheung</x:t>
        </x:is>
      </x:c>
      <x:c r="C93" s="12" t="inlineStr">
        <x:is>
          <x:t xml:space="preserve">Chief Executive Officer</x:t>
        </x:is>
      </x:c>
      <x:c r="D93" s="14" t="n">
        <x:v>2023</x:v>
      </x:c>
      <x:c r="E93" s="12" t="inlineStr">
        <x:is>
          <x:t xml:space="preserve">2024-08-26</x:t>
        </x:is>
      </x:c>
      <x:c r="F93" s="12" t="n">
        <x:v>306912</x:v>
      </x:c>
      <x:c r="G93" s="12" t="n">
        <x:v>0</x:v>
      </x:c>
      <x:c r="H93" s="12" t="n">
        <x:v>28061</x:v>
      </x:c>
      <x:c r="I93" s="14" t="n">
        <x:v>336340.3632329884</x:v>
      </x:c>
      <x:c r="J93" s="14" t="n">
        <x:v>367092.0019199113</x:v>
      </x:c>
      <x:c r="K93" s="14" t="n">
        <x:v>3834099</x:v>
      </x:c>
      <x:c r="L93" s="14" t="n">
        <x:v>6141454</x:v>
      </x:c>
      <x:c r="M93" s="12" t="n"/>
      <x:c r="N93" s="12" t="inlineStr">
        <x:is>
          <x:t xml:space="preserve">primary_older_clean</x:t>
        </x:is>
      </x:c>
      <x:c r="O93" s="12" t="n"/>
      <x:c r="P93" s="12" t="inlineStr">
        <x:is>
          <x:t xml:space="preserve">older_clean_due_transition</x:t>
        </x:is>
      </x:c>
      <x:c r="Q93" s="12" t="inlineStr">
        <x:is>
          <x:t xml:space="preserve">54-1512177</x:t>
        </x:is>
      </x:c>
      <x:c r="R93" s="12" t="n">
        <x:v>2.024123993493008e+17</x:v>
      </x:c>
      <x:c r="S93" s="16" t="inlineStr">
        <x:is>
          <x:t xml:space="preserve">https://apps.irs.gov/pub/epostcard/990/xml/2024/202412399349300756_public.xml</x:t>
        </x:is>
      </x:c>
      <x:c r="T93" s="16" t="inlineStr">
        <x:is>
          <x:t xml:space="preserve">https://projects.propublica.org/nonprofits/organizations/541512177</x:t>
        </x:is>
      </x:c>
      <x:c r="U93" s="17" t="inlineStr">
        <x:is>
          <x:t xml:space="preserve">SRC-990-EXT-CENTER-FOR-PUBLIC-INTEGRITY</x:t>
        </x:is>
      </x:c>
    </x:row>
    <x:row r="94">
      <x:c r="A94" s="12" t="inlineStr">
        <x:is>
          <x:t xml:space="preserve">Brennan Center for Justice</x:t>
        </x:is>
      </x:c>
      <x:c r="B94" s="12" t="inlineStr">
        <x:is>
          <x:t xml:space="preserve">Michael Waldman</x:t>
        </x:is>
      </x:c>
      <x:c r="C94" s="12" t="inlineStr">
        <x:is>
          <x:t xml:space="preserve">President</x:t>
        </x:is>
      </x:c>
      <x:c r="D94" s="14" t="n">
        <x:v>2024</x:v>
      </x:c>
      <x:c r="E94" s="12" t="inlineStr">
        <x:is>
          <x:t xml:space="preserve">2026-05-09</x:t>
        </x:is>
      </x:c>
      <x:c r="F94" s="12" t="n">
        <x:v>650385</x:v>
      </x:c>
      <x:c r="G94" s="12" t="n">
        <x:v>0</x:v>
      </x:c>
      <x:c r="H94" s="12" t="n">
        <x:v>50231</x:v>
      </x:c>
      <x:c r="I94" s="14" t="n">
        <x:v>692327.0303320754</x:v>
      </x:c>
      <x:c r="J94" s="14" t="n">
        <x:v>745797.3272494558</x:v>
      </x:c>
      <x:c r="K94" s="14" t="n">
        <x:v>73820955</x:v>
      </x:c>
      <x:c r="L94" s="14" t="n">
        <x:v>58143269</x:v>
      </x:c>
      <x:c r="M94" s="12" t="n"/>
      <x:c r="N94" s="12" t="inlineStr">
        <x:is>
          <x:t xml:space="preserve">structural_sensitivity</x:t>
        </x:is>
      </x:c>
      <x:c r="O94" s="12" t="n"/>
      <x:c r="P94" s="13" t="inlineStr">
        <x:is>
          <x:t xml:space="preserve">university_affiliate_dual_top_leadership_large_scale</x:t>
        </x:is>
      </x:c>
      <x:c r="Q94" s="12" t="inlineStr">
        <x:is>
          <x:t xml:space="preserve">13-3839293</x:t>
        </x:is>
      </x:c>
      <x:c r="R94" s="12" t="n">
        <x:v>2.026212893493039e+17</x:v>
      </x:c>
      <x:c r="S94" s="16" t="inlineStr">
        <x:is>
          <x:t xml:space="preserve">https://apps.irs.gov/pub/epostcard/990/xml/2026/202621289349303897_public.xml</x:t>
        </x:is>
      </x:c>
      <x:c r="T94" s="16" t="inlineStr">
        <x:is>
          <x:t xml:space="preserve">https://projects.propublica.org/nonprofits/organizations/133839293</x:t>
        </x:is>
      </x:c>
      <x:c r="U94" s="17" t="inlineStr">
        <x:is>
          <x:t xml:space="preserve">SRC-990-EXT-BRENNAN-CENTER-FOR-JUSTICE</x:t>
        </x:is>
      </x:c>
    </x:row>
    <x:row r="95">
      <x:c r="A95" s="12" t="inlineStr">
        <x:is>
          <x:t xml:space="preserve">GivingTuesday</x:t>
        </x:is>
      </x:c>
      <x:c r="B95" s="12" t="inlineStr">
        <x:is>
          <x:t xml:space="preserve">Asha Curran</x:t>
        </x:is>
      </x:c>
      <x:c r="C95" s="12" t="inlineStr">
        <x:is>
          <x:t xml:space="preserve">Chief Executive Officer and President</x:t>
        </x:is>
      </x:c>
      <x:c r="D95" s="14" t="n">
        <x:v>2024</x:v>
      </x:c>
      <x:c r="E95" s="12" t="inlineStr">
        <x:is>
          <x:t xml:space="preserve">2026-05-01</x:t>
        </x:is>
      </x:c>
      <x:c r="F95" s="12" t="n">
        <x:v>420352</x:v>
      </x:c>
      <x:c r="G95" s="12" t="n">
        <x:v>0</x:v>
      </x:c>
      <x:c r="H95" s="12" t="n">
        <x:v>42521</x:v>
      </x:c>
      <x:c r="I95" s="14" t="n">
        <x:v>447459.6613608072</x:v>
      </x:c>
      <x:c r="J95" s="14" t="n">
        <x:v>492722.7557691194</x:v>
      </x:c>
      <x:c r="K95" s="14" t="n">
        <x:v>3656742</x:v>
      </x:c>
      <x:c r="L95" s="14" t="n">
        <x:v>8638316</x:v>
      </x:c>
      <x:c r="M95" s="12" t="n"/>
      <x:c r="N95" s="12" t="inlineStr">
        <x:is>
          <x:t xml:space="preserve">primary</x:t>
        </x:is>
      </x:c>
      <x:c r="O95" s="12" t="n"/>
      <x:c r="P95" s="12" t="inlineStr">
        <x:is>
          <x:t xml:space="preserve">none</x:t>
        </x:is>
      </x:c>
      <x:c r="Q95" s="12" t="inlineStr">
        <x:is>
          <x:t xml:space="preserve">84-2929872</x:t>
        </x:is>
      </x:c>
      <x:c r="R95" s="12" t="n">
        <x:v>2.026012193493007e+17</x:v>
      </x:c>
      <x:c r="S95" s="16" t="inlineStr">
        <x:is>
          <x:t xml:space="preserve">https://apps.irs.gov/pub/epostcard/990/xml/2026/202601219349300720_public.xml</x:t>
        </x:is>
      </x:c>
      <x:c r="T95" s="16" t="inlineStr">
        <x:is>
          <x:t xml:space="preserve">https://projects.propublica.org/nonprofits/organizations/842929872</x:t>
        </x:is>
      </x:c>
      <x:c r="U95" s="17" t="inlineStr">
        <x:is>
          <x:t xml:space="preserve">SRC-990-EXT-GIVINGTUESDAY</x:t>
        </x:is>
      </x:c>
    </x:row>
    <x:row r="96">
      <x:c r="A96" s="12" t="inlineStr">
        <x:is>
          <x:t xml:space="preserve">Institute for Nonprofit News</x:t>
        </x:is>
      </x:c>
      <x:c r="B96" s="12" t="inlineStr">
        <x:is>
          <x:t xml:space="preserve">Karen Rundlet</x:t>
        </x:is>
      </x:c>
      <x:c r="C96" s="12" t="inlineStr">
        <x:is>
          <x:t xml:space="preserve">Chief Executive Officer</x:t>
        </x:is>
      </x:c>
      <x:c r="D96" s="14" t="n">
        <x:v>2024</x:v>
      </x:c>
      <x:c r="E96" s="12" t="inlineStr">
        <x:is>
          <x:t xml:space="preserve">2026-01-26</x:t>
        </x:is>
      </x:c>
      <x:c r="F96" s="12" t="n">
        <x:v>214828</x:v>
      </x:c>
      <x:c r="G96" s="12" t="n">
        <x:v>0</x:v>
      </x:c>
      <x:c r="H96" s="12" t="n">
        <x:v>0</x:v>
      </x:c>
      <x:c r="I96" s="14" t="n">
        <x:v>228681.8288739425</x:v>
      </x:c>
      <x:c r="J96" s="14" t="n">
        <x:v>228681.8288739425</x:v>
      </x:c>
      <x:c r="K96" s="14" t="n">
        <x:v>15594880</x:v>
      </x:c>
      <x:c r="L96" s="14" t="n">
        <x:v>15663213</x:v>
      </x:c>
      <x:c r="M96" s="12" t="n"/>
      <x:c r="N96" s="12" t="inlineStr">
        <x:is>
          <x:t xml:space="preserve">primary</x:t>
        </x:is>
      </x:c>
      <x:c r="O96" s="12" t="n"/>
      <x:c r="P96" s="12" t="inlineStr">
        <x:is>
          <x:t xml:space="preserve">membership_and_grant_support_mix</x:t>
        </x:is>
      </x:c>
      <x:c r="Q96" s="12" t="inlineStr">
        <x:is>
          <x:t xml:space="preserve">27-2614911</x:t>
        </x:is>
      </x:c>
      <x:c r="R96" s="12" t="n">
        <x:v>2.026302693493012e+17</x:v>
      </x:c>
      <x:c r="S96" s="16" t="inlineStr">
        <x:is>
          <x:t xml:space="preserve">https://apps.irs.gov/pub/epostcard/990/xml/2026/202630269349301213_public.xml</x:t>
        </x:is>
      </x:c>
      <x:c r="T96" s="16" t="inlineStr">
        <x:is>
          <x:t xml:space="preserve">https://projects.propublica.org/nonprofits/organizations/272614911</x:t>
        </x:is>
      </x:c>
      <x:c r="U96" s="17" t="inlineStr">
        <x:is>
          <x:t xml:space="preserve">SRC-990-EXT-INSTITUTE-FOR-NONPROFIT-NEWS</x:t>
        </x:is>
      </x:c>
    </x:row>
    <x:row r="97">
      <x:c r="A97" s="12" t="inlineStr">
        <x:is>
          <x:t xml:space="preserve">Creative Commons</x:t>
        </x:is>
      </x:c>
      <x:c r="B97" s="12" t="inlineStr">
        <x:is>
          <x:t xml:space="preserve">Anna Tumadottir</x:t>
        </x:is>
      </x:c>
      <x:c r="C97" s="12" t="inlineStr">
        <x:is>
          <x:t xml:space="preserve">Chief Executive Officer</x:t>
        </x:is>
      </x:c>
      <x:c r="D97" s="14" t="n">
        <x:v>2024</x:v>
      </x:c>
      <x:c r="E97" s="12" t="inlineStr">
        <x:is>
          <x:t xml:space="preserve">2025-11-13</x:t>
        </x:is>
      </x:c>
      <x:c r="F97" s="12" t="n">
        <x:v>230000</x:v>
      </x:c>
      <x:c r="G97" s="12" t="n">
        <x:v>0</x:v>
      </x:c>
      <x:c r="H97" s="12" t="n">
        <x:v>24431</x:v>
      </x:c>
      <x:c r="I97" s="14" t="n">
        <x:v>244832.2408671438</x:v>
      </x:c>
      <x:c r="J97" s="14" t="n">
        <x:v>270838.7472872534</x:v>
      </x:c>
      <x:c r="K97" s="14" t="n">
        <x:v>2439364</x:v>
      </x:c>
      <x:c r="L97" s="14" t="n">
        <x:v>3912384</x:v>
      </x:c>
      <x:c r="M97" s="12" t="n"/>
      <x:c r="N97" s="12" t="inlineStr">
        <x:is>
          <x:t xml:space="preserve">primary</x:t>
        </x:is>
      </x:c>
      <x:c r="O97" s="12" t="n"/>
      <x:c r="P97" s="12" t="inlineStr">
        <x:is>
          <x:t xml:space="preserve">below_primary_scale_global_network</x:t>
        </x:is>
      </x:c>
      <x:c r="Q97" s="12" t="inlineStr">
        <x:is>
          <x:t xml:space="preserve">04-3585301</x:t>
        </x:is>
      </x:c>
      <x:c r="R97" s="12" t="n">
        <x:v>2.025431793493063e+17</x:v>
      </x:c>
      <x:c r="S97" s="16" t="inlineStr">
        <x:is>
          <x:t xml:space="preserve">https://apps.irs.gov/pub/epostcard/990/xml/2025/202543179349306294_public.xml</x:t>
        </x:is>
      </x:c>
      <x:c r="T97" s="16" t="inlineStr">
        <x:is>
          <x:t xml:space="preserve">https://projects.propublica.org/nonprofits/organizations/043585301</x:t>
        </x:is>
      </x:c>
      <x:c r="U97" s="17" t="inlineStr">
        <x:is>
          <x:t xml:space="preserve">SRC-990-EXT-CREATIVE-COMMONS</x:t>
        </x:is>
      </x:c>
    </x:row>
    <x:row r="98">
      <x:c r="A98" s="12" t="inlineStr">
        <x:is>
          <x:t xml:space="preserve">Sightline Institute</x:t>
        </x:is>
      </x:c>
      <x:c r="B98" s="12" t="inlineStr">
        <x:is>
          <x:t xml:space="preserve">Alan Durning</x:t>
        </x:is>
      </x:c>
      <x:c r="C98" s="12" t="inlineStr">
        <x:is>
          <x:t xml:space="preserve">Executive Director</x:t>
        </x:is>
      </x:c>
      <x:c r="D98" s="14" t="n">
        <x:v>2024</x:v>
      </x:c>
      <x:c r="E98" s="12" t="inlineStr">
        <x:is>
          <x:t xml:space="preserve">2025-08-12</x:t>
        </x:is>
      </x:c>
      <x:c r="F98" s="12" t="n">
        <x:v>198548</x:v>
      </x:c>
      <x:c r="G98" s="12" t="n">
        <x:v>0</x:v>
      </x:c>
      <x:c r="H98" s="12" t="n">
        <x:v>29398</x:v>
      </x:c>
      <x:c r="I98" s="14" t="n">
        <x:v>211351.9641725638</x:v>
      </x:c>
      <x:c r="J98" s="14" t="n">
        <x:v>242645.7825073999</x:v>
      </x:c>
      <x:c r="K98" s="14" t="n">
        <x:v>2520867</x:v>
      </x:c>
      <x:c r="L98" s="14" t="n">
        <x:v>3249823</x:v>
      </x:c>
      <x:c r="M98" s="12" t="n"/>
      <x:c r="N98" s="12" t="inlineStr">
        <x:is>
          <x:t xml:space="preserve">primary</x:t>
        </x:is>
      </x:c>
      <x:c r="O98" s="12" t="n"/>
      <x:c r="P98" s="12" t="inlineStr">
        <x:is>
          <x:t xml:space="preserve">below_primary_scale_regional</x:t>
        </x:is>
      </x:c>
      <x:c r="Q98" s="12" t="inlineStr">
        <x:is>
          <x:t xml:space="preserve">52-1833599</x:t>
        </x:is>
      </x:c>
      <x:c r="R98" s="12" t="n">
        <x:v>2.025222493493003e+17</x:v>
      </x:c>
      <x:c r="S98" s="16" t="inlineStr">
        <x:is>
          <x:t xml:space="preserve">https://apps.irs.gov/pub/epostcard/990/xml/2025/202522249349300332_public.xml</x:t>
        </x:is>
      </x:c>
      <x:c r="T98" s="16" t="inlineStr">
        <x:is>
          <x:t xml:space="preserve">https://projects.propublica.org/nonprofits/organizations/521833599</x:t>
        </x:is>
      </x:c>
      <x:c r="U98" s="17" t="inlineStr">
        <x:is>
          <x:t xml:space="preserve">SRC-990-EXT-SIGHTLINE-INSTITUTE</x:t>
        </x:is>
      </x:c>
    </x:row>
    <x:row r="99">
      <x:c r="A99" s="12" t="inlineStr">
        <x:is>
          <x:t xml:space="preserve">Clean Air Task Force</x:t>
        </x:is>
      </x:c>
      <x:c r="B99" s="12" t="inlineStr">
        <x:is>
          <x:t xml:space="preserve">Armond Cohen</x:t>
        </x:is>
      </x:c>
      <x:c r="C99" s="12" t="inlineStr">
        <x:is>
          <x:t xml:space="preserve">Executive Director</x:t>
        </x:is>
      </x:c>
      <x:c r="D99" s="14" t="n">
        <x:v>2024</x:v>
      </x:c>
      <x:c r="E99" s="12" t="inlineStr">
        <x:is>
          <x:t xml:space="preserve">2025-10-09</x:t>
        </x:is>
      </x:c>
      <x:c r="F99" s="12" t="n">
        <x:v>350340</x:v>
      </x:c>
      <x:c r="G99" s="12" t="n">
        <x:v>0</x:v>
      </x:c>
      <x:c r="H99" s="12" t="n">
        <x:v>45275</x:v>
      </x:c>
      <x:c r="I99" s="14" t="n">
        <x:v>372932.7272408486</x:v>
      </x:c>
      <x:c r="J99" s="14" t="n">
        <x:v>421127.421611544</x:v>
      </x:c>
      <x:c r="K99" s="14" t="n">
        <x:v>50064607</x:v>
      </x:c>
      <x:c r="L99" s="14" t="n">
        <x:v>40445925</x:v>
      </x:c>
      <x:c r="M99" s="12" t="n"/>
      <x:c r="N99" s="12" t="inlineStr">
        <x:is>
          <x:t xml:space="preserve">primary_with_structure_flag</x:t>
        </x:is>
      </x:c>
      <x:c r="O99" s="12" t="n"/>
      <x:c r="P99" s="12" t="inlineStr">
        <x:is>
          <x:t xml:space="preserve">above_primary_scale</x:t>
        </x:is>
      </x:c>
      <x:c r="Q99" s="12" t="inlineStr">
        <x:is>
          <x:t xml:space="preserve">04-3512550</x:t>
        </x:is>
      </x:c>
      <x:c r="R99" s="12" t="n">
        <x:v>2.025228293493003e+17</x:v>
      </x:c>
      <x:c r="S99" s="16" t="inlineStr">
        <x:is>
          <x:t xml:space="preserve">https://apps.irs.gov/pub/epostcard/990/xml/2025/202522829349300322_public.xml</x:t>
        </x:is>
      </x:c>
      <x:c r="T99" s="16" t="inlineStr">
        <x:is>
          <x:t xml:space="preserve">https://projects.propublica.org/nonprofits/organizations/043512550</x:t>
        </x:is>
      </x:c>
      <x:c r="U99" s="17" t="inlineStr">
        <x:is>
          <x:t xml:space="preserve">SRC-990-EXT-CLEAN-AIR-TASK-FORCE</x:t>
        </x:is>
      </x:c>
    </x:row>
    <x:row r="100">
      <x:c r="A100" s="12" t="inlineStr">
        <x:is>
          <x:t xml:space="preserve">Sentient Media</x:t>
        </x:is>
      </x:c>
      <x:c r="B100" s="12" t="inlineStr">
        <x:is>
          <x:t xml:space="preserve">Anna Bradley</x:t>
        </x:is>
      </x:c>
      <x:c r="C100" s="12" t="inlineStr">
        <x:is>
          <x:t xml:space="preserve">Executive Director</x:t>
        </x:is>
      </x:c>
      <x:c r="D100" s="14" t="n">
        <x:v>2024</x:v>
      </x:c>
      <x:c r="E100" s="12" t="inlineStr">
        <x:is>
          <x:t xml:space="preserve">2025-10-09</x:t>
        </x:is>
      </x:c>
      <x:c r="F100" s="12" t="n">
        <x:v>100000</x:v>
      </x:c>
      <x:c r="G100" s="12" t="n">
        <x:v>0</x:v>
      </x:c>
      <x:c r="H100" s="12" t="n">
        <x:v>0</x:v>
      </x:c>
      <x:c r="I100" s="14" t="n">
        <x:v>106448.8003770191</x:v>
      </x:c>
      <x:c r="J100" s="14" t="n">
        <x:v>106448.8003770191</x:v>
      </x:c>
      <x:c r="K100" s="14" t="n">
        <x:v>2237457</x:v>
      </x:c>
      <x:c r="L100" s="14" t="n">
        <x:v>1194078</x:v>
      </x:c>
      <x:c r="M100" s="12" t="n"/>
      <x:c r="N100" s="12" t="inlineStr">
        <x:is>
          <x:t xml:space="preserve">primary_with_structure_flag</x:t>
        </x:is>
      </x:c>
      <x:c r="O100" s="12" t="n"/>
      <x:c r="P100" s="12" t="inlineStr">
        <x:is>
          <x:t xml:space="preserve">well_below_scale_media_model</x:t>
        </x:is>
      </x:c>
      <x:c r="Q100" s="12" t="inlineStr">
        <x:is>
          <x:t xml:space="preserve">83-0804345</x:t>
        </x:is>
      </x:c>
      <x:c r="R100" s="12" t="n">
        <x:v>2.025128293493017e+17</x:v>
      </x:c>
      <x:c r="S100" s="16" t="inlineStr">
        <x:is>
          <x:t xml:space="preserve">https://apps.irs.gov/pub/epostcard/990/xml/2025/202512829349301726_public.xml</x:t>
        </x:is>
      </x:c>
      <x:c r="T100" s="16" t="inlineStr">
        <x:is>
          <x:t xml:space="preserve">https://projects.propublica.org/nonprofits/organizations/830804345</x:t>
        </x:is>
      </x:c>
      <x:c r="U100" s="17" t="inlineStr">
        <x:is>
          <x:t xml:space="preserve">SRC-990-EXT-SENTIENT-MEDIA</x:t>
        </x:is>
      </x:c>
    </x:row>
    <x:row r="101">
      <x:c r="A101" s="12" t="inlineStr">
        <x:is>
          <x:t xml:space="preserve">Project Healthy Children</x:t>
        </x:is>
      </x:c>
      <x:c r="B101" s="12" t="inlineStr">
        <x:is>
          <x:t xml:space="preserve">Felix Brooks-Church</x:t>
        </x:is>
      </x:c>
      <x:c r="C101" s="12" t="inlineStr">
        <x:is>
          <x:t xml:space="preserve">President and Chief Executive Officer</x:t>
        </x:is>
      </x:c>
      <x:c r="D101" s="14" t="n">
        <x:v>2022</x:v>
      </x:c>
      <x:c r="E101" s="12" t="inlineStr">
        <x:is>
          <x:t xml:space="preserve">2024-08-12</x:t>
        </x:is>
      </x:c>
      <x:c r="F101" s="12" t="n">
        <x:v>97940</x:v>
      </x:c>
      <x:c r="G101" s="12" t="n">
        <x:v>0</x:v>
      </x:c>
      <x:c r="H101" s="12" t="n">
        <x:v>114549</x:v>
      </x:c>
      <x:c r="I101" s="14" t="n">
        <x:v>111749.0865353403</x:v>
      </x:c>
      <x:c r="J101" s="14" t="n">
        <x:v>242448.9651705934</x:v>
      </x:c>
      <x:c r="K101" s="14" t="n">
        <x:v>6440940</x:v>
      </x:c>
      <x:c r="L101" s="14" t="n">
        <x:v>9122441</x:v>
      </x:c>
      <x:c r="M101" s="12" t="n"/>
      <x:c r="N101" s="12" t="inlineStr">
        <x:is>
          <x:t xml:space="preserve">primary_older_clean</x:t>
        </x:is>
      </x:c>
      <x:c r="O101" s="12" t="n"/>
      <x:c r="P101" s="12" t="inlineStr">
        <x:is>
          <x:t xml:space="preserve">unusually_high_other_compensation_older_clean</x:t>
        </x:is>
      </x:c>
      <x:c r="Q101" s="12" t="inlineStr">
        <x:is>
          <x:t xml:space="preserve">83-0396815</x:t>
        </x:is>
      </x:c>
      <x:c r="R101" s="12" t="n">
        <x:v>2.02422259349302e+17</x:v>
      </x:c>
      <x:c r="S101" s="16" t="inlineStr">
        <x:is>
          <x:t xml:space="preserve">https://apps.irs.gov/pub/epostcard/990/xml/2024/202422259349302007_public.xml</x:t>
        </x:is>
      </x:c>
      <x:c r="T101" s="16" t="inlineStr">
        <x:is>
          <x:t xml:space="preserve">https://projects.propublica.org/nonprofits/organizations/830396815</x:t>
        </x:is>
      </x:c>
      <x:c r="U101" s="17" t="inlineStr">
        <x:is>
          <x:t xml:space="preserve">SRC-990-EXT-PROJECT-HEALTHY-CHILDREN</x:t>
        </x:is>
      </x:c>
    </x:row>
    <x:row r="102">
      <x:c r="A102" s="12" t="inlineStr">
        <x:is>
          <x:t xml:space="preserve">Environmental Law Institute</x:t>
        </x:is>
      </x:c>
      <x:c r="B102" s="12" t="inlineStr">
        <x:is>
          <x:t xml:space="preserve">H. Jordan Diamond</x:t>
        </x:is>
      </x:c>
      <x:c r="C102" s="12" t="inlineStr">
        <x:is>
          <x:t xml:space="preserve">President</x:t>
        </x:is>
      </x:c>
      <x:c r="D102" s="14" t="n">
        <x:v>2024</x:v>
      </x:c>
      <x:c r="E102" s="12" t="inlineStr">
        <x:is>
          <x:t xml:space="preserve">2025-09-18</x:t>
        </x:is>
      </x:c>
      <x:c r="F102" s="12" t="n">
        <x:v>300743</x:v>
      </x:c>
      <x:c r="G102" s="12" t="n">
        <x:v>0</x:v>
      </x:c>
      <x:c r="H102" s="12" t="n">
        <x:v>20344</x:v>
      </x:c>
      <x:c r="I102" s="14" t="n">
        <x:v>320137.3157178584</x:v>
      </x:c>
      <x:c r="J102" s="14" t="n">
        <x:v>341793.2596665592</x:v>
      </x:c>
      <x:c r="K102" s="14" t="n">
        <x:v>7186072</x:v>
      </x:c>
      <x:c r="L102" s="14" t="n">
        <x:v>8907598</x:v>
      </x:c>
      <x:c r="M102" s="12" t="n"/>
      <x:c r="N102" s="12" t="inlineStr">
        <x:is>
          <x:t xml:space="preserve">primary</x:t>
        </x:is>
      </x:c>
      <x:c r="O102" s="12" t="n"/>
      <x:c r="P102" s="12" t="inlineStr">
        <x:is>
          <x:t xml:space="preserve">none</x:t>
        </x:is>
      </x:c>
      <x:c r="Q102" s="12" t="inlineStr">
        <x:is>
          <x:t xml:space="preserve">52-0901863</x:t>
        </x:is>
      </x:c>
      <x:c r="R102" s="12" t="n">
        <x:v>2.025226193493e+17</x:v>
      </x:c>
      <x:c r="S102" s="16" t="inlineStr">
        <x:is>
          <x:t xml:space="preserve">https://apps.irs.gov/pub/epostcard/990/xml/2025/202522619349300012_public.xml</x:t>
        </x:is>
      </x:c>
      <x:c r="T102" s="16" t="inlineStr">
        <x:is>
          <x:t xml:space="preserve">https://projects.propublica.org/nonprofits/organizations/520901863</x:t>
        </x:is>
      </x:c>
      <x:c r="U102" s="17" t="inlineStr">
        <x:is>
          <x:t xml:space="preserve">SRC-990-EXT-ENVIRONMENTAL-LAW-INSTITUTE</x:t>
        </x:is>
      </x:c>
    </x:row>
    <x:row r="103">
      <x:c r="A103" s="12" t="inlineStr">
        <x:is>
          <x:t xml:space="preserve">Food Animal Concerns Trust</x:t>
        </x:is>
      </x:c>
      <x:c r="B103" s="12" t="inlineStr">
        <x:is>
          <x:t xml:space="preserve">Harry Rhodes</x:t>
        </x:is>
      </x:c>
      <x:c r="C103" s="12" t="inlineStr">
        <x:is>
          <x:t xml:space="preserve">Executive Director</x:t>
        </x:is>
      </x:c>
      <x:c r="D103" s="14" t="n">
        <x:v>2024</x:v>
      </x:c>
      <x:c r="E103" s="12" t="inlineStr">
        <x:is>
          <x:t xml:space="preserve">2026-01-14</x:t>
        </x:is>
      </x:c>
      <x:c r="F103" s="12" t="n">
        <x:v>124934</x:v>
      </x:c>
      <x:c r="G103" s="12" t="n">
        <x:v>0</x:v>
      </x:c>
      <x:c r="H103" s="12" t="n">
        <x:v>0</x:v>
      </x:c>
      <x:c r="I103" s="14" t="n">
        <x:v>132990.744263025</x:v>
      </x:c>
      <x:c r="J103" s="14" t="n">
        <x:v>132990.744263025</x:v>
      </x:c>
      <x:c r="K103" s="14" t="n">
        <x:v>901531</x:v>
      </x:c>
      <x:c r="L103" s="14" t="n">
        <x:v>1058203</x:v>
      </x:c>
      <x:c r="M103" s="12" t="n"/>
      <x:c r="N103" s="12" t="inlineStr">
        <x:is>
          <x:t xml:space="preserve">primary_with_structure_flag</x:t>
        </x:is>
      </x:c>
      <x:c r="O103" s="12" t="n"/>
      <x:c r="P103" s="12" t="inlineStr">
        <x:is>
          <x:t xml:space="preserve">well_below_scale</x:t>
        </x:is>
      </x:c>
      <x:c r="Q103" s="12" t="inlineStr">
        <x:is>
          <x:t xml:space="preserve">36-3172605</x:t>
        </x:is>
      </x:c>
      <x:c r="R103" s="12" t="n">
        <x:v>2.026201493493e+17</x:v>
      </x:c>
      <x:c r="S103" s="16" t="inlineStr">
        <x:is>
          <x:t xml:space="preserve">https://apps.irs.gov/pub/epostcard/990/xml/2026/202620149349300022_public.xml</x:t>
        </x:is>
      </x:c>
      <x:c r="T103" s="16" t="inlineStr">
        <x:is>
          <x:t xml:space="preserve">https://projects.propublica.org/nonprofits/organizations/363172605</x:t>
        </x:is>
      </x:c>
      <x:c r="U103" s="17" t="inlineStr">
        <x:is>
          <x:t xml:space="preserve">SRC-990-EXT-FOOD-ANIMAL-CONCERNS-TRUST</x:t>
        </x:is>
      </x:c>
    </x:row>
    <x:row r="104">
      <x:c r="A104" s="12" t="inlineStr">
        <x:is>
          <x:t xml:space="preserve">Center for a Humane Economy</x:t>
        </x:is>
      </x:c>
      <x:c r="B104" s="12" t="n"/>
      <x:c r="C104" s="12" t="n"/>
      <x:c r="D104" s="14" t="n">
        <x:v>2024</x:v>
      </x:c>
      <x:c r="E104" s="12" t="inlineStr">
        <x:is>
          <x:t xml:space="preserve">2025-09-02</x:t>
        </x:is>
      </x:c>
      <x:c r="F104" s="12" t="n"/>
      <x:c r="G104" s="12" t="n"/>
      <x:c r="H104" s="12" t="n"/>
      <x:c r="I104" s="14" t="n"/>
      <x:c r="J104" s="14" t="n"/>
      <x:c r="K104" s="14" t="n">
        <x:v>3869202</x:v>
      </x:c>
      <x:c r="L104" s="14" t="n">
        <x:v>3205159</x:v>
      </x:c>
      <x:c r="M104" s="12" t="n"/>
      <x:c r="N104" s="12" t="inlineStr">
        <x:is>
          <x:t xml:space="preserve">excluded_measurement</x:t>
        </x:is>
      </x:c>
      <x:c r="O104" s="13" t="inlineStr">
        <x:is>
          <x:t xml:space="preserve">No clean paid organization-wide CEO/ED observation in accessible filing table.</x:t>
        </x:is>
      </x:c>
      <x:c r="P104" s="12" t="inlineStr">
        <x:is>
          <x:t xml:space="preserve">no_clean_top_executive_observation</x:t>
        </x:is>
      </x:c>
      <x:c r="Q104" s="12" t="inlineStr">
        <x:is>
          <x:t xml:space="preserve">83-2620507</x:t>
        </x:is>
      </x:c>
      <x:c r="R104" s="12" t="n">
        <x:v>2.025024593493013e+17</x:v>
      </x:c>
      <x:c r="S104" s="16" t="inlineStr">
        <x:is>
          <x:t xml:space="preserve">https://apps.irs.gov/pub/epostcard/990/xml/2025/202502459349301350_public.xml</x:t>
        </x:is>
      </x:c>
      <x:c r="T104" s="16" t="inlineStr">
        <x:is>
          <x:t xml:space="preserve">https://projects.propublica.org/nonprofits/organizations/832620507</x:t>
        </x:is>
      </x:c>
      <x:c r="U104" s="17" t="inlineStr">
        <x:is>
          <x:t xml:space="preserve">SRC-990-EXT-CENTER-FOR-A-HUMANE-ECONOMY</x:t>
        </x:is>
      </x:c>
    </x:row>
    <x:row r="105">
      <x:c r="A105" s="12" t="inlineStr">
        <x:is>
          <x:t xml:space="preserve">Internet Security Research Group</x:t>
        </x:is>
      </x:c>
      <x:c r="B105" s="12" t="inlineStr">
        <x:is>
          <x:t xml:space="preserve">Joshua Aas</x:t>
        </x:is>
      </x:c>
      <x:c r="C105" s="12" t="inlineStr">
        <x:is>
          <x:t xml:space="preserve">Executive Director</x:t>
        </x:is>
      </x:c>
      <x:c r="D105" s="14" t="n">
        <x:v>2024</x:v>
      </x:c>
      <x:c r="E105" s="12" t="inlineStr">
        <x:is>
          <x:t xml:space="preserve">2025-07-07</x:t>
        </x:is>
      </x:c>
      <x:c r="F105" s="12" t="n">
        <x:v>352850</x:v>
      </x:c>
      <x:c r="G105" s="12" t="n">
        <x:v>0</x:v>
      </x:c>
      <x:c r="H105" s="12" t="n">
        <x:v>44856</x:v>
      </x:c>
      <x:c r="I105" s="14" t="n">
        <x:v>375604.5921303117</x:v>
      </x:c>
      <x:c r="J105" s="14" t="n">
        <x:v>423353.2660274274</x:v>
      </x:c>
      <x:c r="K105" s="14" t="n">
        <x:v>9563960</x:v>
      </x:c>
      <x:c r="L105" s="14" t="n">
        <x:v>7925896</x:v>
      </x:c>
      <x:c r="M105" s="12" t="n"/>
      <x:c r="N105" s="12" t="inlineStr">
        <x:is>
          <x:t xml:space="preserve">primary</x:t>
        </x:is>
      </x:c>
      <x:c r="O105" s="12" t="n"/>
      <x:c r="P105" s="12" t="inlineStr">
        <x:is>
          <x:t xml:space="preserve">none</x:t>
        </x:is>
      </x:c>
      <x:c r="Q105" s="12" t="inlineStr">
        <x:is>
          <x:t xml:space="preserve">46-3344200</x:t>
        </x:is>
      </x:c>
      <x:c r="R105" s="12" t="n">
        <x:v>2.025018893493006e+17</x:v>
      </x:c>
      <x:c r="S105" s="16" t="inlineStr">
        <x:is>
          <x:t xml:space="preserve">https://apps.irs.gov/pub/epostcard/990/xml/2025/202501889349300640_public.xml</x:t>
        </x:is>
      </x:c>
      <x:c r="T105" s="16" t="inlineStr">
        <x:is>
          <x:t xml:space="preserve">https://projects.propublica.org/nonprofits/organizations/463344200</x:t>
        </x:is>
      </x:c>
      <x:c r="U105" s="17" t="inlineStr">
        <x:is>
          <x:t xml:space="preserve">SRC-990-EXT-INTERNET-SECURITY-RESEARCH-GROUP</x:t>
        </x:is>
      </x:c>
    </x:row>
    <x:row r="106">
      <x:c r="A106" s="12" t="inlineStr">
        <x:is>
          <x:t xml:space="preserve">Arms Control Association</x:t>
        </x:is>
      </x:c>
      <x:c r="B106" s="12" t="inlineStr">
        <x:is>
          <x:t xml:space="preserve">Daryl Kimball</x:t>
        </x:is>
      </x:c>
      <x:c r="C106" s="12" t="inlineStr">
        <x:is>
          <x:t xml:space="preserve">Executive Director</x:t>
        </x:is>
      </x:c>
      <x:c r="D106" s="14" t="n">
        <x:v>2024</x:v>
      </x:c>
      <x:c r="E106" s="12" t="inlineStr">
        <x:is>
          <x:t xml:space="preserve">2026-05-14</x:t>
        </x:is>
      </x:c>
      <x:c r="F106" s="12" t="n">
        <x:v>124630</x:v>
      </x:c>
      <x:c r="G106" s="12" t="n">
        <x:v>0</x:v>
      </x:c>
      <x:c r="H106" s="12" t="n">
        <x:v>51984</x:v>
      </x:c>
      <x:c r="I106" s="14" t="n">
        <x:v>132667.1399098789</x:v>
      </x:c>
      <x:c r="J106" s="14" t="n">
        <x:v>188003.4842978684</x:v>
      </x:c>
      <x:c r="K106" s="14" t="n">
        <x:v>1490547</x:v>
      </x:c>
      <x:c r="L106" s="14" t="n">
        <x:v>1689329</x:v>
      </x:c>
      <x:c r="M106" s="12" t="n"/>
      <x:c r="N106" s="12" t="inlineStr">
        <x:is>
          <x:t xml:space="preserve">primary_with_structure_flag</x:t>
        </x:is>
      </x:c>
      <x:c r="O106" s="12" t="n"/>
      <x:c r="P106" s="12" t="inlineStr">
        <x:is>
          <x:t xml:space="preserve">well_below_scale</x:t>
        </x:is>
      </x:c>
      <x:c r="Q106" s="12" t="inlineStr">
        <x:is>
          <x:t xml:space="preserve">23-7124588</x:t>
        </x:is>
      </x:c>
      <x:c r="R106" s="12" t="n">
        <x:v>2.026213493493079e+17</x:v>
      </x:c>
      <x:c r="S106" s="16" t="inlineStr">
        <x:is>
          <x:t xml:space="preserve">https://apps.irs.gov/pub/epostcard/990/xml/2026/202621349349307892_public.xml</x:t>
        </x:is>
      </x:c>
      <x:c r="T106" s="16" t="inlineStr">
        <x:is>
          <x:t xml:space="preserve">https://projects.propublica.org/nonprofits/organizations/237124588</x:t>
        </x:is>
      </x:c>
      <x:c r="U106" s="17" t="inlineStr">
        <x:is>
          <x:t xml:space="preserve">SRC-990-EXT-ARMS-CONTROL-ASSOCIATION</x:t>
        </x:is>
      </x:c>
    </x:row>
    <x:row r="107">
      <x:c r="A107" s="12" t="inlineStr">
        <x:is>
          <x:t xml:space="preserve">Physicians for Social Responsibility</x:t>
        </x:is>
      </x:c>
      <x:c r="B107" s="12" t="inlineStr">
        <x:is>
          <x:t xml:space="preserve">Brian Campbell</x:t>
        </x:is>
      </x:c>
      <x:c r="C107" s="12" t="inlineStr">
        <x:is>
          <x:t xml:space="preserve">Executive Director</x:t>
        </x:is>
      </x:c>
      <x:c r="D107" s="14" t="n">
        <x:v>2024</x:v>
      </x:c>
      <x:c r="E107" s="12" t="inlineStr">
        <x:is>
          <x:t xml:space="preserve">2025-10-01</x:t>
        </x:is>
      </x:c>
      <x:c r="F107" s="12" t="n">
        <x:v>150000</x:v>
      </x:c>
      <x:c r="G107" s="12" t="n">
        <x:v>0</x:v>
      </x:c>
      <x:c r="H107" s="12" t="n">
        <x:v>3000</x:v>
      </x:c>
      <x:c r="I107" s="14" t="n">
        <x:v>159673.2005655286</x:v>
      </x:c>
      <x:c r="J107" s="14" t="n">
        <x:v>162866.6645768392</x:v>
      </x:c>
      <x:c r="K107" s="14" t="n">
        <x:v>1615747</x:v>
      </x:c>
      <x:c r="L107" s="14" t="n">
        <x:v>2180066</x:v>
      </x:c>
      <x:c r="M107" s="12" t="n"/>
      <x:c r="N107" s="12" t="inlineStr">
        <x:is>
          <x:t xml:space="preserve">primary_with_structure_flag</x:t>
        </x:is>
      </x:c>
      <x:c r="O107" s="12" t="n"/>
      <x:c r="P107" s="12" t="inlineStr">
        <x:is>
          <x:t xml:space="preserve">well_below_scale_membership_advocacy</x:t>
        </x:is>
      </x:c>
      <x:c r="Q107" s="12" t="inlineStr">
        <x:is>
          <x:t xml:space="preserve">23-7059731</x:t>
        </x:is>
      </x:c>
      <x:c r="R107" s="12" t="n">
        <x:v>2.025127493493015e+17</x:v>
      </x:c>
      <x:c r="S107" s="16" t="inlineStr">
        <x:is>
          <x:t xml:space="preserve">https://apps.irs.gov/pub/epostcard/990/xml/2025/202512749349301461_public.xml</x:t>
        </x:is>
      </x:c>
      <x:c r="T107" s="16" t="inlineStr">
        <x:is>
          <x:t xml:space="preserve">https://projects.propublica.org/nonprofits/organizations/237059731</x:t>
        </x:is>
      </x:c>
      <x:c r="U107" s="16" t="inlineStr">
        <x:is>
          <x:t xml:space="preserve">SRC-990-EXT-PHYSICIANS-FOR-SOCIAL-RESPONSIBILITY</x:t>
        </x:is>
      </x:c>
    </x:row>
    <x:row r="108">
      <x:c r="A108" s="12" t="inlineStr">
        <x:is>
          <x:t xml:space="preserve">Center for AI and Digital Policy</x:t>
        </x:is>
      </x:c>
      <x:c r="B108" s="12" t="inlineStr">
        <x:is>
          <x:t xml:space="preserve">Merve Hickok</x:t>
        </x:is>
      </x:c>
      <x:c r="C108" s="12" t="inlineStr">
        <x:is>
          <x:t xml:space="preserve">President</x:t>
        </x:is>
      </x:c>
      <x:c r="D108" s="14" t="n">
        <x:v>2025</x:v>
      </x:c>
      <x:c r="E108" s="12" t="inlineStr">
        <x:is>
          <x:t xml:space="preserve">2026-05-15</x:t>
        </x:is>
      </x:c>
      <x:c r="F108" s="12" t="n">
        <x:v>90500</x:v>
      </x:c>
      <x:c r="G108" s="12" t="n">
        <x:v>0</x:v>
      </x:c>
      <x:c r="H108" s="12" t="n">
        <x:v>0</x:v>
      </x:c>
      <x:c r="I108" s="14" t="n">
        <x:v>93866.24029719549</x:v>
      </x:c>
      <x:c r="J108" s="14" t="n">
        <x:v>93866.24029719549</x:v>
      </x:c>
      <x:c r="K108" s="14" t="n">
        <x:v>501578</x:v>
      </x:c>
      <x:c r="L108" s="14" t="n">
        <x:v>656889</x:v>
      </x:c>
      <x:c r="M108" s="12" t="n"/>
      <x:c r="N108" s="12" t="inlineStr">
        <x:is>
          <x:t xml:space="preserve">structural_sensitivity</x:t>
        </x:is>
      </x:c>
      <x:c r="O108" s="12" t="n"/>
      <x:c r="P108" s="12" t="inlineStr">
        <x:is>
          <x:t xml:space="preserve">dual_top_leadership_and_far_below_scale</x:t>
        </x:is>
      </x:c>
      <x:c r="Q108" s="12" t="inlineStr">
        <x:is>
          <x:t xml:space="preserve">86-3350258</x:t>
        </x:is>
      </x:c>
      <x:c r="R108" s="12" t="n">
        <x:v>2.026313593493028e+17</x:v>
      </x:c>
      <x:c r="S108" s="16" t="inlineStr">
        <x:is>
          <x:t xml:space="preserve">https://apps.irs.gov/pub/epostcard/990/xml/2026/202631359349302858_public.xml</x:t>
        </x:is>
      </x:c>
      <x:c r="T108" s="16" t="inlineStr">
        <x:is>
          <x:t xml:space="preserve">https://projects.propublica.org/nonprofits/organizations/863350258</x:t>
        </x:is>
      </x:c>
      <x:c r="U108" s="17" t="inlineStr">
        <x:is>
          <x:t xml:space="preserve">SRC-990-EXT-CENTER-FOR-AI-AND-DIGITAL-POLICY</x:t>
        </x:is>
      </x:c>
    </x:row>
    <x:row r="109">
      <x:c r="A109" s="12" t="inlineStr">
        <x:is>
          <x:t xml:space="preserve">Open Technology Fund</x:t>
        </x:is>
      </x:c>
      <x:c r="B109" s="12" t="inlineStr">
        <x:is>
          <x:t xml:space="preserve">Laura Cunningham</x:t>
        </x:is>
      </x:c>
      <x:c r="C109" s="12" t="inlineStr">
        <x:is>
          <x:t xml:space="preserve">President</x:t>
        </x:is>
      </x:c>
      <x:c r="D109" s="14" t="n">
        <x:v>2023</x:v>
      </x:c>
      <x:c r="E109" s="12" t="inlineStr">
        <x:is>
          <x:t xml:space="preserve">2025-08-12</x:t>
        </x:is>
      </x:c>
      <x:c r="F109" s="12" t="n">
        <x:v>231659</x:v>
      </x:c>
      <x:c r="G109" s="12" t="n">
        <x:v>0</x:v>
      </x:c>
      <x:c r="H109" s="12" t="n">
        <x:v>14821</x:v>
      </x:c>
      <x:c r="I109" s="14" t="n">
        <x:v>253871.7033097137</x:v>
      </x:c>
      <x:c r="J109" s="14" t="n">
        <x:v>270113.8200189858</x:v>
      </x:c>
      <x:c r="K109" s="14" t="n">
        <x:v>50635708</x:v>
      </x:c>
      <x:c r="L109" s="14" t="n">
        <x:v>50950076</x:v>
      </x:c>
      <x:c r="M109" s="12" t="n"/>
      <x:c r="N109" s="12" t="inlineStr">
        <x:is>
          <x:t xml:space="preserve">structural_sensitivity</x:t>
        </x:is>
      </x:c>
      <x:c r="O109" s="12" t="n"/>
      <x:c r="P109" s="12" t="inlineStr">
        <x:is>
          <x:t xml:space="preserve">grantmaking_pass_through_and_large_scale</x:t>
        </x:is>
      </x:c>
      <x:c r="Q109" s="12" t="inlineStr">
        <x:is>
          <x:t xml:space="preserve">84-3126447</x:t>
        </x:is>
      </x:c>
      <x:c r="R109" s="12" t="n">
        <x:v>2.025022493493028e+17</x:v>
      </x:c>
      <x:c r="S109" s="16" t="inlineStr">
        <x:is>
          <x:t xml:space="preserve">https://apps.irs.gov/pub/epostcard/990/xml/2025/202502249349302770_public.xml</x:t>
        </x:is>
      </x:c>
      <x:c r="T109" s="16" t="inlineStr">
        <x:is>
          <x:t xml:space="preserve">https://projects.propublica.org/nonprofits/organizations/843126447</x:t>
        </x:is>
      </x:c>
      <x:c r="U109" s="17" t="inlineStr">
        <x:is>
          <x:t xml:space="preserve">SRC-990-EXT-OPEN-TECHNOLOGY-FUND</x:t>
        </x:is>
      </x:c>
    </x:row>
    <x:row r="110">
      <x:c r="A110" s="12" t="inlineStr">
        <x:is>
          <x:t xml:space="preserve">Institute for the Study of War</x:t>
        </x:is>
      </x:c>
      <x:c r="B110" s="12" t="inlineStr">
        <x:is>
          <x:t xml:space="preserve">Kimberly Kagan</x:t>
        </x:is>
      </x:c>
      <x:c r="C110" s="12" t="inlineStr">
        <x:is>
          <x:t xml:space="preserve">President</x:t>
        </x:is>
      </x:c>
      <x:c r="D110" s="14" t="n">
        <x:v>2024</x:v>
      </x:c>
      <x:c r="E110" s="12" t="inlineStr">
        <x:is>
          <x:t xml:space="preserve">2025-10-17</x:t>
        </x:is>
      </x:c>
      <x:c r="F110" s="12" t="n">
        <x:v>221040</x:v>
      </x:c>
      <x:c r="G110" s="12" t="n">
        <x:v>0</x:v>
      </x:c>
      <x:c r="H110" s="12" t="n">
        <x:v>8400</x:v>
      </x:c>
      <x:c r="I110" s="14" t="n">
        <x:v>235294.4283533629</x:v>
      </x:c>
      <x:c r="J110" s="14" t="n">
        <x:v>244236.1275850325</x:v>
      </x:c>
      <x:c r="K110" s="14" t="n">
        <x:v>8244937</x:v>
      </x:c>
      <x:c r="L110" s="14" t="n">
        <x:v>6699775</x:v>
      </x:c>
      <x:c r="M110" s="12" t="n"/>
      <x:c r="N110" s="12" t="inlineStr">
        <x:is>
          <x:t xml:space="preserve">primary</x:t>
        </x:is>
      </x:c>
      <x:c r="O110" s="12" t="n"/>
      <x:c r="P110" s="12" t="inlineStr">
        <x:is>
          <x:t xml:space="preserve">none</x:t>
        </x:is>
      </x:c>
      <x:c r="Q110" s="12" t="inlineStr">
        <x:is>
          <x:t xml:space="preserve">26-0273675</x:t>
        </x:is>
      </x:c>
      <x:c r="R110" s="12" t="n">
        <x:v>2.025029093493017e+17</x:v>
      </x:c>
      <x:c r="S110" s="16" t="inlineStr">
        <x:is>
          <x:t xml:space="preserve">https://apps.irs.gov/pub/epostcard/990/xml/2025/202502909349301720_public.xml</x:t>
        </x:is>
      </x:c>
      <x:c r="T110" s="16" t="inlineStr">
        <x:is>
          <x:t xml:space="preserve">https://projects.propublica.org/nonprofits/organizations/260273675</x:t>
        </x:is>
      </x:c>
      <x:c r="U110" s="17" t="inlineStr">
        <x:is>
          <x:t xml:space="preserve">SRC-990-EXT-INSTITUTE-FOR-THE-STUDY-OF-WAR</x:t>
        </x:is>
      </x:c>
    </x:row>
    <x:row r="111">
      <x:c r="A111" s="12" t="inlineStr">
        <x:is>
          <x:t xml:space="preserve">Ploughshares Fund</x:t>
        </x:is>
      </x:c>
      <x:c r="B111" s="12" t="inlineStr">
        <x:is>
          <x:t xml:space="preserve">Emma Belcher</x:t>
        </x:is>
      </x:c>
      <x:c r="C111" s="12" t="inlineStr">
        <x:is>
          <x:t xml:space="preserve">President</x:t>
        </x:is>
      </x:c>
      <x:c r="D111" s="14" t="n">
        <x:v>2024</x:v>
      </x:c>
      <x:c r="E111" s="12" t="inlineStr">
        <x:is>
          <x:t xml:space="preserve">2026-04-07</x:t>
        </x:is>
      </x:c>
      <x:c r="F111" s="12" t="n">
        <x:v>402031</x:v>
      </x:c>
      <x:c r="G111" s="12" t="n">
        <x:v>0</x:v>
      </x:c>
      <x:c r="H111" s="12" t="n">
        <x:v>43205</x:v>
      </x:c>
      <x:c r="I111" s="14" t="n">
        <x:v>427957.1766437335</x:v>
      </x:c>
      <x:c r="J111" s="14" t="n">
        <x:v>473948.3808466246</x:v>
      </x:c>
      <x:c r="K111" s="14" t="n">
        <x:v>5221356</x:v>
      </x:c>
      <x:c r="L111" s="14" t="n">
        <x:v>7613345</x:v>
      </x:c>
      <x:c r="M111" s="12" t="n"/>
      <x:c r="N111" s="12" t="inlineStr">
        <x:is>
          <x:t xml:space="preserve">structural_sensitivity</x:t>
        </x:is>
      </x:c>
      <x:c r="O111" s="12" t="n"/>
      <x:c r="P111" s="12" t="inlineStr">
        <x:is>
          <x:t xml:space="preserve">grantmaking_and_dual_top_leadership</x:t>
        </x:is>
      </x:c>
      <x:c r="Q111" s="12" t="inlineStr">
        <x:is>
          <x:t xml:space="preserve">94-2764520</x:t>
        </x:is>
      </x:c>
      <x:c r="R111" s="12" t="n">
        <x:v>2.026209793493001e+17</x:v>
      </x:c>
      <x:c r="S111" s="16" t="inlineStr">
        <x:is>
          <x:t xml:space="preserve">https://apps.irs.gov/pub/epostcard/990/xml/2026/202620979349300102_public.xml</x:t>
        </x:is>
      </x:c>
      <x:c r="T111" s="16" t="inlineStr">
        <x:is>
          <x:t xml:space="preserve">https://projects.propublica.org/nonprofits/organizations/942764520</x:t>
        </x:is>
      </x:c>
      <x:c r="U111" s="17" t="inlineStr">
        <x:is>
          <x:t xml:space="preserve">SRC-990-EXT-PLOUGHSHARES-FUND</x:t>
        </x:is>
      </x:c>
    </x:row>
    <x:row r="112">
      <x:c r="A112" s="12" t="inlineStr">
        <x:is>
          <x:t xml:space="preserve">Learning Policy Institute</x:t>
        </x:is>
      </x:c>
      <x:c r="B112" s="12" t="inlineStr">
        <x:is>
          <x:t xml:space="preserve">Linda Darling-Hammond</x:t>
        </x:is>
      </x:c>
      <x:c r="C112" s="12" t="inlineStr">
        <x:is>
          <x:t xml:space="preserve">Director/CEO</x:t>
        </x:is>
      </x:c>
      <x:c r="D112" s="14" t="n">
        <x:v>2024</x:v>
      </x:c>
      <x:c r="E112" s="12" t="inlineStr">
        <x:is>
          <x:t xml:space="preserve">2025-11-14</x:t>
        </x:is>
      </x:c>
      <x:c r="F112" s="12" t="n">
        <x:v>493225</x:v>
      </x:c>
      <x:c r="G112" s="12" t="n">
        <x:v>0</x:v>
      </x:c>
      <x:c r="H112" s="12" t="n">
        <x:v>83122</x:v>
      </x:c>
      <x:c r="I112" s="14" t="n">
        <x:v>525032.0956595523</x:v>
      </x:c>
      <x:c r="J112" s="14" t="n">
        <x:v>613514.467508938</x:v>
      </x:c>
      <x:c r="K112" s="14" t="n">
        <x:v>10514616</x:v>
      </x:c>
      <x:c r="L112" s="14" t="n">
        <x:v>16502674</x:v>
      </x:c>
      <x:c r="M112" s="12" t="n"/>
      <x:c r="N112" s="12" t="inlineStr">
        <x:is>
          <x:t xml:space="preserve">primary_with_structure_flag</x:t>
        </x:is>
      </x:c>
      <x:c r="O112" s="12" t="n"/>
      <x:c r="P112" s="12" t="inlineStr">
        <x:is>
          <x:t xml:space="preserve">dual_senior_executive</x:t>
        </x:is>
      </x:c>
      <x:c r="Q112" s="12" t="inlineStr">
        <x:is>
          <x:t xml:space="preserve">47-2772048</x:t>
        </x:is>
      </x:c>
      <x:c r="R112" s="12" t="n">
        <x:v>2.025031793493121e+17</x:v>
      </x:c>
      <x:c r="S112" s="16" t="inlineStr">
        <x:is>
          <x:t xml:space="preserve">https://apps.irs.gov/pub/epostcard/990/xml/2025/202503179349312065_public.xml</x:t>
        </x:is>
      </x:c>
      <x:c r="T112" s="16" t="inlineStr">
        <x:is>
          <x:t xml:space="preserve">https://projects.propublica.org/nonprofits/organizations/472772048</x:t>
        </x:is>
      </x:c>
      <x:c r="U112" s="17" t="inlineStr">
        <x:is>
          <x:t xml:space="preserve">SRC-990-EXT3-LEARNING-POLICY-INSTITUTE</x:t>
        </x:is>
      </x:c>
    </x:row>
    <x:row r="113">
      <x:c r="A113" s="12" t="inlineStr">
        <x:is>
          <x:t xml:space="preserve">Center for Health Care Strategies</x:t>
        </x:is>
      </x:c>
      <x:c r="B113" s="12" t="inlineStr">
        <x:is>
          <x:t xml:space="preserve">Allison Hamblin</x:t>
        </x:is>
      </x:c>
      <x:c r="C113" s="12" t="inlineStr">
        <x:is>
          <x:t xml:space="preserve">President &amp; CEO</x:t>
        </x:is>
      </x:c>
      <x:c r="D113" s="14" t="n">
        <x:v>2024</x:v>
      </x:c>
      <x:c r="E113" s="12" t="inlineStr">
        <x:is>
          <x:t xml:space="preserve">2026-05-08</x:t>
        </x:is>
      </x:c>
      <x:c r="F113" s="12" t="n">
        <x:v>328553</x:v>
      </x:c>
      <x:c r="G113" s="12" t="n">
        <x:v>0</x:v>
      </x:c>
      <x:c r="H113" s="12" t="n">
        <x:v>67345</x:v>
      </x:c>
      <x:c r="I113" s="14" t="n">
        <x:v>349740.7271027074</x:v>
      </x:c>
      <x:c r="J113" s="14" t="n">
        <x:v>421428.6717166109</x:v>
      </x:c>
      <x:c r="K113" s="14" t="n">
        <x:v>11574666</x:v>
      </x:c>
      <x:c r="L113" s="14" t="n">
        <x:v>12363722</x:v>
      </x:c>
      <x:c r="M113" s="12" t="n"/>
      <x:c r="N113" s="12" t="inlineStr">
        <x:is>
          <x:t xml:space="preserve">primary</x:t>
        </x:is>
      </x:c>
      <x:c r="O113" s="12" t="n"/>
      <x:c r="P113" s="12" t="inlineStr">
        <x:is>
          <x:t xml:space="preserve">none</x:t>
        </x:is>
      </x:c>
      <x:c r="Q113" s="12" t="inlineStr">
        <x:is>
          <x:t xml:space="preserve">22-3375015</x:t>
        </x:is>
      </x:c>
      <x:c r="R113" s="12" t="n">
        <x:v>2.026312793493046e+17</x:v>
      </x:c>
      <x:c r="S113" s="16" t="inlineStr">
        <x:is>
          <x:t xml:space="preserve">https://apps.irs.gov/pub/epostcard/990/xml/2026/202631279349304653_public.xml</x:t>
        </x:is>
      </x:c>
      <x:c r="T113" s="16" t="inlineStr">
        <x:is>
          <x:t xml:space="preserve">https://projects.propublica.org/nonprofits/organizations/223375015</x:t>
        </x:is>
      </x:c>
      <x:c r="U113" s="16" t="inlineStr">
        <x:is>
          <x:t xml:space="preserve">SRC-990-EXT3-CENTER-FOR-HEALTH-CARE-STRATEGIES</x:t>
        </x:is>
      </x:c>
    </x:row>
    <x:row r="114">
      <x:c r="A114" s="12" t="inlineStr">
        <x:is>
          <x:t xml:space="preserve">National Academy for State Health Policy</x:t>
        </x:is>
      </x:c>
      <x:c r="B114" s="12" t="inlineStr">
        <x:is>
          <x:t xml:space="preserve">Hemi Tewarson</x:t>
        </x:is>
      </x:c>
      <x:c r="C114" s="12" t="inlineStr">
        <x:is>
          <x:t xml:space="preserve">President / Executive Director</x:t>
        </x:is>
      </x:c>
      <x:c r="D114" s="14" t="n">
        <x:v>2024</x:v>
      </x:c>
      <x:c r="E114" s="12" t="inlineStr">
        <x:is>
          <x:t xml:space="preserve">2025-11-13</x:t>
        </x:is>
      </x:c>
      <x:c r="F114" s="12" t="n">
        <x:v>404414</x:v>
      </x:c>
      <x:c r="G114" s="12" t="n">
        <x:v>0</x:v>
      </x:c>
      <x:c r="H114" s="12" t="n">
        <x:v>53206</x:v>
      </x:c>
      <x:c r="I114" s="14" t="n">
        <x:v>430493.8515567179</x:v>
      </x:c>
      <x:c r="J114" s="14" t="n">
        <x:v>487131.0002853146</x:v>
      </x:c>
      <x:c r="K114" s="14" t="n">
        <x:v>10917630</x:v>
      </x:c>
      <x:c r="L114" s="14" t="n">
        <x:v>11008991</x:v>
      </x:c>
      <x:c r="M114" s="12" t="n"/>
      <x:c r="N114" s="12" t="inlineStr">
        <x:is>
          <x:t xml:space="preserve">primary</x:t>
        </x:is>
      </x:c>
      <x:c r="O114" s="12" t="n"/>
      <x:c r="P114" s="12" t="inlineStr">
        <x:is>
          <x:t xml:space="preserve">none</x:t>
        </x:is>
      </x:c>
      <x:c r="Q114" s="12" t="inlineStr">
        <x:is>
          <x:t xml:space="preserve">52-1576801</x:t>
        </x:is>
      </x:c>
      <x:c r="R114" s="12" t="n">
        <x:v>2.025031793493028e+17</x:v>
      </x:c>
      <x:c r="S114" s="16" t="inlineStr">
        <x:is>
          <x:t xml:space="preserve">https://apps.irs.gov/pub/epostcard/990/xml/2025/202503179349302775_public.xml</x:t>
        </x:is>
      </x:c>
      <x:c r="T114" s="16" t="inlineStr">
        <x:is>
          <x:t xml:space="preserve">https://projects.propublica.org/nonprofits/organizations/521576801</x:t>
        </x:is>
      </x:c>
      <x:c r="U114" s="16" t="inlineStr">
        <x:is>
          <x:t xml:space="preserve">SRC-990-EXT3-NATIONAL-ACADEMY-FOR-STATE-HEALTH-POLICY</x:t>
        </x:is>
      </x:c>
    </x:row>
    <x:row r="115">
      <x:c r="A115" s="12" t="inlineStr">
        <x:is>
          <x:t xml:space="preserve">Carbon Mapper</x:t>
        </x:is>
      </x:c>
      <x:c r="B115" s="12" t="inlineStr">
        <x:is>
          <x:t xml:space="preserve">Riley Duren</x:t>
        </x:is>
      </x:c>
      <x:c r="C115" s="12" t="inlineStr">
        <x:is>
          <x:t xml:space="preserve">Director &amp; CEO</x:t>
        </x:is>
      </x:c>
      <x:c r="D115" s="14" t="n">
        <x:v>2024</x:v>
      </x:c>
      <x:c r="E115" s="12" t="inlineStr">
        <x:is>
          <x:t xml:space="preserve">2026-01-08</x:t>
        </x:is>
      </x:c>
      <x:c r="F115" s="12" t="n">
        <x:v>273487</x:v>
      </x:c>
      <x:c r="G115" s="12" t="n">
        <x:v>0</x:v>
      </x:c>
      <x:c r="H115" s="12" t="n">
        <x:v>27410</x:v>
      </x:c>
      <x:c r="I115" s="14" t="n">
        <x:v>291123.6306870981</x:v>
      </x:c>
      <x:c r="J115" s="14" t="n">
        <x:v>320301.246870439</x:v>
      </x:c>
      <x:c r="K115" s="14" t="n">
        <x:v>42000541</x:v>
      </x:c>
      <x:c r="L115" s="14" t="n">
        <x:v>16084459</x:v>
      </x:c>
      <x:c r="M115" s="12" t="n"/>
      <x:c r="N115" s="12" t="inlineStr">
        <x:is>
          <x:t xml:space="preserve">primary_with_structure_flag</x:t>
        </x:is>
      </x:c>
      <x:c r="O115" s="12" t="n"/>
      <x:c r="P115" s="12" t="inlineStr">
        <x:is>
          <x:t xml:space="preserve">large_revenue_spike_and_technical_delivery</x:t>
        </x:is>
      </x:c>
      <x:c r="Q115" s="12" t="inlineStr">
        <x:is>
          <x:t xml:space="preserve">85-3149996</x:t>
        </x:is>
      </x:c>
      <x:c r="R115" s="12" t="n">
        <x:v>2.026301393493008e+17</x:v>
      </x:c>
      <x:c r="S115" s="16" t="inlineStr">
        <x:is>
          <x:t xml:space="preserve">https://apps.irs.gov/pub/epostcard/990/xml/2026/202630139349300833_public.xml</x:t>
        </x:is>
      </x:c>
      <x:c r="T115" s="16" t="inlineStr">
        <x:is>
          <x:t xml:space="preserve">https://projects.propublica.org/nonprofits/organizations/853149996</x:t>
        </x:is>
      </x:c>
      <x:c r="U115" s="17" t="inlineStr">
        <x:is>
          <x:t xml:space="preserve">SRC-990-EXT3-CARBON-MAPPER</x:t>
        </x:is>
      </x:c>
    </x:row>
    <x:row r="116">
      <x:c r="A116" s="12" t="inlineStr">
        <x:is>
          <x:t xml:space="preserve">Center for Arms Control and Non-Proliferation</x:t>
        </x:is>
      </x:c>
      <x:c r="B116" s="12" t="inlineStr">
        <x:is>
          <x:t xml:space="preserve">John Tierney</x:t>
        </x:is>
      </x:c>
      <x:c r="C116" s="12" t="inlineStr">
        <x:is>
          <x:t xml:space="preserve">Executive Director</x:t>
        </x:is>
      </x:c>
      <x:c r="D116" s="14" t="n">
        <x:v>2024</x:v>
      </x:c>
      <x:c r="E116" s="12" t="inlineStr">
        <x:is>
          <x:t xml:space="preserve">2025-11-13</x:t>
        </x:is>
      </x:c>
      <x:c r="F116" s="12" t="n">
        <x:v>265891</x:v>
      </x:c>
      <x:c r="G116" s="12" t="n">
        <x:v>0</x:v>
      </x:c>
      <x:c r="H116" s="12" t="n">
        <x:v>11467</x:v>
      </x:c>
      <x:c r="I116" s="14" t="n">
        <x:v>283037.7798104598</x:v>
      </x:c>
      <x:c r="J116" s="14" t="n">
        <x:v>295244.2637496925</x:v>
      </x:c>
      <x:c r="K116" s="14" t="n">
        <x:v>1289993</x:v>
      </x:c>
      <x:c r="L116" s="14" t="n">
        <x:v>1490265</x:v>
      </x:c>
      <x:c r="M116" s="12" t="n"/>
      <x:c r="N116" s="12" t="inlineStr">
        <x:is>
          <x:t xml:space="preserve">primary</x:t>
        </x:is>
      </x:c>
      <x:c r="O116" s="12" t="n"/>
      <x:c r="P116" s="12" t="inlineStr">
        <x:is>
          <x:t xml:space="preserve">well_below_scale</x:t>
        </x:is>
      </x:c>
      <x:c r="Q116" s="12" t="inlineStr">
        <x:is>
          <x:t xml:space="preserve">04-2693322</x:t>
        </x:is>
      </x:c>
      <x:c r="R116" s="12" t="n">
        <x:v>2.025231793493047e+17</x:v>
      </x:c>
      <x:c r="S116" s="16" t="inlineStr">
        <x:is>
          <x:t xml:space="preserve">https://apps.irs.gov/pub/epostcard/990/xml/2025/202523179349304722_public.xml</x:t>
        </x:is>
      </x:c>
      <x:c r="T116" s="16" t="inlineStr">
        <x:is>
          <x:t xml:space="preserve">https://projects.propublica.org/nonprofits/organizations/42693322</x:t>
        </x:is>
      </x:c>
      <x:c r="U116" s="16" t="inlineStr">
        <x:is>
          <x:t xml:space="preserve">SRC-990-EXT3-CENTER-FOR-ARMS-CONTROL-AND-NON-PROLIFERATION</x:t>
        </x:is>
      </x:c>
    </x:row>
    <x:row r="117">
      <x:c r="A117" s="12" t="inlineStr">
        <x:is>
          <x:t xml:space="preserve">Nuclear Innovation Alliance</x:t>
        </x:is>
      </x:c>
      <x:c r="B117" s="12" t="inlineStr">
        <x:is>
          <x:t xml:space="preserve">Judith Greenwald</x:t>
        </x:is>
      </x:c>
      <x:c r="C117" s="12" t="inlineStr">
        <x:is>
          <x:t xml:space="preserve">Executive Director</x:t>
        </x:is>
      </x:c>
      <x:c r="D117" s="14" t="n">
        <x:v>2025</x:v>
      </x:c>
      <x:c r="E117" s="12" t="inlineStr">
        <x:is>
          <x:t xml:space="preserve">2026-05-13</x:t>
        </x:is>
      </x:c>
      <x:c r="F117" s="12" t="n">
        <x:v>288827</x:v>
      </x:c>
      <x:c r="G117" s="12" t="n">
        <x:v>0</x:v>
      </x:c>
      <x:c r="H117" s="12" t="n">
        <x:v>9285</x:v>
      </x:c>
      <x:c r="I117" s="14" t="n">
        <x:v>299570.2164234042</x:v>
      </x:c>
      <x:c r="J117" s="14" t="n">
        <x:v>309200.5815190888</x:v>
      </x:c>
      <x:c r="K117" s="14" t="n">
        <x:v>3029822</x:v>
      </x:c>
      <x:c r="L117" s="14" t="n">
        <x:v>1898039</x:v>
      </x:c>
      <x:c r="M117" s="12" t="n"/>
      <x:c r="N117" s="12" t="inlineStr">
        <x:is>
          <x:t xml:space="preserve">primary</x:t>
        </x:is>
      </x:c>
      <x:c r="O117" s="12" t="n"/>
      <x:c r="P117" s="12" t="inlineStr">
        <x:is>
          <x:t xml:space="preserve">well_below_scale</x:t>
        </x:is>
      </x:c>
      <x:c r="Q117" s="12" t="inlineStr">
        <x:is>
          <x:t xml:space="preserve">37-1859117</x:t>
        </x:is>
      </x:c>
      <x:c r="R117" s="12" t="n">
        <x:v>2.026213393493018e+17</x:v>
      </x:c>
      <x:c r="S117" s="16" t="inlineStr">
        <x:is>
          <x:t xml:space="preserve">https://apps.irs.gov/pub/epostcard/990/xml/2026/202621339349301817_public.xml</x:t>
        </x:is>
      </x:c>
      <x:c r="T117" s="16" t="inlineStr">
        <x:is>
          <x:t xml:space="preserve">https://projects.propublica.org/nonprofits/organizations/371859117</x:t>
        </x:is>
      </x:c>
      <x:c r="U117" s="17" t="inlineStr">
        <x:is>
          <x:t xml:space="preserve">SRC-990-EXT3-NUCLEAR-INNOVATION-ALLIANCE</x:t>
        </x:is>
      </x:c>
    </x:row>
    <x:row r="118">
      <x:c r="A118" s="12" t="inlineStr">
        <x:is>
          <x:t xml:space="preserve">Center for International Policy</x:t>
        </x:is>
      </x:c>
      <x:c r="B118" s="12" t="inlineStr">
        <x:is>
          <x:t xml:space="preserve">Nancy Okail</x:t>
        </x:is>
      </x:c>
      <x:c r="C118" s="12" t="inlineStr">
        <x:is>
          <x:t xml:space="preserve">President &amp; CEO</x:t>
        </x:is>
      </x:c>
      <x:c r="D118" s="14" t="n">
        <x:v>2024</x:v>
      </x:c>
      <x:c r="E118" s="12" t="inlineStr">
        <x:is>
          <x:t xml:space="preserve">2025-11-14</x:t>
        </x:is>
      </x:c>
      <x:c r="F118" s="12" t="n">
        <x:v>208814</x:v>
      </x:c>
      <x:c r="G118" s="12" t="n">
        <x:v>0</x:v>
      </x:c>
      <x:c r="H118" s="12" t="n">
        <x:v>18062</x:v>
      </x:c>
      <x:c r="I118" s="14" t="n">
        <x:v>222279.9980192686</x:v>
      </x:c>
      <x:c r="J118" s="14" t="n">
        <x:v>241506.7803433657</x:v>
      </x:c>
      <x:c r="K118" s="14" t="n">
        <x:v>817220</x:v>
      </x:c>
      <x:c r="L118" s="14" t="n">
        <x:v>2149942</x:v>
      </x:c>
      <x:c r="M118" s="12" t="n"/>
      <x:c r="N118" s="12" t="inlineStr">
        <x:is>
          <x:t xml:space="preserve">primary</x:t>
        </x:is>
      </x:c>
      <x:c r="O118" s="12" t="n"/>
      <x:c r="P118" s="12" t="inlineStr">
        <x:is>
          <x:t xml:space="preserve">well_below_scale_and_deficit_year</x:t>
        </x:is>
      </x:c>
      <x:c r="Q118" s="12" t="inlineStr">
        <x:is>
          <x:t xml:space="preserve">52-1446207</x:t>
        </x:is>
      </x:c>
      <x:c r="R118" s="12" t="n">
        <x:v>2.025131893493095e+17</x:v>
      </x:c>
      <x:c r="S118" s="16" t="inlineStr">
        <x:is>
          <x:t xml:space="preserve">https://apps.irs.gov/pub/epostcard/990/xml/2025/202513189349309501_public.xml</x:t>
        </x:is>
      </x:c>
      <x:c r="T118" s="16" t="inlineStr">
        <x:is>
          <x:t xml:space="preserve">https://projects.propublica.org/nonprofits/organizations/521446207</x:t>
        </x:is>
      </x:c>
      <x:c r="U118" s="17" t="inlineStr">
        <x:is>
          <x:t xml:space="preserve">SRC-990-EXT3-CENTER-FOR-INTERNATIONAL-POLICY</x:t>
        </x:is>
      </x:c>
    </x:row>
    <x:row r="119">
      <x:c r="A119" s="12" t="inlineStr">
        <x:is>
          <x:t xml:space="preserve">American Security Project</x:t>
        </x:is>
      </x:c>
      <x:c r="B119" s="12" t="inlineStr">
        <x:is>
          <x:t xml:space="preserve">Matthew Wallin</x:t>
        </x:is>
      </x:c>
      <x:c r="C119" s="12" t="inlineStr">
        <x:is>
          <x:t xml:space="preserve">CEO / Treasurer</x:t>
        </x:is>
      </x:c>
      <x:c r="D119" s="14" t="n">
        <x:v>2024</x:v>
      </x:c>
      <x:c r="E119" s="12" t="inlineStr">
        <x:is>
          <x:t xml:space="preserve">2025-08-15</x:t>
        </x:is>
      </x:c>
      <x:c r="F119" s="12" t="n">
        <x:v>152667</x:v>
      </x:c>
      <x:c r="G119" s="12" t="n">
        <x:v>0</x:v>
      </x:c>
      <x:c r="H119" s="12" t="n">
        <x:v>7316</x:v>
      </x:c>
      <x:c r="I119" s="14" t="n">
        <x:v>162512.1900715837</x:v>
      </x:c>
      <x:c r="J119" s="14" t="n">
        <x:v>170299.9843071664</x:v>
      </x:c>
      <x:c r="K119" s="14" t="n">
        <x:v>1662436</x:v>
      </x:c>
      <x:c r="L119" s="14" t="n">
        <x:v>750155</x:v>
      </x:c>
      <x:c r="M119" s="12" t="n"/>
      <x:c r="N119" s="12" t="inlineStr">
        <x:is>
          <x:t xml:space="preserve">primary_with_structure_flag</x:t>
        </x:is>
      </x:c>
      <x:c r="O119" s="12" t="n"/>
      <x:c r="P119" s="12" t="inlineStr">
        <x:is>
          <x:t xml:space="preserve">very_small_scale_and_officer_combination</x:t>
        </x:is>
      </x:c>
      <x:c r="Q119" s="12" t="inlineStr">
        <x:is>
          <x:t xml:space="preserve">20-4079553</x:t>
        </x:is>
      </x:c>
      <x:c r="R119" s="12" t="n">
        <x:v>2.025422793493018e+17</x:v>
      </x:c>
      <x:c r="S119" s="16" t="inlineStr">
        <x:is>
          <x:t xml:space="preserve">https://apps.irs.gov/pub/epostcard/990/xml/2025/202542279349301744_public.xml</x:t>
        </x:is>
      </x:c>
      <x:c r="T119" s="16" t="inlineStr">
        <x:is>
          <x:t xml:space="preserve">https://projects.propublica.org/nonprofits/organizations/204079553</x:t>
        </x:is>
      </x:c>
      <x:c r="U119" s="17" t="inlineStr">
        <x:is>
          <x:t xml:space="preserve">SRC-990-EXT3-AMERICAN-SECURITY-PROJECT</x:t>
        </x:is>
      </x:c>
    </x:row>
    <x:row r="120">
      <x:c r="A120" s="12" t="inlineStr">
        <x:is>
          <x:t xml:space="preserve">Lawfare Institute</x:t>
        </x:is>
      </x:c>
      <x:c r="B120" s="12" t="n"/>
      <x:c r="C120" s="12" t="n"/>
      <x:c r="D120" s="14" t="n">
        <x:v>2024</x:v>
      </x:c>
      <x:c r="E120" s="12" t="inlineStr">
        <x:is>
          <x:t xml:space="preserve">2025-11-17</x:t>
        </x:is>
      </x:c>
      <x:c r="F120" s="12" t="n"/>
      <x:c r="G120" s="12" t="n"/>
      <x:c r="H120" s="12" t="n"/>
      <x:c r="I120" s="14" t="n"/>
      <x:c r="J120" s="14" t="n"/>
      <x:c r="K120" s="14" t="n">
        <x:v>1854596</x:v>
      </x:c>
      <x:c r="L120" s="14" t="n">
        <x:v>2077455</x:v>
      </x:c>
      <x:c r="M120" s="12" t="n"/>
      <x:c r="N120" s="12" t="inlineStr">
        <x:is>
          <x:t xml:space="preserve">excluded_measurement</x:t>
        </x:is>
      </x:c>
      <x:c r="O120" s="13" t="inlineStr">
        <x:is>
          <x:t xml:space="preserve">Latest filing did not identify a clean organization-wide CEO or Executive Director in the accessible officer-compensation table.</x:t>
        </x:is>
      </x:c>
      <x:c r="P120" s="12" t="inlineStr">
        <x:is>
          <x:t xml:space="preserve">no_clean_top_executive_observation</x:t>
        </x:is>
      </x:c>
      <x:c r="Q120" s="12" t="inlineStr">
        <x:is>
          <x:t xml:space="preserve">46-2967640</x:t>
        </x:is>
      </x:c>
      <x:c r="R120" s="12" t="n">
        <x:v>2.02523219349307e+17</x:v>
      </x:c>
      <x:c r="S120" s="16" t="inlineStr">
        <x:is>
          <x:t xml:space="preserve">https://apps.irs.gov/pub/epostcard/990/xml/2025/202523219349307027_public.xml</x:t>
        </x:is>
      </x:c>
      <x:c r="T120" s="16" t="inlineStr">
        <x:is>
          <x:t xml:space="preserve">https://projects.propublica.org/nonprofits/organizations/462967640</x:t>
        </x:is>
      </x:c>
      <x:c r="U120" s="17" t="inlineStr">
        <x:is>
          <x:t xml:space="preserve">SRC-990-EXT3-LAWFARE-INSTITUTE</x:t>
        </x:is>
      </x:c>
    </x:row>
    <x:row r="121">
      <x:c r="A121" s="12" t="inlineStr">
        <x:is>
          <x:t xml:space="preserve">Alliance for Health Policy</x:t>
        </x:is>
      </x:c>
      <x:c r="B121" s="12" t="inlineStr">
        <x:is>
          <x:t xml:space="preserve">Claire Sheahan</x:t>
        </x:is>
      </x:c>
      <x:c r="C121" s="12" t="inlineStr">
        <x:is>
          <x:t xml:space="preserve">President &amp; CEO</x:t>
        </x:is>
      </x:c>
      <x:c r="D121" s="14" t="n">
        <x:v>2024</x:v>
      </x:c>
      <x:c r="E121" s="12" t="inlineStr">
        <x:is>
          <x:t xml:space="preserve">2025-06-09</x:t>
        </x:is>
      </x:c>
      <x:c r="F121" s="12" t="n">
        <x:v>294883</x:v>
      </x:c>
      <x:c r="G121" s="12" t="n">
        <x:v>0</x:v>
      </x:c>
      <x:c r="H121" s="12" t="n">
        <x:v>39851</x:v>
      </x:c>
      <x:c r="I121" s="14" t="n">
        <x:v>313899.4160157651</x:v>
      </x:c>
      <x:c r="J121" s="14" t="n">
        <x:v>356320.327454011</x:v>
      </x:c>
      <x:c r="K121" s="14" t="n">
        <x:v>1640542</x:v>
      </x:c>
      <x:c r="L121" s="14" t="n">
        <x:v>2379789</x:v>
      </x:c>
      <x:c r="M121" s="12" t="n"/>
      <x:c r="N121" s="12" t="inlineStr">
        <x:is>
          <x:t xml:space="preserve">excluded_partial_year</x:t>
        </x:is>
      </x:c>
      <x:c r="O121" s="13" t="inlineStr">
        <x:is>
          <x:t xml:space="preserve">Latest CEO began in February 2024; no silent annualization.</x:t>
        </x:is>
      </x:c>
      <x:c r="P121" s="12" t="inlineStr">
        <x:is>
          <x:t xml:space="preserve">partial_year_transition</x:t>
        </x:is>
      </x:c>
      <x:c r="Q121" s="12" t="inlineStr">
        <x:is>
          <x:t xml:space="preserve">52-1746328</x:t>
        </x:is>
      </x:c>
      <x:c r="R121" s="12" t="n">
        <x:v>2.025316193493001e+17</x:v>
      </x:c>
      <x:c r="S121" s="16" t="inlineStr">
        <x:is>
          <x:t xml:space="preserve">https://apps.irs.gov/pub/epostcard/990/xml/2025/202531619349300118_public.xml</x:t>
        </x:is>
      </x:c>
      <x:c r="T121" s="16" t="inlineStr">
        <x:is>
          <x:t xml:space="preserve">https://projects.propublica.org/nonprofits/organizations/521746328</x:t>
        </x:is>
      </x:c>
      <x:c r="U121" s="17" t="inlineStr">
        <x:is>
          <x:t xml:space="preserve">SRC-990-EXT3-ALLIANCE-FOR-HEALTH-POLICY</x:t>
        </x:is>
      </x:c>
    </x:row>
    <x:row r="122">
      <x:c r="A122" s="12" t="inlineStr">
        <x:is>
          <x:t xml:space="preserve">WattTime</x:t>
        </x:is>
      </x:c>
      <x:c r="B122" s="12" t="n"/>
      <x:c r="C122" s="12" t="n"/>
      <x:c r="D122" s="14" t="n">
        <x:v>2024</x:v>
      </x:c>
      <x:c r="E122" s="12" t="inlineStr">
        <x:is>
          <x:t xml:space="preserve">2026-04-07</x:t>
        </x:is>
      </x:c>
      <x:c r="F122" s="12" t="n"/>
      <x:c r="G122" s="12" t="n"/>
      <x:c r="H122" s="12" t="n"/>
      <x:c r="I122" s="14" t="n"/>
      <x:c r="J122" s="14" t="n"/>
      <x:c r="K122" s="14" t="n">
        <x:v>16446600</x:v>
      </x:c>
      <x:c r="L122" s="14" t="n">
        <x:v>18109740</x:v>
      </x:c>
      <x:c r="M122" s="12" t="n"/>
      <x:c r="N122" s="12" t="inlineStr">
        <x:is>
          <x:t xml:space="preserve">excluded_measurement</x:t>
        </x:is>
      </x:c>
      <x:c r="O122" s="13" t="inlineStr">
        <x:is>
          <x:t xml:space="preserve">Latest filing lists senior technical staff but no clean organization-wide CEO/ED observation in the accessible compensation table.</x:t>
        </x:is>
      </x:c>
      <x:c r="P122" s="12" t="inlineStr">
        <x:is>
          <x:t xml:space="preserve">no_clean_top_executive_observation</x:t>
        </x:is>
      </x:c>
      <x:c r="Q122" s="12" t="inlineStr">
        <x:is>
          <x:t xml:space="preserve">47-1444637</x:t>
        </x:is>
      </x:c>
      <x:c r="R122" s="12" t="n">
        <x:v>2.026209793493017e+17</x:v>
      </x:c>
      <x:c r="S122" s="16" t="inlineStr">
        <x:is>
          <x:t xml:space="preserve">https://apps.irs.gov/pub/epostcard/990/xml/2026/202620979349301707_public.xml</x:t>
        </x:is>
      </x:c>
      <x:c r="T122" s="16" t="inlineStr">
        <x:is>
          <x:t xml:space="preserve">https://projects.propublica.org/nonprofits/organizations/471444637</x:t>
        </x:is>
      </x:c>
      <x:c r="U122" s="17" t="inlineStr">
        <x:is>
          <x:t xml:space="preserve">SRC-990-EXT3-WATTTIME</x:t>
        </x:is>
      </x:c>
    </x:row>
    <x:row r="123">
      <x:c r="A123" s="12" t="inlineStr">
        <x:is>
          <x:t xml:space="preserve">DataKind</x:t>
        </x:is>
      </x:c>
      <x:c r="B123" s="12" t="inlineStr">
        <x:is>
          <x:t xml:space="preserve">Lauren Woodman</x:t>
        </x:is>
      </x:c>
      <x:c r="C123" s="12" t="inlineStr">
        <x:is>
          <x:t xml:space="preserve">Chief Executive Officer</x:t>
        </x:is>
      </x:c>
      <x:c r="D123" s="14" t="n">
        <x:v>2024</x:v>
      </x:c>
      <x:c r="E123" s="12" t="inlineStr">
        <x:is>
          <x:t xml:space="preserve">2026-04-03</x:t>
        </x:is>
      </x:c>
      <x:c r="F123" s="12" t="n">
        <x:v>230000</x:v>
      </x:c>
      <x:c r="G123" s="12" t="n">
        <x:v>0</x:v>
      </x:c>
      <x:c r="H123" s="12" t="n">
        <x:v>11500</x:v>
      </x:c>
      <x:c r="I123" s="14" t="n">
        <x:v>244832.2408671438</x:v>
      </x:c>
      <x:c r="J123" s="14" t="n">
        <x:v>257073.852910501</x:v>
      </x:c>
      <x:c r="K123" s="14" t="n">
        <x:v>21931317</x:v>
      </x:c>
      <x:c r="L123" s="14" t="n">
        <x:v>7005078</x:v>
      </x:c>
      <x:c r="M123" s="12" t="n"/>
      <x:c r="N123" s="12" t="inlineStr">
        <x:is>
          <x:t xml:space="preserve">primary</x:t>
        </x:is>
      </x:c>
      <x:c r="O123" s="12" t="n"/>
      <x:c r="P123" s="12" t="inlineStr">
        <x:is>
          <x:t xml:space="preserve">none</x:t>
        </x:is>
      </x:c>
      <x:c r="Q123" s="12" t="inlineStr">
        <x:is>
          <x:t xml:space="preserve">46-4082076</x:t>
        </x:is>
      </x:c>
      <x:c r="R123" s="12" t="n">
        <x:v>2.026409393493e+17</x:v>
      </x:c>
      <x:c r="S123" s="16" t="inlineStr">
        <x:is>
          <x:t xml:space="preserve">https://apps.irs.gov/pub/epostcard/990/xml/2026/202640939349300014_public.xml</x:t>
        </x:is>
      </x:c>
      <x:c r="T123" s="16" t="inlineStr">
        <x:is>
          <x:t xml:space="preserve">https://projects.propublica.org/nonprofits/organizations/464082076</x:t>
        </x:is>
      </x:c>
      <x:c r="U123" s="17" t="inlineStr">
        <x:is>
          <x:t xml:space="preserve">SRC-990-EXT-DATAKIND</x:t>
        </x:is>
      </x:c>
    </x:row>
    <x:row r="124">
      <x:c r="A124" s="12" t="inlineStr">
        <x:is>
          <x:t xml:space="preserve">ORCID</x:t>
        </x:is>
      </x:c>
      <x:c r="B124" s="12" t="inlineStr">
        <x:is>
          <x:t xml:space="preserve">Christian Shillum</x:t>
        </x:is>
      </x:c>
      <x:c r="C124" s="12" t="inlineStr">
        <x:is>
          <x:t xml:space="preserve">Executive Director</x:t>
        </x:is>
      </x:c>
      <x:c r="D124" s="14" t="n">
        <x:v>2024</x:v>
      </x:c>
      <x:c r="E124" s="12" t="inlineStr">
        <x:is>
          <x:t xml:space="preserve">2025-06-25</x:t>
        </x:is>
      </x:c>
      <x:c r="F124" s="12" t="n">
        <x:v>292165</x:v>
      </x:c>
      <x:c r="G124" s="12" t="n">
        <x:v>0</x:v>
      </x:c>
      <x:c r="H124" s="12" t="n">
        <x:v>26746</x:v>
      </x:c>
      <x:c r="I124" s="14" t="n">
        <x:v>311006.1376215177</x:v>
      </x:c>
      <x:c r="J124" s="14" t="n">
        <x:v>339476.9337703552</x:v>
      </x:c>
      <x:c r="K124" s="14" t="n">
        <x:v>6811163</x:v>
      </x:c>
      <x:c r="L124" s="14" t="n">
        <x:v>5803116</x:v>
      </x:c>
      <x:c r="M124" s="12" t="n"/>
      <x:c r="N124" s="12" t="inlineStr">
        <x:is>
          <x:t xml:space="preserve">primary</x:t>
        </x:is>
      </x:c>
      <x:c r="O124" s="12" t="n"/>
      <x:c r="P124" s="12" t="inlineStr">
        <x:is>
          <x:t xml:space="preserve">none</x:t>
        </x:is>
      </x:c>
      <x:c r="Q124" s="12" t="inlineStr">
        <x:is>
          <x:t xml:space="preserve">27-5142743</x:t>
        </x:is>
      </x:c>
      <x:c r="R124" s="12" t="n">
        <x:v>2.02501769349301e+17</x:v>
      </x:c>
      <x:c r="S124" s="16" t="inlineStr">
        <x:is>
          <x:t xml:space="preserve">https://apps.irs.gov/pub/epostcard/990/xml/2025/202501769349301020_public.xml</x:t>
        </x:is>
      </x:c>
      <x:c r="T124" s="16" t="inlineStr">
        <x:is>
          <x:t xml:space="preserve">https://projects.propublica.org/nonprofits/organizations/275142743</x:t>
        </x:is>
      </x:c>
      <x:c r="U124" s="17" t="inlineStr">
        <x:is>
          <x:t xml:space="preserve">SRC-990-EXT-ORCID</x:t>
        </x:is>
      </x:c>
    </x:row>
    <x:row r="125">
      <x:c r="A125" s="12" t="inlineStr">
        <x:is>
          <x:t xml:space="preserve">OpenSecrets</x:t>
        </x:is>
      </x:c>
      <x:c r="B125" s="12" t="inlineStr">
        <x:is>
          <x:t xml:space="preserve">Hilary Braseth</x:t>
        </x:is>
      </x:c>
      <x:c r="C125" s="12" t="inlineStr">
        <x:is>
          <x:t xml:space="preserve">Executive Director</x:t>
        </x:is>
      </x:c>
      <x:c r="D125" s="14" t="n">
        <x:v>2025</x:v>
      </x:c>
      <x:c r="E125" s="12" t="inlineStr">
        <x:is>
          <x:t xml:space="preserve">2026-07-15</x:t>
        </x:is>
      </x:c>
      <x:c r="F125" s="12" t="n">
        <x:v>222497</x:v>
      </x:c>
      <x:c r="G125" s="12" t="n">
        <x:v>0</x:v>
      </x:c>
      <x:c r="H125" s="12" t="n">
        <x:v>12787</x:v>
      </x:c>
      <x:c r="I125" s="14" t="n">
        <x:v>230773.0040597249</x:v>
      </x:c>
      <x:c r="J125" s="14" t="n">
        <x:v>244035.6296363021</x:v>
      </x:c>
      <x:c r="K125" s="14" t="n">
        <x:v>4281039</x:v>
      </x:c>
      <x:c r="L125" s="14" t="n">
        <x:v>3374050</x:v>
      </x:c>
      <x:c r="M125" s="12" t="n"/>
      <x:c r="N125" s="12" t="inlineStr">
        <x:is>
          <x:t xml:space="preserve">primary</x:t>
        </x:is>
      </x:c>
      <x:c r="O125" s="12" t="n"/>
      <x:c r="P125" s="12" t="inlineStr">
        <x:is>
          <x:t xml:space="preserve">none</x:t>
        </x:is>
      </x:c>
      <x:c r="Q125" s="12" t="inlineStr">
        <x:is>
          <x:t xml:space="preserve">52-1275227</x:t>
        </x:is>
      </x:c>
      <x:c r="R125" s="12" t="n">
        <x:v>2.026319793493018e+17</x:v>
      </x:c>
      <x:c r="S125" s="16" t="inlineStr">
        <x:is>
          <x:t xml:space="preserve">https://apps.irs.gov/pub/epostcard/990/xml/2026/202631979349301803_public.xml</x:t>
        </x:is>
      </x:c>
      <x:c r="T125" s="16" t="inlineStr">
        <x:is>
          <x:t xml:space="preserve">https://projects.propublica.org/nonprofits/organizations/521275227</x:t>
        </x:is>
      </x:c>
      <x:c r="U125" s="17" t="inlineStr">
        <x:is>
          <x:t xml:space="preserve">SRC-990-EXT-OPENSECRETS</x:t>
        </x:is>
      </x:c>
    </x:row>
    <x:row r="126">
      <x:c r="A126" s="12" t="inlineStr">
        <x:is>
          <x:t xml:space="preserve">MuckRock Foundation</x:t>
        </x:is>
      </x:c>
      <x:c r="B126" s="12" t="inlineStr">
        <x:is>
          <x:t xml:space="preserve">Michael Morisy</x:t>
        </x:is>
      </x:c>
      <x:c r="C126" s="12" t="inlineStr">
        <x:is>
          <x:t xml:space="preserve">Executive Director</x:t>
        </x:is>
      </x:c>
      <x:c r="D126" s="14" t="n">
        <x:v>2023</x:v>
      </x:c>
      <x:c r="E126" s="12" t="inlineStr">
        <x:is>
          <x:t xml:space="preserve">2024-11-06</x:t>
        </x:is>
      </x:c>
      <x:c r="F126" s="12" t="n">
        <x:v>126234</x:v>
      </x:c>
      <x:c r="G126" s="12" t="n">
        <x:v>0</x:v>
      </x:c>
      <x:c r="H126" s="12" t="n">
        <x:v>0</x:v>
      </x:c>
      <x:c r="I126" s="14" t="n">
        <x:v>138337.9907346505</x:v>
      </x:c>
      <x:c r="J126" s="14" t="n">
        <x:v>138337.9907346505</x:v>
      </x:c>
      <x:c r="K126" s="14" t="n">
        <x:v>3776685</x:v>
      </x:c>
      <x:c r="L126" s="14" t="n">
        <x:v>3231701</x:v>
      </x:c>
      <x:c r="M126" s="12" t="n"/>
      <x:c r="N126" s="12" t="inlineStr">
        <x:is>
          <x:t xml:space="preserve">primary_older_clean</x:t>
        </x:is>
      </x:c>
      <x:c r="O126" s="12" t="n"/>
      <x:c r="P126" s="12" t="inlineStr">
        <x:is>
          <x:t xml:space="preserve">latest_filing_no_paid_ed_observation</x:t>
        </x:is>
      </x:c>
      <x:c r="Q126" s="12" t="inlineStr">
        <x:is>
          <x:t xml:space="preserve">81-1485228</x:t>
        </x:is>
      </x:c>
      <x:c r="R126" s="12" t="n">
        <x:v>2.024031193493009e+17</x:v>
      </x:c>
      <x:c r="S126" s="16" t="inlineStr">
        <x:is>
          <x:t xml:space="preserve">https://apps.irs.gov/pub/epostcard/990/xml/2024/202403119349300920_public.xml</x:t>
        </x:is>
      </x:c>
      <x:c r="T126" s="16" t="inlineStr">
        <x:is>
          <x:t xml:space="preserve">https://projects.propublica.org/nonprofits/organizations/811485228</x:t>
        </x:is>
      </x:c>
      <x:c r="U126" s="17" t="inlineStr">
        <x:is>
          <x:t xml:space="preserve">SRC-990-EXT-MUCKROCK-FOUNDATION</x:t>
        </x:is>
      </x:c>
    </x:row>
    <x:row r="127">
      <x:c r="A127" s="12" t="inlineStr">
        <x:is>
          <x:t xml:space="preserve">NumFOCUS</x:t>
        </x:is>
      </x:c>
      <x:c r="B127" s="12" t="inlineStr">
        <x:is>
          <x:t xml:space="preserve">Leah Silen</x:t>
        </x:is>
      </x:c>
      <x:c r="C127" s="12" t="inlineStr">
        <x:is>
          <x:t xml:space="preserve">Executive Director</x:t>
        </x:is>
      </x:c>
      <x:c r="D127" s="14" t="n">
        <x:v>2024</x:v>
      </x:c>
      <x:c r="E127" s="12" t="inlineStr">
        <x:is>
          <x:t xml:space="preserve">2025-10-24</x:t>
        </x:is>
      </x:c>
      <x:c r="F127" s="12" t="n">
        <x:v>156845</x:v>
      </x:c>
      <x:c r="G127" s="12" t="n">
        <x:v>0</x:v>
      </x:c>
      <x:c r="H127" s="12" t="n">
        <x:v>7941</x:v>
      </x:c>
      <x:c r="I127" s="14" t="n">
        <x:v>166959.6209513355</x:v>
      </x:c>
      <x:c r="J127" s="14" t="n">
        <x:v>175412.7201892746</x:v>
      </x:c>
      <x:c r="K127" s="14" t="n">
        <x:v>8376226</x:v>
      </x:c>
      <x:c r="L127" s="14" t="n">
        <x:v>11090430</x:v>
      </x:c>
      <x:c r="M127" s="12" t="n"/>
      <x:c r="N127" s="12" t="inlineStr">
        <x:is>
          <x:t xml:space="preserve">primary_with_structure_flag</x:t>
        </x:is>
      </x:c>
      <x:c r="O127" s="12" t="n"/>
      <x:c r="P127" s="13" t="inlineStr">
        <x:is>
          <x:t xml:space="preserve">open_source_fiscal_sponsor_and_membership_model</x:t>
        </x:is>
      </x:c>
      <x:c r="Q127" s="12" t="inlineStr">
        <x:is>
          <x:t xml:space="preserve">45-4547709</x:t>
        </x:is>
      </x:c>
      <x:c r="R127" s="12" t="n">
        <x:v>2.025129793493011e+17</x:v>
      </x:c>
      <x:c r="S127" s="16" t="inlineStr">
        <x:is>
          <x:t xml:space="preserve">https://apps.irs.gov/pub/epostcard/990/xml/2025/202512979349301136_public.xml</x:t>
        </x:is>
      </x:c>
      <x:c r="T127" s="16" t="inlineStr">
        <x:is>
          <x:t xml:space="preserve">https://projects.propublica.org/nonprofits/organizations/454547709</x:t>
        </x:is>
      </x:c>
      <x:c r="U127" s="17" t="inlineStr">
        <x:is>
          <x:t xml:space="preserve">SRC-990-EXT-NUMFOCUS</x:t>
        </x:is>
      </x:c>
    </x:row>
    <x:row r="128">
      <x:c r="A128" s="12" t="inlineStr">
        <x:is>
          <x:t xml:space="preserve">Software Freedom Conservancy</x:t>
        </x:is>
      </x:c>
      <x:c r="B128" s="12" t="inlineStr">
        <x:is>
          <x:t xml:space="preserve">Karen M Sandler</x:t>
        </x:is>
      </x:c>
      <x:c r="C128" s="12" t="inlineStr">
        <x:is>
          <x:t xml:space="preserve">President and Executive Director</x:t>
        </x:is>
      </x:c>
      <x:c r="D128" s="14" t="n">
        <x:v>2024</x:v>
      </x:c>
      <x:c r="E128" s="12" t="inlineStr">
        <x:is>
          <x:t xml:space="preserve">2026-01-16</x:t>
        </x:is>
      </x:c>
      <x:c r="F128" s="12" t="n">
        <x:v>178851</x:v>
      </x:c>
      <x:c r="G128" s="12" t="n">
        <x:v>0</x:v>
      </x:c>
      <x:c r="H128" s="12" t="n">
        <x:v>62291</x:v>
      </x:c>
      <x:c r="I128" s="14" t="n">
        <x:v>190384.7439623024</x:v>
      </x:c>
      <x:c r="J128" s="14" t="n">
        <x:v>256692.7662051513</x:v>
      </x:c>
      <x:c r="K128" s="14" t="n">
        <x:v>3214723</x:v>
      </x:c>
      <x:c r="L128" s="14" t="n">
        <x:v>3805350</x:v>
      </x:c>
      <x:c r="M128" s="12" t="n"/>
      <x:c r="N128" s="12" t="inlineStr">
        <x:is>
          <x:t xml:space="preserve">primary_with_structure_flag</x:t>
        </x:is>
      </x:c>
      <x:c r="O128" s="12" t="n"/>
      <x:c r="P128" s="12" t="inlineStr">
        <x:is>
          <x:t xml:space="preserve">open_source_fiscal_sponsor_model</x:t>
        </x:is>
      </x:c>
      <x:c r="Q128" s="12" t="inlineStr">
        <x:is>
          <x:t xml:space="preserve">41-2203632</x:t>
        </x:is>
      </x:c>
      <x:c r="R128" s="12" t="n">
        <x:v>2.026401693493006e+17</x:v>
      </x:c>
      <x:c r="S128" s="16" t="inlineStr">
        <x:is>
          <x:t xml:space="preserve">https://apps.irs.gov/pub/epostcard/990/xml/2026/202640169349300604_public.xml</x:t>
        </x:is>
      </x:c>
      <x:c r="T128" s="16" t="inlineStr">
        <x:is>
          <x:t xml:space="preserve">https://projects.propublica.org/nonprofits/organizations/412203632</x:t>
        </x:is>
      </x:c>
      <x:c r="U128" s="17" t="inlineStr">
        <x:is>
          <x:t xml:space="preserve">SRC-990-EXT-SOFTWARE-FREEDOM-CONSERVANCY</x:t>
        </x:is>
      </x:c>
    </x:row>
    <x:row r="129">
      <x:c r="A129" s="12" t="inlineStr">
        <x:is>
          <x:t xml:space="preserve">Open Source Initiative</x:t>
        </x:is>
      </x:c>
      <x:c r="B129" s="12" t="inlineStr">
        <x:is>
          <x:t xml:space="preserve">Stefano Maffuli</x:t>
        </x:is>
      </x:c>
      <x:c r="C129" s="12" t="inlineStr">
        <x:is>
          <x:t xml:space="preserve">Executive Director</x:t>
        </x:is>
      </x:c>
      <x:c r="D129" s="14" t="n">
        <x:v>2024</x:v>
      </x:c>
      <x:c r="E129" s="12" t="inlineStr">
        <x:is>
          <x:t xml:space="preserve">2025-11-03</x:t>
        </x:is>
      </x:c>
      <x:c r="F129" s="12" t="n">
        <x:v>188678</x:v>
      </x:c>
      <x:c r="G129" s="12" t="n">
        <x:v>0</x:v>
      </x:c>
      <x:c r="H129" s="12" t="n">
        <x:v>0</x:v>
      </x:c>
      <x:c r="I129" s="14" t="n">
        <x:v>200845.467575352</x:v>
      </x:c>
      <x:c r="J129" s="14" t="n">
        <x:v>200845.467575352</x:v>
      </x:c>
      <x:c r="K129" s="14" t="n">
        <x:v>1093077</x:v>
      </x:c>
      <x:c r="L129" s="14" t="n">
        <x:v>1013797</x:v>
      </x:c>
      <x:c r="M129" s="12" t="n"/>
      <x:c r="N129" s="12" t="inlineStr">
        <x:is>
          <x:t xml:space="preserve">primary_with_structure_flag</x:t>
        </x:is>
      </x:c>
      <x:c r="O129" s="12" t="n"/>
      <x:c r="P129" s="12" t="inlineStr">
        <x:is>
          <x:t xml:space="preserve">well_below_scale_membership_governance</x:t>
        </x:is>
      </x:c>
      <x:c r="Q129" s="12" t="inlineStr">
        <x:is>
          <x:t xml:space="preserve">91-2037395</x:t>
        </x:is>
      </x:c>
      <x:c r="R129" s="12" t="n">
        <x:v>2.025330793493015e+17</x:v>
      </x:c>
      <x:c r="S129" s="16" t="inlineStr">
        <x:is>
          <x:t xml:space="preserve">https://apps.irs.gov/pub/epostcard/990/xml/2025/202533079349301473_public.xml</x:t>
        </x:is>
      </x:c>
      <x:c r="T129" s="16" t="inlineStr">
        <x:is>
          <x:t xml:space="preserve">https://projects.propublica.org/nonprofits/organizations/912037395</x:t>
        </x:is>
      </x:c>
      <x:c r="U129" s="17" t="inlineStr">
        <x:is>
          <x:t xml:space="preserve">SRC-990-EXT-OPEN-SOURCE-INITIATIVE</x:t>
        </x:is>
      </x:c>
    </x:row>
    <x:row r="130">
      <x:c r="A130" s="12" t="inlineStr">
        <x:is>
          <x:t xml:space="preserve">Grantmakers for Education</x:t>
        </x:is>
      </x:c>
      <x:c r="B130" s="12" t="inlineStr">
        <x:is>
          <x:t xml:space="preserve">Nicole R Leach</x:t>
        </x:is>
      </x:c>
      <x:c r="C130" s="12" t="inlineStr">
        <x:is>
          <x:t xml:space="preserve">Executive Director</x:t>
        </x:is>
      </x:c>
      <x:c r="D130" s="14" t="n">
        <x:v>2024</x:v>
      </x:c>
      <x:c r="E130" s="12" t="inlineStr">
        <x:is>
          <x:t xml:space="preserve">2025-11-03</x:t>
        </x:is>
      </x:c>
      <x:c r="F130" s="12" t="n">
        <x:v>235266</x:v>
      </x:c>
      <x:c r="G130" s="12" t="n">
        <x:v>0</x:v>
      </x:c>
      <x:c r="H130" s="12" t="n">
        <x:v>46749</x:v>
      </x:c>
      <x:c r="I130" s="14" t="n">
        <x:v>250437.8346949977</x:v>
      </x:c>
      <x:c r="J130" s="14" t="n">
        <x:v>300201.5843832503</x:v>
      </x:c>
      <x:c r="K130" s="14" t="n">
        <x:v>3389406</x:v>
      </x:c>
      <x:c r="L130" s="14" t="n">
        <x:v>3206947</x:v>
      </x:c>
      <x:c r="M130" s="12" t="n"/>
      <x:c r="N130" s="12" t="inlineStr">
        <x:is>
          <x:t xml:space="preserve">primary</x:t>
        </x:is>
      </x:c>
      <x:c r="O130" s="12" t="n"/>
      <x:c r="P130" s="12" t="inlineStr">
        <x:is>
          <x:t xml:space="preserve">none</x:t>
        </x:is>
      </x:c>
      <x:c r="Q130" s="12" t="inlineStr">
        <x:is>
          <x:t xml:space="preserve">33-0919329</x:t>
        </x:is>
      </x:c>
      <x:c r="R130" s="12" t="n">
        <x:v>2.025430793493033e+17</x:v>
      </x:c>
      <x:c r="S130" s="16" t="inlineStr">
        <x:is>
          <x:t xml:space="preserve">https://apps.irs.gov/pub/epostcard/990/xml/2025/202543079349303299_public.xml</x:t>
        </x:is>
      </x:c>
      <x:c r="T130" s="16" t="inlineStr">
        <x:is>
          <x:t xml:space="preserve">https://projects.propublica.org/nonprofits/organizations/330919329</x:t>
        </x:is>
      </x:c>
      <x:c r="U130" s="17" t="inlineStr">
        <x:is>
          <x:t xml:space="preserve">SRC-990-EXT-GRANTMAKERS-FOR-EDUCATION</x:t>
        </x:is>
      </x:c>
    </x:row>
    <x:row r="131">
      <x:c r="A131" s="12" t="inlineStr">
        <x:is>
          <x:t xml:space="preserve">TechCongress</x:t>
        </x:is>
      </x:c>
      <x:c r="B131" s="12" t="inlineStr">
        <x:is>
          <x:t xml:space="preserve">Travis Moore</x:t>
        </x:is>
      </x:c>
      <x:c r="C131" s="12" t="inlineStr">
        <x:is>
          <x:t xml:space="preserve">Executive Director / Board Secretary</x:t>
        </x:is>
      </x:c>
      <x:c r="D131" s="14" t="n">
        <x:v>2025</x:v>
      </x:c>
      <x:c r="E131" s="12" t="inlineStr">
        <x:is>
          <x:t xml:space="preserve">2026-07-14</x:t>
        </x:is>
      </x:c>
      <x:c r="F131" s="12" t="n">
        <x:v>257694</x:v>
      </x:c>
      <x:c r="G131" s="12" t="n">
        <x:v>0</x:v>
      </x:c>
      <x:c r="H131" s="12" t="n">
        <x:v>36211</x:v>
      </x:c>
      <x:c r="I131" s="14" t="n">
        <x:v>267279.1925651436</x:v>
      </x:c>
      <x:c r="J131" s="14" t="n">
        <x:v>304837.0978403009</x:v>
      </x:c>
      <x:c r="K131" s="14" t="n">
        <x:v>7320089</x:v>
      </x:c>
      <x:c r="L131" s="14" t="n">
        <x:v>3725264</x:v>
      </x:c>
      <x:c r="M131" s="12" t="n"/>
      <x:c r="N131" s="12" t="inlineStr">
        <x:is>
          <x:t xml:space="preserve">primary</x:t>
        </x:is>
      </x:c>
      <x:c r="O131" s="12" t="n"/>
      <x:c r="P131" s="12" t="inlineStr">
        <x:is>
          <x:t xml:space="preserve">none</x:t>
        </x:is>
      </x:c>
      <x:c r="Q131" s="12" t="inlineStr">
        <x:is>
          <x:t xml:space="preserve">81-1839685</x:t>
        </x:is>
      </x:c>
      <x:c r="R131" s="12" t="n">
        <x:v>2.02621959349301e+17</x:v>
      </x:c>
      <x:c r="S131" s="16" t="inlineStr">
        <x:is>
          <x:t xml:space="preserve">https://apps.irs.gov/pub/epostcard/990/xml/2026/202621959349301032_public.xml</x:t>
        </x:is>
      </x:c>
      <x:c r="T131" s="16" t="inlineStr">
        <x:is>
          <x:t xml:space="preserve">https://projects.propublica.org/nonprofits/organizations/811839685</x:t>
        </x:is>
      </x:c>
      <x:c r="U131" s="17" t="inlineStr">
        <x:is>
          <x:t xml:space="preserve">SRC-990-EXT-TECHCONGRESS</x:t>
        </x:is>
      </x:c>
    </x:row>
    <x:row r="132">
      <x:c r="A132" s="12" t="inlineStr">
        <x:is>
          <x:t xml:space="preserve">Global Health Corps</x:t>
        </x:is>
      </x:c>
      <x:c r="B132" s="12" t="inlineStr">
        <x:is>
          <x:t xml:space="preserve">Heather Anderson</x:t>
        </x:is>
      </x:c>
      <x:c r="C132" s="12" t="inlineStr">
        <x:is>
          <x:t xml:space="preserve">Chief Executive Officer</x:t>
        </x:is>
      </x:c>
      <x:c r="D132" s="14" t="n">
        <x:v>2024</x:v>
      </x:c>
      <x:c r="E132" s="12" t="inlineStr">
        <x:is>
          <x:t xml:space="preserve">2026-01-13</x:t>
        </x:is>
      </x:c>
      <x:c r="F132" s="12" t="n">
        <x:v>233774</x:v>
      </x:c>
      <x:c r="G132" s="12" t="n">
        <x:v>0</x:v>
      </x:c>
      <x:c r="H132" s="12" t="n">
        <x:v>8530</x:v>
      </x:c>
      <x:c r="I132" s="14" t="n">
        <x:v>248849.6185933725</x:v>
      </x:c>
      <x:c r="J132" s="14" t="n">
        <x:v>257929.7012655322</x:v>
      </x:c>
      <x:c r="K132" s="14" t="n">
        <x:v>3224553</x:v>
      </x:c>
      <x:c r="L132" s="14" t="n">
        <x:v>3112237</x:v>
      </x:c>
      <x:c r="M132" s="12" t="n"/>
      <x:c r="N132" s="12" t="inlineStr">
        <x:is>
          <x:t xml:space="preserve">primary_with_structure_flag</x:t>
        </x:is>
      </x:c>
      <x:c r="O132" s="12" t="n"/>
      <x:c r="P132" s="12" t="inlineStr">
        <x:is>
          <x:t xml:space="preserve">talent_fellowship_and_program_delivery_mix</x:t>
        </x:is>
      </x:c>
      <x:c r="Q132" s="12" t="inlineStr">
        <x:is>
          <x:t xml:space="preserve">80-0512336</x:t>
        </x:is>
      </x:c>
      <x:c r="R132" s="12" t="n">
        <x:v>2.026001393493001e+17</x:v>
      </x:c>
      <x:c r="S132" s="16" t="inlineStr">
        <x:is>
          <x:t xml:space="preserve">https://apps.irs.gov/pub/epostcard/990/xml/2026/202600139349300115_public.xml</x:t>
        </x:is>
      </x:c>
      <x:c r="T132" s="16" t="inlineStr">
        <x:is>
          <x:t xml:space="preserve">https://projects.propublica.org/nonprofits/organizations/800512336</x:t>
        </x:is>
      </x:c>
      <x:c r="U132" s="17" t="inlineStr">
        <x:is>
          <x:t xml:space="preserve">SRC-990-EXT-GLOBAL-HEALTH-CORPS</x:t>
        </x:is>
      </x:c>
    </x:row>
    <x:row r="133">
      <x:c r="A133" s="12" t="inlineStr">
        <x:is>
          <x:t xml:space="preserve">Economic Innovation Group</x:t>
        </x:is>
      </x:c>
      <x:c r="B133" s="12" t="inlineStr">
        <x:is>
          <x:t xml:space="preserve">John Lettieri</x:t>
        </x:is>
      </x:c>
      <x:c r="C133" s="12" t="inlineStr">
        <x:is>
          <x:t xml:space="preserve">President and CEO</x:t>
        </x:is>
      </x:c>
      <x:c r="D133" s="14" t="n">
        <x:v>2024</x:v>
      </x:c>
      <x:c r="E133" s="12" t="inlineStr">
        <x:is>
          <x:t xml:space="preserve">2025-11-17</x:t>
        </x:is>
      </x:c>
      <x:c r="F133" s="12" t="n">
        <x:v>479718</x:v>
      </x:c>
      <x:c r="G133" s="12" t="n">
        <x:v>0</x:v>
      </x:c>
      <x:c r="H133" s="12" t="n">
        <x:v>55589</x:v>
      </x:c>
      <x:c r="I133" s="14" t="n">
        <x:v>510654.0561926283</x:v>
      </x:c>
      <x:c r="J133" s="14" t="n">
        <x:v>569827.8798342095</x:v>
      </x:c>
      <x:c r="K133" s="14" t="n">
        <x:v>5679893</x:v>
      </x:c>
      <x:c r="L133" s="14" t="n">
        <x:v>5806034</x:v>
      </x:c>
      <x:c r="M133" s="12" t="n"/>
      <x:c r="N133" s="12" t="inlineStr">
        <x:is>
          <x:t xml:space="preserve">primary_with_structure_flag</x:t>
        </x:is>
      </x:c>
      <x:c r="O133" s="12" t="n"/>
      <x:c r="P133" s="12" t="inlineStr">
        <x:is>
          <x:t xml:space="preserve">501c4_and_first_class_travel_disclosed</x:t>
        </x:is>
      </x:c>
      <x:c r="Q133" s="12" t="inlineStr">
        <x:is>
          <x:t xml:space="preserve">46-2450336</x:t>
        </x:is>
      </x:c>
      <x:c r="R133" s="12" t="n">
        <x:v>2.025132193493079e+17</x:v>
      </x:c>
      <x:c r="S133" s="16" t="inlineStr">
        <x:is>
          <x:t xml:space="preserve">https://apps.irs.gov/pub/epostcard/990/xml/2025/202513219349307891_public.xml</x:t>
        </x:is>
      </x:c>
      <x:c r="T133" s="16" t="inlineStr">
        <x:is>
          <x:t xml:space="preserve">https://projects.propublica.org/nonprofits/organizations/462450336</x:t>
        </x:is>
      </x:c>
      <x:c r="U133" s="17" t="inlineStr">
        <x:is>
          <x:t xml:space="preserve">SRC-990-EXT-ECONOMIC-INNOVATION-GROUP</x:t>
        </x:is>
      </x:c>
    </x:row>
    <x:row r="134">
      <x:c r="A134" s="12" t="inlineStr">
        <x:is>
          <x:t xml:space="preserve">Jain Family Institute</x:t>
        </x:is>
      </x:c>
      <x:c r="B134" s="12" t="inlineStr">
        <x:is>
          <x:t xml:space="preserve">Michael B Stynes</x:t>
        </x:is>
      </x:c>
      <x:c r="C134" s="12" t="inlineStr">
        <x:is>
          <x:t xml:space="preserve">CEO and Director</x:t>
        </x:is>
      </x:c>
      <x:c r="D134" s="14" t="n">
        <x:v>2024</x:v>
      </x:c>
      <x:c r="E134" s="12" t="inlineStr">
        <x:is>
          <x:t xml:space="preserve">2025-11-18</x:t>
        </x:is>
      </x:c>
      <x:c r="F134" s="12" t="n">
        <x:v>213500</x:v>
      </x:c>
      <x:c r="G134" s="12" t="n">
        <x:v>0</x:v>
      </x:c>
      <x:c r="H134" s="12" t="n">
        <x:v>40893</x:v>
      </x:c>
      <x:c r="I134" s="14" t="n">
        <x:v>227268.1888049357</x:v>
      </x:c>
      <x:c r="J134" s="14" t="n">
        <x:v>270798.2967431101</x:v>
      </x:c>
      <x:c r="K134" s="14" t="n">
        <x:v>5330418</x:v>
      </x:c>
      <x:c r="L134" s="14" t="n">
        <x:v>5374057</x:v>
      </x:c>
      <x:c r="M134" s="12" t="n"/>
      <x:c r="N134" s="12" t="inlineStr">
        <x:is>
          <x:t xml:space="preserve">primary</x:t>
        </x:is>
      </x:c>
      <x:c r="O134" s="12" t="n"/>
      <x:c r="P134" s="12" t="inlineStr">
        <x:is>
          <x:t xml:space="preserve">none</x:t>
        </x:is>
      </x:c>
      <x:c r="Q134" s="12" t="inlineStr">
        <x:is>
          <x:t xml:space="preserve">47-4407203</x:t>
        </x:is>
      </x:c>
      <x:c r="R134" s="12" t="n">
        <x:v>2.025232193493274e+17</x:v>
      </x:c>
      <x:c r="S134" s="16" t="inlineStr">
        <x:is>
          <x:t xml:space="preserve">https://apps.irs.gov/pub/epostcard/990/xml/2025/202523219349327407_public.xml</x:t>
        </x:is>
      </x:c>
      <x:c r="T134" s="16" t="inlineStr">
        <x:is>
          <x:t xml:space="preserve">https://projects.propublica.org/nonprofits/organizations/474407203</x:t>
        </x:is>
      </x:c>
      <x:c r="U134" s="17" t="inlineStr">
        <x:is>
          <x:t xml:space="preserve">SRC-990-EXT-JAIN-FAMILY-INSTITUTE</x:t>
        </x:is>
      </x:c>
    </x:row>
    <x:row r="135">
      <x:c r="A135" s="12" t="inlineStr">
        <x:is>
          <x:t xml:space="preserve">Fresh Energy</x:t>
        </x:is>
      </x:c>
      <x:c r="B135" s="12" t="inlineStr">
        <x:is>
          <x:t xml:space="preserve">Brenda Cassellius</x:t>
        </x:is>
      </x:c>
      <x:c r="C135" s="12" t="inlineStr">
        <x:is>
          <x:t xml:space="preserve">Executive Director</x:t>
        </x:is>
      </x:c>
      <x:c r="D135" s="14" t="n">
        <x:v>2024</x:v>
      </x:c>
      <x:c r="E135" s="12" t="inlineStr">
        <x:is>
          <x:t xml:space="preserve">2025-11-12</x:t>
        </x:is>
      </x:c>
      <x:c r="F135" s="12" t="n">
        <x:v>238121</x:v>
      </x:c>
      <x:c r="G135" s="12" t="n">
        <x:v>0</x:v>
      </x:c>
      <x:c r="H135" s="12" t="n">
        <x:v>22095</x:v>
      </x:c>
      <x:c r="I135" s="14" t="n">
        <x:v>253476.9479457615</x:v>
      </x:c>
      <x:c r="J135" s="14" t="n">
        <x:v>276996.8103890639</x:v>
      </x:c>
      <x:c r="K135" s="14" t="n">
        <x:v>7134049</x:v>
      </x:c>
      <x:c r="L135" s="14" t="n">
        <x:v>7006749</x:v>
      </x:c>
      <x:c r="M135" s="12" t="n"/>
      <x:c r="N135" s="12" t="inlineStr">
        <x:is>
          <x:t xml:space="preserve">primary</x:t>
        </x:is>
      </x:c>
      <x:c r="O135" s="12" t="n"/>
      <x:c r="P135" s="13" t="inlineStr">
        <x:is>
          <x:t xml:space="preserve">departed_at_fiscal_year_end_after_full_compensation_year</x:t>
        </x:is>
      </x:c>
      <x:c r="Q135" s="12" t="inlineStr">
        <x:is>
          <x:t xml:space="preserve">41-1735501</x:t>
        </x:is>
      </x:c>
      <x:c r="R135" s="12" t="n">
        <x:v>2.02513169349301e+17</x:v>
      </x:c>
      <x:c r="S135" s="16" t="inlineStr">
        <x:is>
          <x:t xml:space="preserve">https://apps.irs.gov/pub/epostcard/990/xml/2025/202513169349301031_public.xml</x:t>
        </x:is>
      </x:c>
      <x:c r="T135" s="16" t="inlineStr">
        <x:is>
          <x:t xml:space="preserve">https://projects.propublica.org/nonprofits/organizations/411735501</x:t>
        </x:is>
      </x:c>
      <x:c r="U135" s="17" t="inlineStr">
        <x:is>
          <x:t xml:space="preserve">SRC-990-EXT-FRESH-ENERGY</x:t>
        </x:is>
      </x:c>
    </x:row>
    <x:row r="136">
      <x:c r="A136" s="12" t="inlineStr">
        <x:is>
          <x:t xml:space="preserve">Institute for Market Transformation</x:t>
        </x:is>
      </x:c>
      <x:c r="B136" s="12" t="inlineStr">
        <x:is>
          <x:t xml:space="preserve">Alex Dews</x:t>
        </x:is>
      </x:c>
      <x:c r="C136" s="12" t="inlineStr">
        <x:is>
          <x:t xml:space="preserve">CEO</x:t>
        </x:is>
      </x:c>
      <x:c r="D136" s="14" t="n">
        <x:v>2024</x:v>
      </x:c>
      <x:c r="E136" s="12" t="inlineStr">
        <x:is>
          <x:t xml:space="preserve">2025-10-09</x:t>
        </x:is>
      </x:c>
      <x:c r="F136" s="12" t="n">
        <x:v>211550</x:v>
      </x:c>
      <x:c r="G136" s="12" t="n">
        <x:v>0</x:v>
      </x:c>
      <x:c r="H136" s="12" t="n">
        <x:v>22047</x:v>
      </x:c>
      <x:c r="I136" s="14" t="n">
        <x:v>225192.4371975838</x:v>
      </x:c>
      <x:c r="J136" s="14" t="n">
        <x:v>248661.2042167052</x:v>
      </x:c>
      <x:c r="K136" s="14" t="n">
        <x:v>6537555</x:v>
      </x:c>
      <x:c r="L136" s="14" t="n">
        <x:v>8135948</x:v>
      </x:c>
      <x:c r="M136" s="12" t="n"/>
      <x:c r="N136" s="12" t="inlineStr">
        <x:is>
          <x:t xml:space="preserve">structural_sensitivity</x:t>
        </x:is>
      </x:c>
      <x:c r="O136" s="13" t="inlineStr">
        <x:is>
          <x:t xml:space="preserve">Exact CEO start date was not established; excluded from primary rather than silently treating as full-year.</x:t>
        </x:is>
      </x:c>
      <x:c r="P136" s="13" t="inlineStr">
        <x:is>
          <x:t xml:space="preserve">possible_role_transition_during_compensation_year</x:t>
        </x:is>
      </x:c>
      <x:c r="Q136" s="12" t="inlineStr">
        <x:is>
          <x:t xml:space="preserve">94-3241464</x:t>
        </x:is>
      </x:c>
      <x:c r="R136" s="12" t="n">
        <x:v>2.025128293493009e+17</x:v>
      </x:c>
      <x:c r="S136" s="16" t="inlineStr">
        <x:is>
          <x:t xml:space="preserve">https://apps.irs.gov/pub/epostcard/990/xml/2025/202512829349300921_public.xml</x:t>
        </x:is>
      </x:c>
      <x:c r="T136" s="16" t="inlineStr">
        <x:is>
          <x:t xml:space="preserve">https://projects.propublica.org/nonprofits/organizations/943241464</x:t>
        </x:is>
      </x:c>
      <x:c r="U136" s="16" t="inlineStr">
        <x:is>
          <x:t xml:space="preserve">SRC-990-EXT-INSTITUTE-FOR-MARKET-TRANSFORMATION</x:t>
        </x:is>
      </x:c>
    </x:row>
    <x:row r="137">
      <x:c r="A137" s="12" t="inlineStr">
        <x:is>
          <x:t xml:space="preserve">Project Drawdown</x:t>
        </x:is>
      </x:c>
      <x:c r="B137" s="12" t="inlineStr">
        <x:is>
          <x:t xml:space="preserve">Jonathan Foley</x:t>
        </x:is>
      </x:c>
      <x:c r="C137" s="12" t="inlineStr">
        <x:is>
          <x:t xml:space="preserve">Executive Director</x:t>
        </x:is>
      </x:c>
      <x:c r="D137" s="14" t="n">
        <x:v>2024</x:v>
      </x:c>
      <x:c r="E137" s="12" t="inlineStr">
        <x:is>
          <x:t xml:space="preserve">2025-09-09</x:t>
        </x:is>
      </x:c>
      <x:c r="F137" s="12" t="n">
        <x:v>417968</x:v>
      </x:c>
      <x:c r="G137" s="12" t="n">
        <x:v>0</x:v>
      </x:c>
      <x:c r="H137" s="12" t="n">
        <x:v>60392</x:v>
      </x:c>
      <x:c r="I137" s="14" t="n">
        <x:v>444921.921959819</x:v>
      </x:c>
      <x:c r="J137" s="14" t="n">
        <x:v>509208.4814835083</x:v>
      </x:c>
      <x:c r="K137" s="14" t="n">
        <x:v>8269185</x:v>
      </x:c>
      <x:c r="L137" s="14" t="n">
        <x:v>4479322</x:v>
      </x:c>
      <x:c r="M137" s="12" t="n"/>
      <x:c r="N137" s="12" t="inlineStr">
        <x:is>
          <x:t xml:space="preserve">primary</x:t>
        </x:is>
      </x:c>
      <x:c r="O137" s="12" t="n"/>
      <x:c r="P137" s="12" t="inlineStr">
        <x:is>
          <x:t xml:space="preserve">none</x:t>
        </x:is>
      </x:c>
      <x:c r="Q137" s="12" t="inlineStr">
        <x:is>
          <x:t xml:space="preserve">38-3705448</x:t>
        </x:is>
      </x:c>
      <x:c r="R137" s="12" t="n">
        <x:v>2.025125293493016e+17</x:v>
      </x:c>
      <x:c r="S137" s="16" t="inlineStr">
        <x:is>
          <x:t xml:space="preserve">https://apps.irs.gov/pub/epostcard/990/xml/2025/202512529349301621_public.xml</x:t>
        </x:is>
      </x:c>
      <x:c r="T137" s="16" t="inlineStr">
        <x:is>
          <x:t xml:space="preserve">https://projects.propublica.org/nonprofits/organizations/383705448</x:t>
        </x:is>
      </x:c>
      <x:c r="U137" s="17" t="inlineStr">
        <x:is>
          <x:t xml:space="preserve">SRC-990-EXT-PROJECT-DRAWDOWN</x:t>
        </x:is>
      </x:c>
    </x:row>
    <x:row r="138">
      <x:c r="A138" s="12" t="inlineStr">
        <x:is>
          <x:t xml:space="preserve">Energy for Growth Hub</x:t>
        </x:is>
      </x:c>
      <x:c r="B138" s="12" t="inlineStr">
        <x:is>
          <x:t xml:space="preserve">Todd Moss</x:t>
        </x:is>
      </x:c>
      <x:c r="C138" s="12" t="inlineStr">
        <x:is>
          <x:t xml:space="preserve">Executive Director</x:t>
        </x:is>
      </x:c>
      <x:c r="D138" s="14" t="n">
        <x:v>2024</x:v>
      </x:c>
      <x:c r="E138" s="12" t="inlineStr">
        <x:is>
          <x:t xml:space="preserve">2025-11-17</x:t>
        </x:is>
      </x:c>
      <x:c r="F138" s="12" t="n">
        <x:v>420000</x:v>
      </x:c>
      <x:c r="G138" s="12" t="n">
        <x:v>0</x:v>
      </x:c>
      <x:c r="H138" s="12" t="n">
        <x:v>78616</x:v>
      </x:c>
      <x:c r="I138" s="14" t="n">
        <x:v>447084.9615834801</x:v>
      </x:c>
      <x:c r="J138" s="14" t="n">
        <x:v>530770.7504878774</x:v>
      </x:c>
      <x:c r="K138" s="14" t="n">
        <x:v>2561222</x:v>
      </x:c>
      <x:c r="L138" s="14" t="n">
        <x:v>2824520</x:v>
      </x:c>
      <x:c r="M138" s="12" t="n"/>
      <x:c r="N138" s="12" t="inlineStr">
        <x:is>
          <x:t xml:space="preserve">primary</x:t>
        </x:is>
      </x:c>
      <x:c r="O138" s="12" t="n"/>
      <x:c r="P138" s="12" t="inlineStr">
        <x:is>
          <x:t xml:space="preserve">none</x:t>
        </x:is>
      </x:c>
      <x:c r="Q138" s="12" t="inlineStr">
        <x:is>
          <x:t xml:space="preserve">83-1609680</x:t>
        </x:is>
      </x:c>
      <x:c r="R138" s="12" t="n">
        <x:v>2.025132193493228e+17</x:v>
      </x:c>
      <x:c r="S138" s="16" t="inlineStr">
        <x:is>
          <x:t xml:space="preserve">https://apps.irs.gov/pub/epostcard/990/xml/2025/202513219349322806_public.xml</x:t>
        </x:is>
      </x:c>
      <x:c r="T138" s="16" t="inlineStr">
        <x:is>
          <x:t xml:space="preserve">https://projects.propublica.org/nonprofits/organizations/831609680</x:t>
        </x:is>
      </x:c>
      <x:c r="U138" s="17" t="inlineStr">
        <x:is>
          <x:t xml:space="preserve">SRC-990-EXT-ENERGY-FOR-GROWTH-HUB</x:t>
        </x:is>
      </x:c>
    </x:row>
    <x:row r="139">
      <x:c r="A139" s="12" t="inlineStr">
        <x:is>
          <x:t xml:space="preserve">Better Food Foundation</x:t>
        </x:is>
      </x:c>
      <x:c r="B139" s="12" t="inlineStr">
        <x:is>
          <x:t xml:space="preserve">Jennifer Channin</x:t>
        </x:is>
      </x:c>
      <x:c r="C139" s="12" t="inlineStr">
        <x:is>
          <x:t xml:space="preserve">Executive Director</x:t>
        </x:is>
      </x:c>
      <x:c r="D139" s="14" t="n">
        <x:v>2024</x:v>
      </x:c>
      <x:c r="E139" s="12" t="inlineStr">
        <x:is>
          <x:t xml:space="preserve">2025-11-13</x:t>
        </x:is>
      </x:c>
      <x:c r="F139" s="12" t="n">
        <x:v>93250</x:v>
      </x:c>
      <x:c r="G139" s="12" t="n">
        <x:v>0</x:v>
      </x:c>
      <x:c r="H139" s="12" t="n">
        <x:v>4000</x:v>
      </x:c>
      <x:c r="I139" s="14" t="n">
        <x:v>99263.50635157026</x:v>
      </x:c>
      <x:c r="J139" s="14" t="n">
        <x:v>103521.458366651</x:v>
      </x:c>
      <x:c r="K139" s="14" t="n">
        <x:v>1677632</x:v>
      </x:c>
      <x:c r="L139" s="14" t="n">
        <x:v>1787294</x:v>
      </x:c>
      <x:c r="M139" s="12" t="n"/>
      <x:c r="N139" s="12" t="inlineStr">
        <x:is>
          <x:t xml:space="preserve">primary_with_structure_flag</x:t>
        </x:is>
      </x:c>
      <x:c r="O139" s="12" t="n"/>
      <x:c r="P139" s="12" t="inlineStr">
        <x:is>
          <x:t xml:space="preserve">well_below_scale_food_system_strategy</x:t>
        </x:is>
      </x:c>
      <x:c r="Q139" s="12" t="inlineStr">
        <x:is>
          <x:t xml:space="preserve">81-4537521</x:t>
        </x:is>
      </x:c>
      <x:c r="R139" s="12" t="n">
        <x:v>2.025331693493053e+17</x:v>
      </x:c>
      <x:c r="S139" s="16" t="inlineStr">
        <x:is>
          <x:t xml:space="preserve">https://apps.irs.gov/pub/epostcard/990/xml/2025/202533169349305288_public.xml</x:t>
        </x:is>
      </x:c>
      <x:c r="T139" s="16" t="inlineStr">
        <x:is>
          <x:t xml:space="preserve">https://projects.propublica.org/nonprofits/organizations/814537521</x:t>
        </x:is>
      </x:c>
      <x:c r="U139" s="17" t="inlineStr">
        <x:is>
          <x:t xml:space="preserve">SRC-990-EXT-BETTER-FOOD-FOUNDATION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38" customWidth="1"/>
    <x:col min="3" max="3" width="35" customWidth="1"/>
    <x:col min="4" max="4" width="20" customWidth="1"/>
    <x:col min="5" max="5" width="12" customWidth="1"/>
    <x:col min="6" max="6" width="12" customWidth="1"/>
    <x:col min="7" max="7" width="14" customWidth="1"/>
    <x:col min="8" max="8" width="14" customWidth="1"/>
    <x:col min="9" max="9" width="19" customWidth="1"/>
    <x:col min="10" max="10" width="38" customWidth="1"/>
    <x:col min="11" max="11" width="38" customWidth="1"/>
    <x:col min="12" max="12" width="16" customWidth="1"/>
    <x:col min="13" max="13" width="11" customWidth="1"/>
    <x:col min="14" max="14" width="34" customWidth="1"/>
    <x:col min="15" max="15" width="26" customWidth="1"/>
    <x:col min="16" max="16" width="42" customWidth="1"/>
  </x:cols>
  <x:sheetData>
    <x:row r="1" ht="28" customHeight="1">
      <x:c r="A1" s="1" t="inlineStr">
        <x:is>
          <x:t xml:space="preserve">Current Recruitment Evidence</x:t>
        </x:is>
      </x:c>
    </x:row>
    <x:row r="2" ht="28" customHeight="1">
      <x:c r="A2" s="2" t="inlineStr">
        <x:is>
          <x:t xml:space="preserve">Posted base-salary ranges only; separate from incumbent Form 990 compensation</x:t>
        </x:is>
      </x:c>
    </x:row>
    <x:row r="3"/>
    <x:row r="4" ht="30" customHeight="1">
      <x:c r="A4" s="3" t="inlineStr">
        <x:is>
          <x:t xml:space="preserve">Organization</x:t>
        </x:is>
      </x:c>
      <x:c r="B4" s="3" t="inlineStr">
        <x:is>
          <x:t xml:space="preserve">Role</x:t>
        </x:is>
      </x:c>
      <x:c r="C4" s="3" t="inlineStr">
        <x:is>
          <x:t xml:space="preserve">Posting date</x:t>
        </x:is>
      </x:c>
      <x:c r="D4" s="3" t="inlineStr">
        <x:is>
          <x:t xml:space="preserve">CPI factor</x:t>
        </x:is>
      </x:c>
      <x:c r="E4" s="3" t="inlineStr">
        <x:is>
          <x:t xml:space="preserve">Salary min</x:t>
        </x:is>
      </x:c>
      <x:c r="F4" s="3" t="inlineStr">
        <x:is>
          <x:t xml:space="preserve">Salary max</x:t>
        </x:is>
      </x:c>
      <x:c r="G4" s="3" t="inlineStr">
        <x:is>
          <x:t xml:space="preserve">Adjusted min</x:t>
        </x:is>
      </x:c>
      <x:c r="H4" s="3" t="inlineStr">
        <x:is>
          <x:t xml:space="preserve">Adjusted max</x:t>
        </x:is>
      </x:c>
      <x:c r="I4" s="3" t="inlineStr">
        <x:is>
          <x:t xml:space="preserve">Adjusted midpoint</x:t>
        </x:is>
      </x:c>
      <x:c r="J4" s="3" t="inlineStr">
        <x:is>
          <x:t xml:space="preserve">Location</x:t>
        </x:is>
      </x:c>
      <x:c r="K4" s="3" t="inlineStr">
        <x:is>
          <x:t xml:space="preserve">Remote status</x:t>
        </x:is>
      </x:c>
      <x:c r="L4" s="3" t="inlineStr">
        <x:is>
          <x:t xml:space="preserve">Budget/expense</x:t>
        </x:is>
      </x:c>
      <x:c r="M4" s="3" t="inlineStr">
        <x:is>
          <x:t xml:space="preserve">Staff</x:t>
        </x:is>
      </x:c>
      <x:c r="N4" s="3" t="inlineStr">
        <x:is>
          <x:t xml:space="preserve">Tier</x:t>
        </x:is>
      </x:c>
      <x:c r="O4" s="3" t="inlineStr">
        <x:is>
          <x:t xml:space="preserve">Source ID</x:t>
        </x:is>
      </x:c>
      <x:c r="P4" s="3" t="inlineStr">
        <x:is>
          <x:t xml:space="preserve">Original URL</x:t>
        </x:is>
      </x:c>
    </x:row>
    <x:row r="5">
      <x:c r="A5" s="16" t="inlineStr">
        <x:is>
          <x:t xml:space="preserve">Technical Assistance Collaborative</x:t>
        </x:is>
      </x:c>
      <x:c r="B5" s="16" t="inlineStr">
        <x:is>
          <x:t xml:space="preserve">Chief Executive Officer</x:t>
        </x:is>
      </x:c>
      <x:c r="C5" s="17" t="inlineStr">
        <x:is>
          <x:t xml:space="preserve">2026-06-01</x:t>
        </x:is>
      </x:c>
      <x:c r="D5" s="18" t="n">
        <x:v>0.999898188961288</x:v>
      </x:c>
      <x:c r="E5" s="19" t="n">
        <x:v>240000</x:v>
      </x:c>
      <x:c r="F5" s="19" t="n">
        <x:v>300000</x:v>
      </x:c>
      <x:c r="G5" s="20" t="n">
        <x:f>E5*D5</x:f>
        <x:v>239975.56535070913</x:v>
      </x:c>
      <x:c r="H5" s="20" t="n">
        <x:f>F5*D5</x:f>
        <x:v>299969.4566883864</x:v>
      </x:c>
      <x:c r="I5" s="20" t="n">
        <x:f>AVERAGE(G5:H5)</x:f>
        <x:v>269972.51101954776</x:v>
      </x:c>
      <x:c r="J5" s="22" t="inlineStr">
        <x:is>
          <x:t xml:space="preserve">Boston, Massachusetts</x:t>
        </x:is>
      </x:c>
      <x:c r="K5" s="21" t="inlineStr">
        <x:is>
          <x:t xml:space="preserve">Hybrid</x:t>
        </x:is>
      </x:c>
      <x:c r="L5" s="19" t="n">
        <x:v>14000000</x:v>
      </x:c>
      <x:c r="M5" s="22" t="n">
        <x:v>43</x:v>
      </x:c>
      <x:c r="N5" s="16" t="inlineStr">
        <x:is>
          <x:t xml:space="preserve">strict_primary</x:t>
        </x:is>
      </x:c>
      <x:c r="O5" s="17" t="inlineStr">
        <x:is>
          <x:t xml:space="preserve">SRC-AD-TAC-2026</x:t>
        </x:is>
      </x:c>
      <x:c r="P5" s="16" t="inlineStr">
        <x:is>
          <x:t xml:space="preserve">https://www.nonprofitoperations.com/job-submissions/chief-executive-officer-/technical-assistance-collaborative</x:t>
        </x:is>
      </x:c>
    </x:row>
    <x:row r="6">
      <x:c r="A6" s="16" t="inlineStr">
        <x:is>
          <x:t xml:space="preserve">San Francisco Estuary Institute</x:t>
        </x:is>
      </x:c>
      <x:c r="B6" s="16" t="inlineStr">
        <x:is>
          <x:t xml:space="preserve">Executive Director</x:t>
        </x:is>
      </x:c>
      <x:c r="C6" s="17" t="inlineStr">
        <x:is>
          <x:t xml:space="preserve">2026-05-05</x:t>
        </x:is>
      </x:c>
      <x:c r="D6" s="18" t="n">
        <x:v>0.9964043052849252</x:v>
      </x:c>
      <x:c r="E6" s="19" t="n">
        <x:v>200000</x:v>
      </x:c>
      <x:c r="F6" s="19" t="n">
        <x:v>240000</x:v>
      </x:c>
      <x:c r="G6" s="20" t="n">
        <x:f>E6*D6</x:f>
        <x:v>199280.86105698504</x:v>
      </x:c>
      <x:c r="H6" s="20" t="n">
        <x:f>F6*D6</x:f>
        <x:v>239137.03326838205</x:v>
      </x:c>
      <x:c r="I6" s="20" t="n">
        <x:f>AVERAGE(G6:H6)</x:f>
        <x:v>219208.94716268353</x:v>
      </x:c>
      <x:c r="J6" s="22" t="inlineStr">
        <x:is>
          <x:t xml:space="preserve">Richmond, California</x:t>
        </x:is>
      </x:c>
      <x:c r="K6" s="21" t="inlineStr">
        <x:is>
          <x:t xml:space="preserve">Hybrid</x:t>
        </x:is>
      </x:c>
      <x:c r="L6" s="19" t="n">
        <x:v>19110000</x:v>
      </x:c>
      <x:c r="M6" s="22" t="n">
        <x:v>98</x:v>
      </x:c>
      <x:c r="N6" s="16" t="inlineStr">
        <x:is>
          <x:t xml:space="preserve">strict_primary</x:t>
        </x:is>
      </x:c>
      <x:c r="O6" s="17" t="inlineStr">
        <x:is>
          <x:t xml:space="preserve">SRC-AD-SFEI-2026</x:t>
        </x:is>
      </x:c>
      <x:c r="P6" s="16" t="inlineStr">
        <x:is>
          <x:t xml:space="preserve">https://www.sfei.org/news/sfei-seeks-our-next-executive-director</x:t>
        </x:is>
      </x:c>
    </x:row>
    <x:row r="7">
      <x:c r="A7" s="16" t="inlineStr">
        <x:is>
          <x:t xml:space="preserve">PEAK Grantmaking</x:t>
        </x:is>
      </x:c>
      <x:c r="B7" s="16" t="inlineStr">
        <x:is>
          <x:t xml:space="preserve">President and Chief Executive Officer</x:t>
        </x:is>
      </x:c>
      <x:c r="C7" s="17" t="inlineStr">
        <x:is>
          <x:t xml:space="preserve">2026-04 (exact day not displayed)</x:t>
        </x:is>
      </x:c>
      <x:c r="D7" s="18" t="n">
        <x:v>1.002696534742658</x:v>
      </x:c>
      <x:c r="E7" s="19" t="n">
        <x:v>225000</x:v>
      </x:c>
      <x:c r="F7" s="19" t="n">
        <x:v>275000</x:v>
      </x:c>
      <x:c r="G7" s="20" t="n">
        <x:f>E7*D7</x:f>
        <x:v>225606.72031709805</x:v>
      </x:c>
      <x:c r="H7" s="20" t="n">
        <x:f>F7*D7</x:f>
        <x:v>275741.54705423093</x:v>
      </x:c>
      <x:c r="I7" s="20" t="n">
        <x:f>AVERAGE(G7:H7)</x:f>
        <x:v>250674.1336856645</x:v>
      </x:c>
      <x:c r="J7" s="22" t="inlineStr">
        <x:is>
          <x:t xml:space="preserve">United States</x:t>
        </x:is>
      </x:c>
      <x:c r="K7" s="21" t="inlineStr">
        <x:is>
          <x:t xml:space="preserve">Fully remote</x:t>
        </x:is>
      </x:c>
      <x:c r="L7" s="19" t="n">
        <x:v>7130000</x:v>
      </x:c>
      <x:c r="M7" s="22" t="n"/>
      <x:c r="N7" s="16" t="inlineStr">
        <x:is>
          <x:t xml:space="preserve">strict_primary</x:t>
        </x:is>
      </x:c>
      <x:c r="O7" s="17" t="inlineStr">
        <x:is>
          <x:t xml:space="preserve">SRC-AD-PEAK-2026</x:t>
        </x:is>
      </x:c>
      <x:c r="P7" s="16" t="inlineStr">
        <x:is>
          <x:t xml:space="preserve">https://nonprofithr.applytojob.com/apply/RQG6pztBvo/President-Chief-Executive-Officer-CEO-PEAK-Grantmaking</x:t>
        </x:is>
      </x:c>
    </x:row>
    <x:row r="8">
      <x:c r="A8" s="16" t="inlineStr">
        <x:is>
          <x:t xml:space="preserve">The Climate Center</x:t>
        </x:is>
      </x:c>
      <x:c r="B8" s="16" t="inlineStr">
        <x:is>
          <x:t xml:space="preserve">Chief Executive Officer</x:t>
        </x:is>
      </x:c>
      <x:c r="C8" s="17" t="inlineStr">
        <x:is>
          <x:t xml:space="preserve">2026-04 (exact day not displayed)</x:t>
        </x:is>
      </x:c>
      <x:c r="D8" s="18" t="n">
        <x:v>1.002696534742658</x:v>
      </x:c>
      <x:c r="E8" s="19" t="n">
        <x:v>195000</x:v>
      </x:c>
      <x:c r="F8" s="19" t="n">
        <x:v>235000</x:v>
      </x:c>
      <x:c r="G8" s="20" t="n">
        <x:f>E8*D8</x:f>
        <x:v>195525.8242748183</x:v>
      </x:c>
      <x:c r="H8" s="20" t="n">
        <x:f>F8*D8</x:f>
        <x:v>235633.68566452462</x:v>
      </x:c>
      <x:c r="I8" s="20" t="n">
        <x:f>AVERAGE(G8:H8)</x:f>
        <x:v>215579.75496967146</x:v>
      </x:c>
      <x:c r="J8" s="22" t="inlineStr">
        <x:is>
          <x:t xml:space="preserve">United States</x:t>
        </x:is>
      </x:c>
      <x:c r="K8" s="21" t="inlineStr">
        <x:is>
          <x:t xml:space="preserve">Remote</x:t>
        </x:is>
      </x:c>
      <x:c r="L8" s="19" t="n">
        <x:v>3345000</x:v>
      </x:c>
      <x:c r="M8" s="22" t="n"/>
      <x:c r="N8" s="16" t="inlineStr">
        <x:is>
          <x:t xml:space="preserve">secondary</x:t>
        </x:is>
      </x:c>
      <x:c r="O8" s="17" t="inlineStr">
        <x:is>
          <x:t xml:space="preserve">SRC-AD-CLIMATE-2026</x:t>
        </x:is>
      </x:c>
      <x:c r="P8" s="16" t="inlineStr">
        <x:is>
          <x:t xml:space="preserve">https://www.abfe.org/jobs/chief-executive-officer-climate-center</x:t>
        </x:is>
      </x:c>
    </x:row>
    <x:row r="9">
      <x:c r="A9" s="16" t="inlineStr">
        <x:is>
          <x:t xml:space="preserve">The LeadersTrust</x:t>
        </x:is>
      </x:c>
      <x:c r="B9" s="16" t="inlineStr">
        <x:is>
          <x:t xml:space="preserve">Executive Director</x:t>
        </x:is>
      </x:c>
      <x:c r="C9" s="17" t="inlineStr">
        <x:is>
          <x:t xml:space="preserve">2026-06-16</x:t>
        </x:is>
      </x:c>
      <x:c r="D9" s="18" t="n">
        <x:v>0.999898188961288</x:v>
      </x:c>
      <x:c r="E9" s="19" t="n">
        <x:v>200000</x:v>
      </x:c>
      <x:c r="F9" s="19" t="n">
        <x:v>225000</x:v>
      </x:c>
      <x:c r="G9" s="20" t="n">
        <x:f>E9*D9</x:f>
        <x:v>199979.6377922576</x:v>
      </x:c>
      <x:c r="H9" s="20" t="n">
        <x:f>F9*D9</x:f>
        <x:v>224977.0925162898</x:v>
      </x:c>
      <x:c r="I9" s="20" t="n">
        <x:f>AVERAGE(G9:H9)</x:f>
        <x:v>212478.3651542737</x:v>
      </x:c>
      <x:c r="J9" s="22" t="inlineStr">
        <x:is>
          <x:t xml:space="preserve">United States</x:t>
        </x:is>
      </x:c>
      <x:c r="K9" s="21" t="inlineStr">
        <x:is>
          <x:t xml:space="preserve">Remote</x:t>
        </x:is>
      </x:c>
      <x:c r="L9" s="19" t="n"/>
      <x:c r="M9" s="22" t="n">
        <x:v>6</x:v>
      </x:c>
      <x:c r="N9" s="16" t="inlineStr">
        <x:is>
          <x:t xml:space="preserve">secondary_structural</x:t>
        </x:is>
      </x:c>
      <x:c r="O9" s="17" t="inlineStr">
        <x:is>
          <x:t xml:space="preserve">SRC-AD-LEADERSTRUST-2026</x:t>
        </x:is>
      </x:c>
      <x:c r="P9" s="16" t="inlineStr">
        <x:is>
          <x:t xml:space="preserve">https://theleaderstrust.org/now-hiring-executive-director/</x:t>
        </x:is>
      </x:c>
    </x:row>
    <x:row r="10">
      <x:c r="A10" s="16" t="inlineStr">
        <x:is>
          <x:t xml:space="preserve">Federal Funds Information for States</x:t>
        </x:is>
      </x:c>
      <x:c r="B10" s="16" t="inlineStr">
        <x:is>
          <x:t xml:space="preserve">Executive Director and Executive Editor</x:t>
        </x:is>
      </x:c>
      <x:c r="C10" s="17" t="inlineStr">
        <x:is>
          <x:t xml:space="preserve">2026-07-15</x:t>
        </x:is>
      </x:c>
      <x:c r="D10" s="18" t="n">
        <x:v>1</x:v>
      </x:c>
      <x:c r="E10" s="19" t="n">
        <x:v>220000</x:v>
      </x:c>
      <x:c r="F10" s="19" t="n">
        <x:v>220000</x:v>
      </x:c>
      <x:c r="G10" s="20" t="n">
        <x:f>E10*D10</x:f>
        <x:v>220000</x:v>
      </x:c>
      <x:c r="H10" s="20" t="n">
        <x:f>F10*D10</x:f>
        <x:v>220000</x:v>
      </x:c>
      <x:c r="I10" s="20" t="n">
        <x:f>AVERAGE(G10:H10)</x:f>
        <x:v>220000</x:v>
      </x:c>
      <x:c r="J10" s="22" t="inlineStr">
        <x:is>
          <x:t xml:space="preserve">Washington, DC</x:t>
        </x:is>
      </x:c>
      <x:c r="K10" s="21" t="inlineStr">
        <x:is>
          <x:t xml:space="preserve">On-site/unspecified flexibility</x:t>
        </x:is>
      </x:c>
      <x:c r="L10" s="19" t="n"/>
      <x:c r="M10" s="22" t="n">
        <x:v>4</x:v>
      </x:c>
      <x:c r="N10" s="16" t="inlineStr">
        <x:is>
          <x:t xml:space="preserve">secondary_scale</x:t>
        </x:is>
      </x:c>
      <x:c r="O10" s="17" t="inlineStr">
        <x:is>
          <x:t xml:space="preserve">SRC-AD-FFIS-2026</x:t>
        </x:is>
      </x:c>
      <x:c r="P10" s="16" t="inlineStr">
        <x:is>
          <x:t xml:space="preserve">https://recruiting.paylocity.com/recruiting/jobs/Details/4336561/Federal-Funds-Information-for-States-Inc/Executive-Director-and-Executive-Editor</x:t>
        </x:is>
      </x:c>
    </x:row>
    <x:row r="11">
      <x:c r="A11" s="16" t="inlineStr">
        <x:is>
          <x:t xml:space="preserve">Environmental Leadership Program</x:t>
        </x:is>
      </x:c>
      <x:c r="B11" s="16" t="inlineStr">
        <x:is>
          <x:t xml:space="preserve">Executive Director</x:t>
        </x:is>
      </x:c>
      <x:c r="C11" s="17" t="inlineStr">
        <x:is>
          <x:t xml:space="preserve">2026</x:t>
        </x:is>
      </x:c>
      <x:c r="D11" s="18" t="n">
        <x:v>1</x:v>
      </x:c>
      <x:c r="E11" s="19" t="n">
        <x:v>135000</x:v>
      </x:c>
      <x:c r="F11" s="19" t="n">
        <x:v>150000</x:v>
      </x:c>
      <x:c r="G11" s="20" t="n">
        <x:f>E11*D11</x:f>
        <x:v>135000</x:v>
      </x:c>
      <x:c r="H11" s="20" t="n">
        <x:f>F11*D11</x:f>
        <x:v>150000</x:v>
      </x:c>
      <x:c r="I11" s="20" t="n">
        <x:f>AVERAGE(G11:H11)</x:f>
        <x:v>142500</x:v>
      </x:c>
      <x:c r="J11" s="22" t="inlineStr">
        <x:is>
          <x:t xml:space="preserve">Remote US</x:t>
        </x:is>
      </x:c>
      <x:c r="K11" s="21" t="inlineStr">
        <x:is>
          <x:t xml:space="preserve">varies/unknown</x:t>
        </x:is>
      </x:c>
      <x:c r="L11" s="19" t="n"/>
      <x:c r="M11" s="22" t="n"/>
      <x:c r="N11" s="16" t="inlineStr">
        <x:is>
          <x:t xml:space="preserve">expanded_secondary_scale</x:t>
        </x:is>
      </x:c>
      <x:c r="O11" s="17" t="inlineStr">
        <x:is>
          <x:t xml:space="preserve">SRC-AD-ELP-2026</x:t>
        </x:is>
      </x:c>
      <x:c r="P11" s="16" t="inlineStr">
        <x:is>
          <x:t xml:space="preserve">https://elpnet.org/executive-director-position</x:t>
        </x:is>
      </x:c>
    </x:row>
    <x:row r="12">
      <x:c r="A12" s="16" t="inlineStr">
        <x:is>
          <x:t xml:space="preserve">The 5 Gyres Institute</x:t>
        </x:is>
      </x:c>
      <x:c r="B12" s="16" t="inlineStr">
        <x:is>
          <x:t xml:space="preserve">Executive Director</x:t>
        </x:is>
      </x:c>
      <x:c r="C12" s="17" t="inlineStr">
        <x:is>
          <x:t xml:space="preserve">2025-12-18</x:t>
        </x:is>
      </x:c>
      <x:c r="D12" s="18" t="n">
        <x:v>1.026643956070985</x:v>
      </x:c>
      <x:c r="E12" s="19" t="n">
        <x:v>130000</x:v>
      </x:c>
      <x:c r="F12" s="19" t="n">
        <x:v>150000</x:v>
      </x:c>
      <x:c r="G12" s="20" t="n">
        <x:f>E12*D12</x:f>
        <x:v>133463.71428922805</x:v>
      </x:c>
      <x:c r="H12" s="20" t="n">
        <x:f>F12*D12</x:f>
        <x:v>153996.59341064777</x:v>
      </x:c>
      <x:c r="I12" s="20" t="n">
        <x:f>AVERAGE(G12:H12)</x:f>
        <x:v>143730.1538499379</x:v>
      </x:c>
      <x:c r="J12" s="22" t="inlineStr">
        <x:is>
          <x:t xml:space="preserve">Remote/hybrid; West Coast preferred</x:t>
        </x:is>
      </x:c>
      <x:c r="K12" s="21" t="inlineStr">
        <x:is>
          <x:t xml:space="preserve">Remote with regular travel</x:t>
        </x:is>
      </x:c>
      <x:c r="L12" s="19" t="n">
        <x:v>1700000</x:v>
      </x:c>
      <x:c r="M12" s="22" t="n"/>
      <x:c r="N12" s="16" t="inlineStr">
        <x:is>
          <x:t xml:space="preserve">expanded_secondary_scale</x:t>
        </x:is>
      </x:c>
      <x:c r="O12" s="17" t="inlineStr">
        <x:is>
          <x:t xml:space="preserve">SRC-AD-5GYRES-2026</x:t>
        </x:is>
      </x:c>
      <x:c r="P12" s="16" t="inlineStr">
        <x:is>
          <x:t xml:space="preserve">https://www.climatechangecareers.com/job/the-5-gyres-institute/remote/executive-director/</x:t>
        </x:is>
      </x:c>
    </x:row>
    <x:row r="13">
      <x:c r="A13" s="16" t="inlineStr">
        <x:is>
          <x:t xml:space="preserve">Dream.Org</x:t>
        </x:is>
      </x:c>
      <x:c r="B13" s="16" t="inlineStr">
        <x:is>
          <x:t xml:space="preserve">Chief Executive Officer</x:t>
        </x:is>
      </x:c>
      <x:c r="C13" s="17" t="inlineStr">
        <x:is>
          <x:t xml:space="preserve">2026-06-02</x:t>
        </x:is>
      </x:c>
      <x:c r="D13" s="18" t="n">
        <x:v>0.999898188961288</x:v>
      </x:c>
      <x:c r="E13" s="19" t="n">
        <x:v>260000</x:v>
      </x:c>
      <x:c r="F13" s="19" t="n">
        <x:v>290000</x:v>
      </x:c>
      <x:c r="G13" s="20" t="n">
        <x:f>E13*D13</x:f>
        <x:v>259973.52912993488</x:v>
      </x:c>
      <x:c r="H13" s="20" t="n">
        <x:f>F13*D13</x:f>
        <x:v>289970.47479877353</x:v>
      </x:c>
      <x:c r="I13" s="20" t="n">
        <x:f>AVERAGE(G13:H13)</x:f>
        <x:v>274972.0019643542</x:v>
      </x:c>
      <x:c r="J13" s="22" t="inlineStr">
        <x:is>
          <x:t xml:space="preserve">Oakland, CA or Washington, DC</x:t>
        </x:is>
      </x:c>
      <x:c r="K13" s="21" t="inlineStr">
        <x:is>
          <x:t xml:space="preserve">Hybrid</x:t>
        </x:is>
      </x:c>
      <x:c r="L13" s="19" t="n"/>
      <x:c r="M13" s="22" t="n">
        <x:v>39</x:v>
      </x:c>
      <x:c r="N13" s="16" t="inlineStr">
        <x:is>
          <x:t xml:space="preserve">expanded_primary_title</x:t>
        </x:is>
      </x:c>
      <x:c r="O13" s="17" t="inlineStr">
        <x:is>
          <x:t xml:space="preserve">SRC-AD-DREAM-2026</x:t>
        </x:is>
      </x:c>
      <x:c r="P13" s="16" t="inlineStr">
        <x:is>
          <x:t xml:space="preserve">https://www.nonprofitoperations.com/job-submissions/chief-executive-officer-/dream.org-</x:t>
        </x:is>
      </x:c>
    </x:row>
    <x:row r="14">
      <x:c r="A14" s="16" t="inlineStr">
        <x:is>
          <x:t xml:space="preserve">Appleseed Foundation</x:t>
        </x:is>
      </x:c>
      <x:c r="B14" s="16" t="inlineStr">
        <x:is>
          <x:t xml:space="preserve">Executive Director</x:t>
        </x:is>
      </x:c>
      <x:c r="C14" s="17" t="inlineStr">
        <x:is>
          <x:t xml:space="preserve">2026-06-29</x:t>
        </x:is>
      </x:c>
      <x:c r="D14" s="18" t="n">
        <x:v>0.999898188961288</x:v>
      </x:c>
      <x:c r="E14" s="19" t="n">
        <x:v>120000</x:v>
      </x:c>
      <x:c r="F14" s="19" t="n">
        <x:v>155000</x:v>
      </x:c>
      <x:c r="G14" s="20" t="n">
        <x:f>E14*D14</x:f>
        <x:v>119987.78267535457</x:v>
      </x:c>
      <x:c r="H14" s="20" t="n">
        <x:f>F14*D14</x:f>
        <x:v>154984.21928899965</x:v>
      </x:c>
      <x:c r="I14" s="20" t="n">
        <x:f>AVERAGE(G14:H14)</x:f>
        <x:v>137486.0009821771</x:v>
      </x:c>
      <x:c r="J14" s="22" t="inlineStr">
        <x:is>
          <x:t xml:space="preserve">United States</x:t>
        </x:is>
      </x:c>
      <x:c r="K14" s="21" t="inlineStr">
        <x:is>
          <x:t xml:space="preserve">Fully remote</x:t>
        </x:is>
      </x:c>
      <x:c r="L14" s="19" t="n"/>
      <x:c r="M14" s="22" t="n"/>
      <x:c r="N14" s="16" t="inlineStr">
        <x:is>
          <x:t xml:space="preserve">expanded_secondary_scale_unknown</x:t>
        </x:is>
      </x:c>
      <x:c r="O14" s="17" t="inlineStr">
        <x:is>
          <x:t xml:space="preserve">SRC-AD-APPLESEED-2026</x:t>
        </x:is>
      </x:c>
      <x:c r="P14" s="16" t="inlineStr">
        <x:is>
          <x:t xml:space="preserve">https://remoteimpact.org/jobs/executive-director-appleseed-foundation/</x:t>
        </x:is>
      </x:c>
    </x:row>
    <x:row r="15">
      <x:c r="A15" s="16" t="inlineStr">
        <x:is>
          <x:t xml:space="preserve">Healthcare Career Advancement Program</x:t>
        </x:is>
      </x:c>
      <x:c r="B15" s="16" t="inlineStr">
        <x:is>
          <x:t xml:space="preserve">Executive Director</x:t>
        </x:is>
      </x:c>
      <x:c r="C15" s="17" t="inlineStr">
        <x:is>
          <x:t xml:space="preserve">2026-02-01</x:t>
        </x:is>
      </x:c>
      <x:c r="D15" s="18" t="n">
        <x:v>1.011220030707452</x:v>
      </x:c>
      <x:c r="E15" s="19" t="n">
        <x:v>150000</x:v>
      </x:c>
      <x:c r="F15" s="19" t="n">
        <x:v>170000</x:v>
      </x:c>
      <x:c r="G15" s="20" t="n">
        <x:f>E15*D15</x:f>
        <x:v>151683.00460611779</x:v>
      </x:c>
      <x:c r="H15" s="20" t="n">
        <x:f>F15*D15</x:f>
        <x:v>171907.40522026684</x:v>
      </x:c>
      <x:c r="I15" s="20" t="n">
        <x:f>AVERAGE(G15:H15)</x:f>
        <x:v>161795.2049131923</x:v>
      </x:c>
      <x:c r="J15" s="22" t="inlineStr">
        <x:is>
          <x:t xml:space="preserve">Remote</x:t>
        </x:is>
      </x:c>
      <x:c r="K15" s="21" t="inlineStr">
        <x:is>
          <x:t xml:space="preserve">Fully remote with travel</x:t>
        </x:is>
      </x:c>
      <x:c r="L15" s="19" t="n"/>
      <x:c r="M15" s="22" t="n">
        <x:v>13</x:v>
      </x:c>
      <x:c r="N15" s="16" t="inlineStr">
        <x:is>
          <x:t xml:space="preserve">expanded_secondary_structural</x:t>
        </x:is>
      </x:c>
      <x:c r="O15" s="17" t="inlineStr">
        <x:is>
          <x:t xml:space="preserve">SRC-AD-HCAP-2026</x:t>
        </x:is>
      </x:c>
      <x:c r="P15" s="16" t="inlineStr">
        <x:is>
          <x:t xml:space="preserve">https://dailyremote.com/remote-job/h-cap-executive-director-4517350</x:t>
        </x:is>
      </x:c>
    </x:row>
    <x:row r="16">
      <x:c r="A16" s="16" t="inlineStr">
        <x:is>
          <x:t xml:space="preserve">Hagley Museum and Library</x:t>
        </x:is>
      </x:c>
      <x:c r="B16" s="16" t="inlineStr">
        <x:is>
          <x:t xml:space="preserve">Chief Executive Officer</x:t>
        </x:is>
      </x:c>
      <x:c r="C16" s="17" t="inlineStr">
        <x:is>
          <x:t xml:space="preserve">2026-02-07</x:t>
        </x:is>
      </x:c>
      <x:c r="D16" s="18" t="n">
        <x:v>1.021827807273896</x:v>
      </x:c>
      <x:c r="E16" s="19" t="n">
        <x:v>225000</x:v>
      </x:c>
      <x:c r="F16" s="19" t="n">
        <x:v>260000</x:v>
      </x:c>
      <x:c r="G16" s="20" t="n">
        <x:f>E16*D16</x:f>
        <x:v>229911.2566366266</x:v>
      </x:c>
      <x:c r="H16" s="20" t="n">
        <x:f>F16*D16</x:f>
        <x:v>265675.22989121295</x:v>
      </x:c>
      <x:c r="I16" s="20" t="n">
        <x:f>AVERAGE(G16:H16)</x:f>
        <x:v>247793.24326391978</x:v>
      </x:c>
      <x:c r="J16" s="22" t="inlineStr">
        <x:is>
          <x:t xml:space="preserve">Wilmington, Delaware</x:t>
        </x:is>
      </x:c>
      <x:c r="K16" s="21" t="inlineStr">
        <x:is>
          <x:t xml:space="preserve">In-person</x:t>
        </x:is>
      </x:c>
      <x:c r="L16" s="19" t="n">
        <x:v>11500000</x:v>
      </x:c>
      <x:c r="M16" s="22" t="n">
        <x:v>78</x:v>
      </x:c>
      <x:c r="N16" s="16" t="inlineStr">
        <x:is>
          <x:t xml:space="preserve">expanded_broad_functional</x:t>
        </x:is>
      </x:c>
      <x:c r="O16" s="17" t="inlineStr">
        <x:is>
          <x:t xml:space="preserve">SRC-AD-HAGLEY-2026</x:t>
        </x:is>
      </x:c>
      <x:c r="P16" s="16" t="inlineStr">
        <x:is>
          <x:t xml:space="preserve">https://www.nonprofitoperations.com/job-submissions/chief-executive-officer-/hagley-museum-and-library-</x:t>
        </x:is>
      </x:c>
    </x:row>
    <x:row r="17">
      <x:c r="A17" s="16" t="inlineStr">
        <x:is>
          <x:t xml:space="preserve">Andy Hill Cancer Research Endowment (CARE) Fund</x:t>
        </x:is>
      </x:c>
      <x:c r="B17" s="16" t="inlineStr">
        <x:is>
          <x:t xml:space="preserve">Executive Director</x:t>
        </x:is>
      </x:c>
      <x:c r="C17" s="17" t="inlineStr">
        <x:is>
          <x:t xml:space="preserve">2026-06-25</x:t>
        </x:is>
      </x:c>
      <x:c r="D17" s="18" t="n">
        <x:v>0.999898188961288</x:v>
      </x:c>
      <x:c r="E17" s="19" t="n">
        <x:v>220000</x:v>
      </x:c>
      <x:c r="F17" s="19" t="n">
        <x:v>250000</x:v>
      </x:c>
      <x:c r="G17" s="20" t="n">
        <x:f>E17*D17</x:f>
        <x:v>219977.60157148336</x:v>
      </x:c>
      <x:c r="H17" s="20" t="n">
        <x:f>F17*D17</x:f>
        <x:v>249974.547240322</x:v>
      </x:c>
      <x:c r="I17" s="20" t="n">
        <x:f>AVERAGE(G17:H17)</x:f>
        <x:v>234976.07440590268</x:v>
      </x:c>
      <x:c r="J17" s="22" t="inlineStr">
        <x:is>
          <x:t xml:space="preserve">Bothell, Washington / statewide Washington</x:t>
        </x:is>
      </x:c>
      <x:c r="K17" s="21" t="inlineStr">
        <x:is>
          <x:t xml:space="preserve">Statewide remote/hybrid</x:t>
        </x:is>
      </x:c>
      <x:c r="L17" s="19" t="n"/>
      <x:c r="M17" s="22" t="n"/>
      <x:c r="N17" s="16" t="inlineStr">
        <x:is>
          <x:t xml:space="preserve">expanded_secondary_structural</x:t>
        </x:is>
      </x:c>
      <x:c r="O17" s="17" t="inlineStr">
        <x:is>
          <x:t xml:space="preserve">SRC-AD-ANDYHILL-2026</x:t>
        </x:is>
      </x:c>
      <x:c r="P17" s="16" t="inlineStr">
        <x:is>
          <x:t xml:space="preserve">https://careers.councilofnonprofits.org/jobs/executive-director-in-bothell-washington-us/</x:t>
        </x:is>
      </x:c>
    </x:row>
    <x:row r="18">
      <x:c r="A18" s="16" t="inlineStr">
        <x:is>
          <x:t xml:space="preserve">Great Basin Water Network</x:t>
        </x:is>
      </x:c>
      <x:c r="B18" s="16" t="inlineStr">
        <x:is>
          <x:t xml:space="preserve">Executive Director</x:t>
        </x:is>
      </x:c>
      <x:c r="C18" s="17" t="inlineStr">
        <x:is>
          <x:t xml:space="preserve">2026-08-05</x:t>
        </x:is>
      </x:c>
      <x:c r="D18" s="18" t="n">
        <x:v>1</x:v>
      </x:c>
      <x:c r="E18" s="19" t="n">
        <x:v>110000</x:v>
      </x:c>
      <x:c r="F18" s="19" t="n">
        <x:v>120000</x:v>
      </x:c>
      <x:c r="G18" s="20" t="n">
        <x:f>E18*D18</x:f>
        <x:v>110000</x:v>
      </x:c>
      <x:c r="H18" s="20" t="n">
        <x:f>F18*D18</x:f>
        <x:v>120000</x:v>
      </x:c>
      <x:c r="I18" s="20" t="n">
        <x:f>AVERAGE(G18:H18)</x:f>
        <x:v>115000</x:v>
      </x:c>
      <x:c r="J18" s="22" t="inlineStr">
        <x:is>
          <x:t xml:space="preserve">Reno or Las Vegas, Nevada</x:t>
        </x:is>
      </x:c>
      <x:c r="K18" s="21" t="inlineStr">
        <x:is>
          <x:t xml:space="preserve">Remote with extensive travel</x:t>
        </x:is>
      </x:c>
      <x:c r="L18" s="19" t="n">
        <x:v>385034</x:v>
      </x:c>
      <x:c r="M18" s="22" t="n">
        <x:v>1</x:v>
      </x:c>
      <x:c r="N18" s="16" t="inlineStr">
        <x:is>
          <x:t xml:space="preserve">expanded_secondary_scale</x:t>
        </x:is>
      </x:c>
      <x:c r="O18" s="17" t="inlineStr">
        <x:is>
          <x:t xml:space="preserve">SRC-AD-GBWN-2026</x:t>
        </x:is>
      </x:c>
      <x:c r="P18" s="16" t="inlineStr">
        <x:is>
          <x:t xml:space="preserve">https://careers.councilofnonprofits.org/jobs/executive-director-in-reno-nevada-us/</x:t>
        </x:is>
      </x:c>
    </x:row>
    <x:row r="19">
      <x:c r="A19" s="16" t="inlineStr">
        <x:is>
          <x:t xml:space="preserve">New Jersey League of Conservation Voters</x:t>
        </x:is>
      </x:c>
      <x:c r="B19" s="16" t="inlineStr">
        <x:is>
          <x:t xml:space="preserve">Executive Director and Chief Executive Officer</x:t>
        </x:is>
      </x:c>
      <x:c r="C19" s="17" t="inlineStr">
        <x:is>
          <x:t xml:space="preserve">2026-06-23</x:t>
        </x:is>
      </x:c>
      <x:c r="D19" s="18" t="n">
        <x:v>0.999898188961288</x:v>
      </x:c>
      <x:c r="E19" s="19" t="n">
        <x:v>180000</x:v>
      </x:c>
      <x:c r="F19" s="19" t="n">
        <x:v>220000</x:v>
      </x:c>
      <x:c r="G19" s="20" t="n">
        <x:f>E19*D19</x:f>
        <x:v>179981.67401303185</x:v>
      </x:c>
      <x:c r="H19" s="20" t="n">
        <x:f>F19*D19</x:f>
        <x:v>219977.60157148336</x:v>
      </x:c>
      <x:c r="I19" s="20" t="n">
        <x:f>AVERAGE(G19:H19)</x:f>
        <x:v>199979.6377922576</x:v>
      </x:c>
      <x:c r="J19" s="22" t="inlineStr">
        <x:is>
          <x:t xml:space="preserve">Trenton, New Jersey</x:t>
        </x:is>
      </x:c>
      <x:c r="K19" s="21" t="inlineStr">
        <x:is>
          <x:t xml:space="preserve">On-site/hybrid not consistently stated across copies</x:t>
        </x:is>
      </x:c>
      <x:c r="L19" s="19" t="n"/>
      <x:c r="M19" s="22" t="n"/>
      <x:c r="N19" s="16" t="inlineStr">
        <x:is>
          <x:t xml:space="preserve">expanded_secondary_structural</x:t>
        </x:is>
      </x:c>
      <x:c r="O19" s="17" t="inlineStr">
        <x:is>
          <x:t xml:space="preserve">SRC-AD-NJLCV-2026</x:t>
        </x:is>
      </x:c>
      <x:c r="P19" s="16" t="inlineStr">
        <x:is>
          <x:t xml:space="preserve">https://careers.councilofnonprofits.org/jobs/executive-director-and-chief-executive-officer-in-trenton-new-jersey-us/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42" customWidth="1"/>
    <x:col min="4" max="4" width="12" customWidth="1"/>
    <x:col min="5" max="5" width="12" customWidth="1"/>
    <x:col min="6" max="6" width="42" customWidth="1"/>
    <x:col min="7" max="7" width="42" customWidth="1"/>
    <x:col min="8" max="8" width="26" customWidth="1"/>
    <x:col min="9" max="9" width="13" customWidth="1"/>
    <x:col min="10" max="10" width="34" customWidth="1"/>
    <x:col min="11" max="11" width="35" customWidth="1"/>
    <x:col min="12" max="12" width="42" customWidth="1"/>
    <x:col min="13" max="13" width="42" customWidth="1"/>
    <x:col min="14" max="14" width="42" customWidth="1"/>
    <x:col min="15" max="15" width="26" customWidth="1"/>
  </x:cols>
  <x:sheetData>
    <x:row r="1" ht="28" customHeight="1">
      <x:c r="A1" s="1" t="inlineStr">
        <x:is>
          <x:t xml:space="preserve">All Advertisement Searches</x:t>
        </x:is>
      </x:c>
    </x:row>
    <x:row r="2" ht="28" customHeight="1">
      <x:c r="A2" s="2" t="inlineStr">
        <x:is>
          <x:t xml:space="preserve">Included, sensitivity-only, and excluded advertisements and search outcomes</x:t>
        </x:is>
      </x:c>
    </x:row>
    <x:row r="3"/>
    <x:row r="4" ht="30" customHeight="1">
      <x:c r="A4" s="3" t="inlineStr">
        <x:is>
          <x:t xml:space="preserve">organization</x:t>
        </x:is>
      </x:c>
      <x:c r="B4" s="3" t="inlineStr">
        <x:is>
          <x:t xml:space="preserve">role_title</x:t>
        </x:is>
      </x:c>
      <x:c r="C4" s="3" t="inlineStr">
        <x:is>
          <x:t xml:space="preserve">posting_date</x:t>
        </x:is>
      </x:c>
      <x:c r="D4" s="3" t="inlineStr">
        <x:is>
          <x:t xml:space="preserve">salary_min</x:t>
        </x:is>
      </x:c>
      <x:c r="E4" s="3" t="inlineStr">
        <x:is>
          <x:t xml:space="preserve">salary_max</x:t>
        </x:is>
      </x:c>
      <x:c r="F4" s="3" t="inlineStr">
        <x:is>
          <x:t xml:space="preserve">location</x:t>
        </x:is>
      </x:c>
      <x:c r="G4" s="3" t="inlineStr">
        <x:is>
          <x:t xml:space="preserve">remote_status</x:t>
        </x:is>
      </x:c>
      <x:c r="H4" s="3" t="inlineStr">
        <x:is>
          <x:t xml:space="preserve">annual_budget_or_expense</x:t>
        </x:is>
      </x:c>
      <x:c r="I4" s="3" t="inlineStr">
        <x:is>
          <x:t xml:space="preserve">staff_count</x:t>
        </x:is>
      </x:c>
      <x:c r="J4" s="3" t="inlineStr">
        <x:is>
          <x:t xml:space="preserve">tier</x:t>
        </x:is>
      </x:c>
      <x:c r="K4" s="3" t="inlineStr">
        <x:is>
          <x:t xml:space="preserve">included_in_quantitative_analysis</x:t>
        </x:is>
      </x:c>
      <x:c r="L4" s="3" t="inlineStr">
        <x:is>
          <x:t xml:space="preserve">inclusion_reason</x:t>
        </x:is>
      </x:c>
      <x:c r="M4" s="3" t="inlineStr">
        <x:is>
          <x:t xml:space="preserve">exclusion_reason</x:t>
        </x:is>
      </x:c>
      <x:c r="N4" s="3" t="inlineStr">
        <x:is>
          <x:t xml:space="preserve">original_url</x:t>
        </x:is>
      </x:c>
      <x:c r="O4" s="3" t="inlineStr">
        <x:is>
          <x:t xml:space="preserve">source_id</x:t>
        </x:is>
      </x:c>
    </x:row>
    <x:row r="5">
      <x:c r="A5" s="12" t="inlineStr">
        <x:is>
          <x:t xml:space="preserve">Technical Assistance Collaborative</x:t>
        </x:is>
      </x:c>
      <x:c r="B5" s="12" t="inlineStr">
        <x:is>
          <x:t xml:space="preserve">Chief Executive Officer</x:t>
        </x:is>
      </x:c>
      <x:c r="C5" s="12" t="inlineStr">
        <x:is>
          <x:t xml:space="preserve">2026-06-01</x:t>
        </x:is>
      </x:c>
      <x:c r="D5" s="14" t="n">
        <x:v>240000</x:v>
      </x:c>
      <x:c r="E5" s="14" t="n">
        <x:v>300000</x:v>
      </x:c>
      <x:c r="F5" s="12" t="inlineStr">
        <x:is>
          <x:t xml:space="preserve">Boston, Massachusetts</x:t>
        </x:is>
      </x:c>
      <x:c r="G5" s="12" t="inlineStr">
        <x:is>
          <x:t xml:space="preserve">Hybrid</x:t>
        </x:is>
      </x:c>
      <x:c r="H5" s="14" t="n">
        <x:v>14000000</x:v>
      </x:c>
      <x:c r="I5" s="12" t="n">
        <x:v>43</x:v>
      </x:c>
      <x:c r="J5" s="12" t="inlineStr">
        <x:is>
          <x:t xml:space="preserve">strict_primary</x:t>
        </x:is>
      </x:c>
      <x:c r="K5" s="12" t="inlineStr">
        <x:is>
          <x:t xml:space="preserve">yes</x:t>
        </x:is>
      </x:c>
      <x:c r="L5" s="13" t="inlineStr">
        <x:is>
          <x:t xml:space="preserve">Strong functional and scale match; full-time organization-wide CEO.</x:t>
        </x:is>
      </x:c>
      <x:c r="M5" s="12" t="n"/>
      <x:c r="N5" s="16" t="inlineStr">
        <x:is>
          <x:t xml:space="preserve">https://www.nonprofitoperations.com/job-submissions/chief-executive-officer-/technical-assistance-collaborative</x:t>
        </x:is>
      </x:c>
      <x:c r="O5" s="17" t="inlineStr">
        <x:is>
          <x:t xml:space="preserve">SRC-AD-TAC-2026</x:t>
        </x:is>
      </x:c>
    </x:row>
    <x:row r="6">
      <x:c r="A6" s="12" t="inlineStr">
        <x:is>
          <x:t xml:space="preserve">San Francisco Estuary Institute</x:t>
        </x:is>
      </x:c>
      <x:c r="B6" s="12" t="inlineStr">
        <x:is>
          <x:t xml:space="preserve">Executive Director</x:t>
        </x:is>
      </x:c>
      <x:c r="C6" s="12" t="inlineStr">
        <x:is>
          <x:t xml:space="preserve">2026-05-05</x:t>
        </x:is>
      </x:c>
      <x:c r="D6" s="14" t="n">
        <x:v>200000</x:v>
      </x:c>
      <x:c r="E6" s="14" t="n">
        <x:v>240000</x:v>
      </x:c>
      <x:c r="F6" s="12" t="inlineStr">
        <x:is>
          <x:t xml:space="preserve">Richmond, California</x:t>
        </x:is>
      </x:c>
      <x:c r="G6" s="12" t="inlineStr">
        <x:is>
          <x:t xml:space="preserve">Hybrid</x:t>
        </x:is>
      </x:c>
      <x:c r="H6" s="14" t="n">
        <x:v>19110000</x:v>
      </x:c>
      <x:c r="I6" s="12" t="n">
        <x:v>98</x:v>
      </x:c>
      <x:c r="J6" s="12" t="inlineStr">
        <x:is>
          <x:t xml:space="preserve">strict_primary</x:t>
        </x:is>
      </x:c>
      <x:c r="K6" s="12" t="inlineStr">
        <x:is>
          <x:t xml:space="preserve">yes</x:t>
        </x:is>
      </x:c>
      <x:c r="L6" s="13" t="inlineStr">
        <x:is>
          <x:t xml:space="preserve">Strong knowledge-production role; full-time organization-wide executive; near upper edge of strict staff/expense band.</x:t>
        </x:is>
      </x:c>
      <x:c r="M6" s="12" t="n"/>
      <x:c r="N6" s="16" t="inlineStr">
        <x:is>
          <x:t xml:space="preserve">https://www.sfei.org/news/sfei-seeks-our-next-executive-director</x:t>
        </x:is>
      </x:c>
      <x:c r="O6" s="17" t="inlineStr">
        <x:is>
          <x:t xml:space="preserve">SRC-AD-SFEI-2026</x:t>
        </x:is>
      </x:c>
    </x:row>
    <x:row r="7">
      <x:c r="A7" s="12" t="inlineStr">
        <x:is>
          <x:t xml:space="preserve">PEAK Grantmaking</x:t>
        </x:is>
      </x:c>
      <x:c r="B7" s="12" t="inlineStr">
        <x:is>
          <x:t xml:space="preserve">President and Chief Executive Officer</x:t>
        </x:is>
      </x:c>
      <x:c r="C7" s="12" t="inlineStr">
        <x:is>
          <x:t xml:space="preserve">2026-04 (exact day not displayed)</x:t>
        </x:is>
      </x:c>
      <x:c r="D7" s="14" t="n">
        <x:v>225000</x:v>
      </x:c>
      <x:c r="E7" s="14" t="n">
        <x:v>275000</x:v>
      </x:c>
      <x:c r="F7" s="12" t="inlineStr">
        <x:is>
          <x:t xml:space="preserve">United States</x:t>
        </x:is>
      </x:c>
      <x:c r="G7" s="12" t="inlineStr">
        <x:is>
          <x:t xml:space="preserve">Fully remote</x:t>
        </x:is>
      </x:c>
      <x:c r="H7" s="14" t="n">
        <x:v>7130000</x:v>
      </x:c>
      <x:c r="I7" s="12" t="n"/>
      <x:c r="J7" s="12" t="inlineStr">
        <x:is>
          <x:t xml:space="preserve">strict_primary</x:t>
        </x:is>
      </x:c>
      <x:c r="K7" s="12" t="inlineStr">
        <x:is>
          <x:t xml:space="preserve">yes</x:t>
        </x:is>
      </x:c>
      <x:c r="L7" s="13" t="inlineStr">
        <x:is>
          <x:t xml:space="preserve">Comparable field-building/knowledge role, core scale, national remote CEO with fundraising, board, people, and operating responsibility.</x:t>
        </x:is>
      </x:c>
      <x:c r="M7" s="12" t="n"/>
      <x:c r="N7" s="16" t="inlineStr">
        <x:is>
          <x:t xml:space="preserve">https://nonprofithr.applytojob.com/apply/RQG6pztBvo/President-Chief-Executive-Officer-CEO-PEAK-Grantmaking</x:t>
        </x:is>
      </x:c>
      <x:c r="O7" s="17" t="inlineStr">
        <x:is>
          <x:t xml:space="preserve">SRC-AD-PEAK-2026</x:t>
        </x:is>
      </x:c>
    </x:row>
    <x:row r="8">
      <x:c r="A8" s="12" t="inlineStr">
        <x:is>
          <x:t xml:space="preserve">The Climate Center</x:t>
        </x:is>
      </x:c>
      <x:c r="B8" s="12" t="inlineStr">
        <x:is>
          <x:t xml:space="preserve">Chief Executive Officer</x:t>
        </x:is>
      </x:c>
      <x:c r="C8" s="12" t="inlineStr">
        <x:is>
          <x:t xml:space="preserve">2026-04 (exact day not displayed)</x:t>
        </x:is>
      </x:c>
      <x:c r="D8" s="14" t="n">
        <x:v>195000</x:v>
      </x:c>
      <x:c r="E8" s="14" t="n">
        <x:v>235000</x:v>
      </x:c>
      <x:c r="F8" s="12" t="inlineStr">
        <x:is>
          <x:t xml:space="preserve">United States</x:t>
        </x:is>
      </x:c>
      <x:c r="G8" s="12" t="inlineStr">
        <x:is>
          <x:t xml:space="preserve">Remote</x:t>
        </x:is>
      </x:c>
      <x:c r="H8" s="14" t="n">
        <x:v>3345000</x:v>
      </x:c>
      <x:c r="I8" s="12" t="n"/>
      <x:c r="J8" s="12" t="inlineStr">
        <x:is>
          <x:t xml:space="preserve">secondary</x:t>
        </x:is>
      </x:c>
      <x:c r="K8" s="12" t="inlineStr">
        <x:is>
          <x:t xml:space="preserve">yes</x:t>
        </x:is>
      </x:c>
      <x:c r="L8" s="13" t="inlineStr">
        <x:is>
          <x:t xml:space="preserve">Strong think-and-do functional match and title match; below strict core scale, retained in wider-band sensitivity.</x:t>
        </x:is>
      </x:c>
      <x:c r="M8" s="12" t="n"/>
      <x:c r="N8" s="16" t="inlineStr">
        <x:is>
          <x:t xml:space="preserve">https://www.abfe.org/jobs/chief-executive-officer-climate-center</x:t>
        </x:is>
      </x:c>
      <x:c r="O8" s="17" t="inlineStr">
        <x:is>
          <x:t xml:space="preserve">SRC-AD-CLIMATE-2026</x:t>
        </x:is>
      </x:c>
    </x:row>
    <x:row r="9">
      <x:c r="A9" s="12" t="inlineStr">
        <x:is>
          <x:t xml:space="preserve">The LeadersTrust</x:t>
        </x:is>
      </x:c>
      <x:c r="B9" s="12" t="inlineStr">
        <x:is>
          <x:t xml:space="preserve">Executive Director</x:t>
        </x:is>
      </x:c>
      <x:c r="C9" s="12" t="inlineStr">
        <x:is>
          <x:t xml:space="preserve">2026-06-16</x:t>
        </x:is>
      </x:c>
      <x:c r="D9" s="14" t="n">
        <x:v>200000</x:v>
      </x:c>
      <x:c r="E9" s="14" t="n">
        <x:v>225000</x:v>
      </x:c>
      <x:c r="F9" s="12" t="inlineStr">
        <x:is>
          <x:t xml:space="preserve">United States</x:t>
        </x:is>
      </x:c>
      <x:c r="G9" s="12" t="inlineStr">
        <x:is>
          <x:t xml:space="preserve">Remote</x:t>
        </x:is>
      </x:c>
      <x:c r="H9" s="14" t="n"/>
      <x:c r="I9" s="12" t="n">
        <x:v>6</x:v>
      </x:c>
      <x:c r="J9" s="12" t="inlineStr">
        <x:is>
          <x:t xml:space="preserve">secondary_structural</x:t>
        </x:is>
      </x:c>
      <x:c r="K9" s="12" t="inlineStr">
        <x:is>
          <x:t xml:space="preserve">yes</x:t>
        </x:is>
      </x:c>
      <x:c r="L9" s="13" t="inlineStr">
        <x:is>
          <x:t xml:space="preserve">Comparable advisory/evaluation/fundraising role but only six staff and fiscally sponsored; structural sensitivity only.</x:t>
        </x:is>
      </x:c>
      <x:c r="M9" s="12" t="n"/>
      <x:c r="N9" s="16" t="inlineStr">
        <x:is>
          <x:t xml:space="preserve">https://theleaderstrust.org/now-hiring-executive-director/</x:t>
        </x:is>
      </x:c>
      <x:c r="O9" s="17" t="inlineStr">
        <x:is>
          <x:t xml:space="preserve">SRC-AD-LEADERSTRUST-2026</x:t>
        </x:is>
      </x:c>
    </x:row>
    <x:row r="10">
      <x:c r="A10" s="12" t="inlineStr">
        <x:is>
          <x:t xml:space="preserve">Federal Funds Information for States</x:t>
        </x:is>
      </x:c>
      <x:c r="B10" s="12" t="inlineStr">
        <x:is>
          <x:t xml:space="preserve">Executive Director and Executive Editor</x:t>
        </x:is>
      </x:c>
      <x:c r="C10" s="12" t="inlineStr">
        <x:is>
          <x:t xml:space="preserve">2026-07-15</x:t>
        </x:is>
      </x:c>
      <x:c r="D10" s="14" t="n">
        <x:v>220000</x:v>
      </x:c>
      <x:c r="E10" s="14" t="n">
        <x:v>220000</x:v>
      </x:c>
      <x:c r="F10" s="12" t="inlineStr">
        <x:is>
          <x:t xml:space="preserve">Washington, DC</x:t>
        </x:is>
      </x:c>
      <x:c r="G10" s="12" t="inlineStr">
        <x:is>
          <x:t xml:space="preserve">On-site/unspecified flexibility</x:t>
        </x:is>
      </x:c>
      <x:c r="H10" s="14" t="n"/>
      <x:c r="I10" s="12" t="n">
        <x:v>4</x:v>
      </x:c>
      <x:c r="J10" s="12" t="inlineStr">
        <x:is>
          <x:t xml:space="preserve">secondary_scale</x:t>
        </x:is>
      </x:c>
      <x:c r="K10" s="12" t="inlineStr">
        <x:is>
          <x:t xml:space="preserve">yes</x:t>
        </x:is>
      </x:c>
      <x:c r="L10" s="13" t="inlineStr">
        <x:is>
          <x:t xml:space="preserve">Excellent research/data functional match and full executive scope; far below scale, included only in wider-scale sensitivity.</x:t>
        </x:is>
      </x:c>
      <x:c r="M10" s="12" t="n"/>
      <x:c r="N10" s="16" t="inlineStr">
        <x:is>
          <x:t xml:space="preserve">https://recruiting.paylocity.com/recruiting/jobs/Details/4336561/Federal-Funds-Information-for-States-Inc/Executive-Director-and-Executive-Editor</x:t>
        </x:is>
      </x:c>
      <x:c r="O10" s="17" t="inlineStr">
        <x:is>
          <x:t xml:space="preserve">SRC-AD-FFIS-2026</x:t>
        </x:is>
      </x:c>
    </x:row>
    <x:row r="11">
      <x:c r="A11" s="12" t="inlineStr">
        <x:is>
          <x:t xml:space="preserve">Over Zero</x:t>
        </x:is>
      </x:c>
      <x:c r="B11" s="12" t="inlineStr">
        <x:is>
          <x:t xml:space="preserve">Executive Director</x:t>
        </x:is>
      </x:c>
      <x:c r="C11" s="12" t="inlineStr">
        <x:is>
          <x:t xml:space="preserve">2025-04-22</x:t>
        </x:is>
      </x:c>
      <x:c r="D11" s="14" t="n">
        <x:v>200000</x:v>
      </x:c>
      <x:c r="E11" s="14" t="n">
        <x:v>250000</x:v>
      </x:c>
      <x:c r="F11" s="12" t="inlineStr">
        <x:is>
          <x:t xml:space="preserve">United States</x:t>
        </x:is>
      </x:c>
      <x:c r="G11" s="12" t="inlineStr">
        <x:is>
          <x:t xml:space="preserve">Remote</x:t>
        </x:is>
      </x:c>
      <x:c r="H11" s="14" t="n"/>
      <x:c r="I11" s="12" t="n">
        <x:v>15</x:v>
      </x:c>
      <x:c r="J11" s="12" t="inlineStr">
        <x:is>
          <x:t xml:space="preserve">older_structural_sensitivity</x:t>
        </x:is>
      </x:c>
      <x:c r="K11" s="12" t="inlineStr">
        <x:is>
          <x:t xml:space="preserve">sensitivity_only</x:t>
        </x:is>
      </x:c>
      <x:c r="L11" s="13" t="inlineStr">
        <x:is>
          <x:t xml:space="preserve">Strong research/advisory and remote-market match, but fiscally sponsored, smaller, and posted in 2025.</x:t>
        </x:is>
      </x:c>
      <x:c r="M11" s="12" t="inlineStr">
        <x:is>
          <x:t xml:space="preserve">Not in 2026 primary posting analysis.</x:t>
        </x:is>
      </x:c>
      <x:c r="N11" s="16" t="inlineStr">
        <x:is>
          <x:t xml:space="preserve">https://impactopportunity.org/job/7756/executive-director/</x:t>
        </x:is>
      </x:c>
      <x:c r="O11" s="17" t="inlineStr">
        <x:is>
          <x:t xml:space="preserve">SRC-AD-OVERZERO-2025</x:t>
        </x:is>
      </x:c>
    </x:row>
    <x:row r="12">
      <x:c r="A12" s="12" t="inlineStr">
        <x:is>
          <x:t xml:space="preserve">Environmental Leadership Program</x:t>
        </x:is>
      </x:c>
      <x:c r="B12" s="12" t="inlineStr">
        <x:is>
          <x:t xml:space="preserve">Executive Director</x:t>
        </x:is>
      </x:c>
      <x:c r="C12" s="12" t="inlineStr">
        <x:is>
          <x:t xml:space="preserve">2026</x:t>
        </x:is>
      </x:c>
      <x:c r="D12" s="14" t="n">
        <x:v>135000</x:v>
      </x:c>
      <x:c r="E12" s="14" t="n">
        <x:v>150000</x:v>
      </x:c>
      <x:c r="F12" s="12" t="inlineStr">
        <x:is>
          <x:t xml:space="preserve">Remote US</x:t>
        </x:is>
      </x:c>
      <x:c r="G12" s="12" t="inlineStr">
        <x:is>
          <x:t xml:space="preserve">varies/unknown</x:t>
        </x:is>
      </x:c>
      <x:c r="H12" s="14" t="n"/>
      <x:c r="I12" s="12" t="n"/>
      <x:c r="J12" s="12" t="inlineStr">
        <x:is>
          <x:t xml:space="preserve">expanded_secondary_scale</x:t>
        </x:is>
      </x:c>
      <x:c r="K12" s="12" t="inlineStr">
        <x:is>
          <x:t xml:space="preserve">yes</x:t>
        </x:is>
      </x:c>
      <x:c r="L12" s="13" t="inlineStr">
        <x:is>
          <x:t xml:space="preserve">Included only in the expanded broad recruitment sensitivity: full organization-wide ED, public $2.46M budget and 12 staff, but below RP core scale.</x:t>
        </x:is>
      </x:c>
      <x:c r="M12" s="12" t="n"/>
      <x:c r="N12" s="16" t="inlineStr">
        <x:is>
          <x:t xml:space="preserve">https://elpnet.org/executive-director-position</x:t>
        </x:is>
      </x:c>
      <x:c r="O12" s="17" t="inlineStr">
        <x:is>
          <x:t xml:space="preserve">SRC-AD-ELP-2026</x:t>
        </x:is>
      </x:c>
    </x:row>
    <x:row r="13">
      <x:c r="A13" s="12" t="inlineStr">
        <x:is>
          <x:t xml:space="preserve">MOST Policy Initiative</x:t>
        </x:is>
      </x:c>
      <x:c r="B13" s="12" t="inlineStr">
        <x:is>
          <x:t xml:space="preserve">Executive Director</x:t>
        </x:is>
      </x:c>
      <x:c r="C13" s="12" t="inlineStr">
        <x:is>
          <x:t xml:space="preserve">2025</x:t>
        </x:is>
      </x:c>
      <x:c r="D13" s="14" t="n">
        <x:v>90000</x:v>
      </x:c>
      <x:c r="E13" s="14" t="n">
        <x:v>100000</x:v>
      </x:c>
      <x:c r="F13" s="12" t="inlineStr">
        <x:is>
          <x:t xml:space="preserve">Jefferson City, Missouri</x:t>
        </x:is>
      </x:c>
      <x:c r="G13" s="12" t="inlineStr">
        <x:is>
          <x:t xml:space="preserve">varies/unknown</x:t>
        </x:is>
      </x:c>
      <x:c r="H13" s="14" t="n"/>
      <x:c r="I13" s="12" t="n"/>
      <x:c r="J13" s="12" t="inlineStr">
        <x:is>
          <x:t xml:space="preserve">excluded</x:t>
        </x:is>
      </x:c>
      <x:c r="K13" s="12" t="inlineStr">
        <x:is>
          <x:t xml:space="preserve">no</x:t>
        </x:is>
      </x:c>
      <x:c r="L13" s="12" t="n"/>
      <x:c r="M13" s="12" t="inlineStr">
        <x:is>
          <x:t xml:space="preserve">Local and far below scale</x:t>
        </x:is>
      </x:c>
      <x:c r="N13" s="16" t="inlineStr">
        <x:is>
          <x:t xml:space="preserve">https://onthinktanks.org/job/executive-director-15/</x:t>
        </x:is>
      </x:c>
      <x:c r="O13" s="17" t="inlineStr">
        <x:is>
          <x:t xml:space="preserve">SRC-AD-MOST-2025</x:t>
        </x:is>
      </x:c>
    </x:row>
    <x:row r="14">
      <x:c r="A14" s="12" t="inlineStr">
        <x:is>
          <x:t xml:space="preserve">Portland VA Research Foundation</x:t>
        </x:is>
      </x:c>
      <x:c r="B14" s="12" t="inlineStr">
        <x:is>
          <x:t xml:space="preserve">Executive Director</x:t>
        </x:is>
      </x:c>
      <x:c r="C14" s="12" t="inlineStr">
        <x:is>
          <x:t xml:space="preserve">2026</x:t>
        </x:is>
      </x:c>
      <x:c r="D14" s="14" t="n">
        <x:v>110000</x:v>
      </x:c>
      <x:c r="E14" s="14" t="n">
        <x:v>150000</x:v>
      </x:c>
      <x:c r="F14" s="12" t="inlineStr">
        <x:is>
          <x:t xml:space="preserve">Portland, Oregon</x:t>
        </x:is>
      </x:c>
      <x:c r="G14" s="12" t="inlineStr">
        <x:is>
          <x:t xml:space="preserve">varies/unknown</x:t>
        </x:is>
      </x:c>
      <x:c r="H14" s="14" t="n"/>
      <x:c r="I14" s="12" t="n"/>
      <x:c r="J14" s="12" t="inlineStr">
        <x:is>
          <x:t xml:space="preserve">excluded</x:t>
        </x:is>
      </x:c>
      <x:c r="K14" s="12" t="inlineStr">
        <x:is>
          <x:t xml:space="preserve">no</x:t>
        </x:is>
      </x:c>
      <x:c r="L14" s="12" t="n"/>
      <x:c r="M14" s="13" t="inlineStr">
        <x:is>
          <x:t xml:space="preserve">Affiliate rather than standalone comparable organization-wide CEO</x:t>
        </x:is>
      </x:c>
      <x:c r="N14" s="17" t="inlineStr">
        <x:is>
          <x:t xml:space="preserve">https://www.pvarf.org/</x:t>
        </x:is>
      </x:c>
      <x:c r="O14" s="17" t="inlineStr">
        <x:is>
          <x:t xml:space="preserve">SRC-AD-PVARF</x:t>
        </x:is>
      </x:c>
    </x:row>
    <x:row r="15">
      <x:c r="A15" s="12" t="inlineStr">
        <x:is>
          <x:t xml:space="preserve">Clean Energy Transition Institute</x:t>
        </x:is>
      </x:c>
      <x:c r="B15" s="12" t="inlineStr">
        <x:is>
          <x:t xml:space="preserve">Executive Director</x:t>
        </x:is>
      </x:c>
      <x:c r="C15" s="12" t="inlineStr">
        <x:is>
          <x:t xml:space="preserve">2026</x:t>
        </x:is>
      </x:c>
      <x:c r="D15" s="14" t="n">
        <x:v>125000</x:v>
      </x:c>
      <x:c r="E15" s="14" t="n">
        <x:v>150000</x:v>
      </x:c>
      <x:c r="F15" s="12" t="inlineStr">
        <x:is>
          <x:t xml:space="preserve">Seattle/remote</x:t>
        </x:is>
      </x:c>
      <x:c r="G15" s="12" t="inlineStr">
        <x:is>
          <x:t xml:space="preserve">varies/unknown</x:t>
        </x:is>
      </x:c>
      <x:c r="H15" s="14" t="n"/>
      <x:c r="I15" s="12" t="n"/>
      <x:c r="J15" s="12" t="inlineStr">
        <x:is>
          <x:t xml:space="preserve">excluded</x:t>
        </x:is>
      </x:c>
      <x:c r="K15" s="12" t="inlineStr">
        <x:is>
          <x:t xml:space="preserve">no</x:t>
        </x:is>
      </x:c>
      <x:c r="L15" s="12" t="n"/>
      <x:c r="M15" s="12" t="inlineStr">
        <x:is>
          <x:t xml:space="preserve">Below scale and regional</x:t>
        </x:is>
      </x:c>
      <x:c r="N15" s="17" t="inlineStr">
        <x:is>
          <x:t xml:space="preserve">https://www.cleanenergytransition.org/</x:t>
        </x:is>
      </x:c>
      <x:c r="O15" s="17" t="inlineStr">
        <x:is>
          <x:t xml:space="preserve">SRC-AD-CETI</x:t>
        </x:is>
      </x:c>
    </x:row>
    <x:row r="16">
      <x:c r="A16" s="12" t="inlineStr">
        <x:is>
          <x:t xml:space="preserve">Marine Science Institute</x:t>
        </x:is>
      </x:c>
      <x:c r="B16" s="12" t="inlineStr">
        <x:is>
          <x:t xml:space="preserve">President and CEO</x:t>
        </x:is>
      </x:c>
      <x:c r="C16" s="12" t="inlineStr">
        <x:is>
          <x:t xml:space="preserve">2026</x:t>
        </x:is>
      </x:c>
      <x:c r="D16" s="14" t="n">
        <x:v>195000</x:v>
      </x:c>
      <x:c r="E16" s="14" t="n">
        <x:v>240000</x:v>
      </x:c>
      <x:c r="F16" s="12" t="inlineStr">
        <x:is>
          <x:t xml:space="preserve">California</x:t>
        </x:is>
      </x:c>
      <x:c r="G16" s="12" t="inlineStr">
        <x:is>
          <x:t xml:space="preserve">varies/unknown</x:t>
        </x:is>
      </x:c>
      <x:c r="H16" s="14" t="n"/>
      <x:c r="I16" s="12" t="n"/>
      <x:c r="J16" s="12" t="inlineStr">
        <x:is>
          <x:t xml:space="preserve">excluded</x:t>
        </x:is>
      </x:c>
      <x:c r="K16" s="12" t="inlineStr">
        <x:is>
          <x:t xml:space="preserve">no</x:t>
        </x:is>
      </x:c>
      <x:c r="L16" s="12" t="n"/>
      <x:c r="M16" s="12" t="inlineStr">
        <x:is>
          <x:t xml:space="preserve">Dominant direct-service/field-delivery model</x:t>
        </x:is>
      </x:c>
      <x:c r="N16" s="17" t="inlineStr">
        <x:is>
          <x:t xml:space="preserve">https://www.sfbaymsi.org/</x:t>
        </x:is>
      </x:c>
      <x:c r="O16" s="17" t="inlineStr">
        <x:is>
          <x:t xml:space="preserve">SRC-AD-MSI</x:t>
        </x:is>
      </x:c>
    </x:row>
    <x:row r="17">
      <x:c r="A17" s="12" t="inlineStr">
        <x:is>
          <x:t xml:space="preserve">National Press Foundation</x:t>
        </x:is>
      </x:c>
      <x:c r="B17" s="12" t="inlineStr">
        <x:is>
          <x:t xml:space="preserve">President and CEO</x:t>
        </x:is>
      </x:c>
      <x:c r="C17" s="12" t="inlineStr">
        <x:is>
          <x:t xml:space="preserve">2026</x:t>
        </x:is>
      </x:c>
      <x:c r="D17" s="14" t="n">
        <x:v>140000</x:v>
      </x:c>
      <x:c r="E17" s="14" t="n">
        <x:v>150000</x:v>
      </x:c>
      <x:c r="F17" s="12" t="inlineStr">
        <x:is>
          <x:t xml:space="preserve">Washington, DC</x:t>
        </x:is>
      </x:c>
      <x:c r="G17" s="12" t="inlineStr">
        <x:is>
          <x:t xml:space="preserve">varies/unknown</x:t>
        </x:is>
      </x:c>
      <x:c r="H17" s="14" t="n"/>
      <x:c r="I17" s="12" t="n"/>
      <x:c r="J17" s="12" t="inlineStr">
        <x:is>
          <x:t xml:space="preserve">excluded</x:t>
        </x:is>
      </x:c>
      <x:c r="K17" s="12" t="inlineStr">
        <x:is>
          <x:t xml:space="preserve">no</x:t>
        </x:is>
      </x:c>
      <x:c r="L17" s="12" t="n"/>
      <x:c r="M17" s="13" t="inlineStr">
        <x:is>
          <x:t xml:space="preserve">Below scale and materially different operating model</x:t>
        </x:is>
      </x:c>
      <x:c r="N17" s="17" t="inlineStr">
        <x:is>
          <x:t xml:space="preserve">https://nationalpress.org/</x:t>
        </x:is>
      </x:c>
      <x:c r="O17" s="17" t="inlineStr">
        <x:is>
          <x:t xml:space="preserve">SRC-AD-NPF</x:t>
        </x:is>
      </x:c>
    </x:row>
    <x:row r="18">
      <x:c r="A18" s="12" t="inlineStr">
        <x:is>
          <x:t xml:space="preserve">Snap Foundation</x:t>
        </x:is>
      </x:c>
      <x:c r="B18" s="12" t="inlineStr">
        <x:is>
          <x:t xml:space="preserve">Chief Executive Officer</x:t>
        </x:is>
      </x:c>
      <x:c r="C18" s="12" t="inlineStr">
        <x:is>
          <x:t xml:space="preserve">2026</x:t>
        </x:is>
      </x:c>
      <x:c r="D18" s="14" t="n">
        <x:v>385000</x:v>
      </x:c>
      <x:c r="E18" s="14" t="n">
        <x:v>415000</x:v>
      </x:c>
      <x:c r="F18" s="12" t="inlineStr">
        <x:is>
          <x:t xml:space="preserve">Los Angeles, California</x:t>
        </x:is>
      </x:c>
      <x:c r="G18" s="12" t="inlineStr">
        <x:is>
          <x:t xml:space="preserve">varies/unknown</x:t>
        </x:is>
      </x:c>
      <x:c r="H18" s="14" t="n"/>
      <x:c r="I18" s="12" t="n"/>
      <x:c r="J18" s="12" t="inlineStr">
        <x:is>
          <x:t xml:space="preserve">excluded</x:t>
        </x:is>
      </x:c>
      <x:c r="K18" s="12" t="inlineStr">
        <x:is>
          <x:t xml:space="preserve">no</x:t>
        </x:is>
      </x:c>
      <x:c r="L18" s="12" t="n"/>
      <x:c r="M18" s="12" t="inlineStr">
        <x:is>
          <x:t xml:space="preserve">Grantmaking-dominated</x:t>
        </x:is>
      </x:c>
      <x:c r="N18" s="17" t="inlineStr">
        <x:is>
          <x:t xml:space="preserve">https://www.snapfoundation.org/</x:t>
        </x:is>
      </x:c>
      <x:c r="O18" s="17" t="inlineStr">
        <x:is>
          <x:t xml:space="preserve">SRC-AD-SNAP</x:t>
        </x:is>
      </x:c>
    </x:row>
    <x:row r="19">
      <x:c r="A19" s="12" t="inlineStr">
        <x:is>
          <x:t xml:space="preserve">Williams Institute at UCLA</x:t>
        </x:is>
      </x:c>
      <x:c r="B19" s="12" t="inlineStr">
        <x:is>
          <x:t xml:space="preserve">Executive Director</x:t>
        </x:is>
      </x:c>
      <x:c r="C19" s="12" t="inlineStr">
        <x:is>
          <x:t xml:space="preserve">2026</x:t>
        </x:is>
      </x:c>
      <x:c r="D19" s="14" t="n">
        <x:v>260000</x:v>
      </x:c>
      <x:c r="E19" s="14" t="n">
        <x:v>290000</x:v>
      </x:c>
      <x:c r="F19" s="12" t="inlineStr">
        <x:is>
          <x:t xml:space="preserve">Los Angeles, California</x:t>
        </x:is>
      </x:c>
      <x:c r="G19" s="12" t="inlineStr">
        <x:is>
          <x:t xml:space="preserve">varies/unknown</x:t>
        </x:is>
      </x:c>
      <x:c r="H19" s="14" t="n"/>
      <x:c r="I19" s="12" t="n"/>
      <x:c r="J19" s="12" t="inlineStr">
        <x:is>
          <x:t xml:space="preserve">excluded</x:t>
        </x:is>
      </x:c>
      <x:c r="K19" s="12" t="inlineStr">
        <x:is>
          <x:t xml:space="preserve">no</x:t>
        </x:is>
      </x:c>
      <x:c r="L19" s="12" t="n"/>
      <x:c r="M19" s="13" t="inlineStr">
        <x:is>
          <x:t xml:space="preserve">Not a standalone organization-wide nonprofit CEO</x:t>
        </x:is>
      </x:c>
      <x:c r="N19" s="17" t="inlineStr">
        <x:is>
          <x:t xml:space="preserve">https://williamsinstitute.law.ucla.edu/</x:t>
        </x:is>
      </x:c>
      <x:c r="O19" s="17" t="inlineStr">
        <x:is>
          <x:t xml:space="preserve">SRC-AD-WILLIAMS</x:t>
        </x:is>
      </x:c>
    </x:row>
    <x:row r="20">
      <x:c r="A20" s="13" t="inlineStr">
        <x:is>
          <x:t xml:space="preserve">Center for Scientific Collaboration and Community Engagement</x:t>
        </x:is>
      </x:c>
      <x:c r="B20" s="12" t="inlineStr">
        <x:is>
          <x:t xml:space="preserve">Executive Director</x:t>
        </x:is>
      </x:c>
      <x:c r="C20" s="12" t="inlineStr">
        <x:is>
          <x:t xml:space="preserve">2026</x:t>
        </x:is>
      </x:c>
      <x:c r="D20" s="14" t="n">
        <x:v>84246</x:v>
      </x:c>
      <x:c r="E20" s="14" t="n">
        <x:v>164103</x:v>
      </x:c>
      <x:c r="F20" s="12" t="inlineStr">
        <x:is>
          <x:t xml:space="preserve">Berkeley, California</x:t>
        </x:is>
      </x:c>
      <x:c r="G20" s="12" t="inlineStr">
        <x:is>
          <x:t xml:space="preserve">varies/unknown</x:t>
        </x:is>
      </x:c>
      <x:c r="H20" s="14" t="n"/>
      <x:c r="I20" s="12" t="n"/>
      <x:c r="J20" s="12" t="inlineStr">
        <x:is>
          <x:t xml:space="preserve">excluded</x:t>
        </x:is>
      </x:c>
      <x:c r="K20" s="12" t="inlineStr">
        <x:is>
          <x:t xml:space="preserve">no</x:t>
        </x:is>
      </x:c>
      <x:c r="L20" s="12" t="n"/>
      <x:c r="M20" s="13" t="inlineStr">
        <x:is>
          <x:t xml:space="preserve">University parent and pay system not comparable</x:t>
        </x:is>
      </x:c>
      <x:c r="N20" s="17" t="inlineStr">
        <x:is>
          <x:t xml:space="preserve">https://www.cscce.org/</x:t>
        </x:is>
      </x:c>
      <x:c r="O20" s="17" t="inlineStr">
        <x:is>
          <x:t xml:space="preserve">SRC-AD-CSCCE</x:t>
        </x:is>
      </x:c>
    </x:row>
    <x:row r="21">
      <x:c r="A21" s="12" t="inlineStr">
        <x:is>
          <x:t xml:space="preserve">All Chicago Making Homelessness History</x:t>
        </x:is>
      </x:c>
      <x:c r="B21" s="12" t="inlineStr">
        <x:is>
          <x:t xml:space="preserve">Chief Executive Officer</x:t>
        </x:is>
      </x:c>
      <x:c r="C21" s="12" t="inlineStr">
        <x:is>
          <x:t xml:space="preserve">2026</x:t>
        </x:is>
      </x:c>
      <x:c r="D21" s="14" t="n">
        <x:v>260000</x:v>
      </x:c>
      <x:c r="E21" s="14" t="n">
        <x:v>300000</x:v>
      </x:c>
      <x:c r="F21" s="12" t="inlineStr">
        <x:is>
          <x:t xml:space="preserve">Chicago, Illinois</x:t>
        </x:is>
      </x:c>
      <x:c r="G21" s="12" t="inlineStr">
        <x:is>
          <x:t xml:space="preserve">varies/unknown</x:t>
        </x:is>
      </x:c>
      <x:c r="H21" s="14" t="n"/>
      <x:c r="I21" s="12" t="n"/>
      <x:c r="J21" s="12" t="inlineStr">
        <x:is>
          <x:t xml:space="preserve">excluded</x:t>
        </x:is>
      </x:c>
      <x:c r="K21" s="12" t="inlineStr">
        <x:is>
          <x:t xml:space="preserve">no</x:t>
        </x:is>
      </x:c>
      <x:c r="L21" s="12" t="n"/>
      <x:c r="M21" s="12" t="inlineStr">
        <x:is>
          <x:t xml:space="preserve">Implementation/direct-service model</x:t>
        </x:is>
      </x:c>
      <x:c r="N21" s="17" t="inlineStr">
        <x:is>
          <x:t xml:space="preserve">https://allchicago.org/</x:t>
        </x:is>
      </x:c>
      <x:c r="O21" s="17" t="inlineStr">
        <x:is>
          <x:t xml:space="preserve">SRC-AD-ALLCHICAGO</x:t>
        </x:is>
      </x:c>
    </x:row>
    <x:row r="22">
      <x:c r="A22" s="12" t="inlineStr">
        <x:is>
          <x:t xml:space="preserve">Seattle Botanic Gardens</x:t>
        </x:is>
      </x:c>
      <x:c r="B22" s="12" t="inlineStr">
        <x:is>
          <x:t xml:space="preserve">President and CEO</x:t>
        </x:is>
      </x:c>
      <x:c r="C22" s="12" t="inlineStr">
        <x:is>
          <x:t xml:space="preserve">2026</x:t>
        </x:is>
      </x:c>
      <x:c r="D22" s="14" t="n">
        <x:v>250000</x:v>
      </x:c>
      <x:c r="E22" s="14" t="n">
        <x:v>290000</x:v>
      </x:c>
      <x:c r="F22" s="12" t="inlineStr">
        <x:is>
          <x:t xml:space="preserve">Seattle, Washington</x:t>
        </x:is>
      </x:c>
      <x:c r="G22" s="12" t="inlineStr">
        <x:is>
          <x:t xml:space="preserve">varies/unknown</x:t>
        </x:is>
      </x:c>
      <x:c r="H22" s="14" t="n"/>
      <x:c r="I22" s="12" t="n"/>
      <x:c r="J22" s="12" t="inlineStr">
        <x:is>
          <x:t xml:space="preserve">excluded</x:t>
        </x:is>
      </x:c>
      <x:c r="K22" s="12" t="inlineStr">
        <x:is>
          <x:t xml:space="preserve">no</x:t>
        </x:is>
      </x:c>
      <x:c r="L22" s="12" t="n"/>
      <x:c r="M22" s="12" t="inlineStr">
        <x:is>
          <x:t xml:space="preserve">Direct institution operations not comparable</x:t>
        </x:is>
      </x:c>
      <x:c r="N22" s="17" t="inlineStr">
        <x:is>
          <x:t xml:space="preserve">https://botanicgardens.uw.edu/</x:t>
        </x:is>
      </x:c>
      <x:c r="O22" s="17" t="inlineStr">
        <x:is>
          <x:t xml:space="preserve">SRC-AD-SEATTLEBG</x:t>
        </x:is>
      </x:c>
    </x:row>
    <x:row r="23">
      <x:c r="A23" s="12" t="inlineStr">
        <x:is>
          <x:t xml:space="preserve">Injustice Watch</x:t>
        </x:is>
      </x:c>
      <x:c r="B23" s="12" t="inlineStr">
        <x:is>
          <x:t xml:space="preserve">Executive Director</x:t>
        </x:is>
      </x:c>
      <x:c r="C23" s="12" t="inlineStr">
        <x:is>
          <x:t xml:space="preserve">2026</x:t>
        </x:is>
      </x:c>
      <x:c r="D23" s="14" t="n">
        <x:v>150000</x:v>
      </x:c>
      <x:c r="E23" s="14" t="n">
        <x:v>175000</x:v>
      </x:c>
      <x:c r="F23" s="12" t="inlineStr">
        <x:is>
          <x:t xml:space="preserve">Chicago, Illinois</x:t>
        </x:is>
      </x:c>
      <x:c r="G23" s="12" t="inlineStr">
        <x:is>
          <x:t xml:space="preserve">varies/unknown</x:t>
        </x:is>
      </x:c>
      <x:c r="H23" s="14" t="n"/>
      <x:c r="I23" s="12" t="n"/>
      <x:c r="J23" s="12" t="inlineStr">
        <x:is>
          <x:t xml:space="preserve">excluded</x:t>
        </x:is>
      </x:c>
      <x:c r="K23" s="12" t="inlineStr">
        <x:is>
          <x:t xml:space="preserve">no</x:t>
        </x:is>
      </x:c>
      <x:c r="L23" s="12" t="n"/>
      <x:c r="M23" s="12" t="inlineStr">
        <x:is>
          <x:t xml:space="preserve">Local/journalism model and below scale</x:t>
        </x:is>
      </x:c>
      <x:c r="N23" s="17" t="inlineStr">
        <x:is>
          <x:t xml:space="preserve">https://www.injusticewatch.org/</x:t>
        </x:is>
      </x:c>
      <x:c r="O23" s="17" t="inlineStr">
        <x:is>
          <x:t xml:space="preserve">SRC-AD-INJUSTICEWATCH</x:t>
        </x:is>
      </x:c>
    </x:row>
    <x:row r="24">
      <x:c r="A24" s="12" t="inlineStr">
        <x:is>
          <x:t xml:space="preserve">Disability Rights Washington</x:t>
        </x:is>
      </x:c>
      <x:c r="B24" s="12" t="inlineStr">
        <x:is>
          <x:t xml:space="preserve">Executive Director</x:t>
        </x:is>
      </x:c>
      <x:c r="C24" s="12" t="inlineStr">
        <x:is>
          <x:t xml:space="preserve">2026</x:t>
        </x:is>
      </x:c>
      <x:c r="D24" s="14" t="n">
        <x:v>175000</x:v>
      </x:c>
      <x:c r="E24" s="14" t="n">
        <x:v>200000</x:v>
      </x:c>
      <x:c r="F24" s="12" t="inlineStr">
        <x:is>
          <x:t xml:space="preserve">Washington State</x:t>
        </x:is>
      </x:c>
      <x:c r="G24" s="12" t="inlineStr">
        <x:is>
          <x:t xml:space="preserve">varies/unknown</x:t>
        </x:is>
      </x:c>
      <x:c r="H24" s="14" t="n"/>
      <x:c r="I24" s="12" t="n"/>
      <x:c r="J24" s="12" t="inlineStr">
        <x:is>
          <x:t xml:space="preserve">excluded</x:t>
        </x:is>
      </x:c>
      <x:c r="K24" s="12" t="inlineStr">
        <x:is>
          <x:t xml:space="preserve">no</x:t>
        </x:is>
      </x:c>
      <x:c r="L24" s="12" t="n"/>
      <x:c r="M24" s="12" t="inlineStr">
        <x:is>
          <x:t xml:space="preserve">Legal/advocacy delivery model</x:t>
        </x:is>
      </x:c>
      <x:c r="N24" s="17" t="inlineStr">
        <x:is>
          <x:t xml:space="preserve">https://www.disabilityrightswa.org/</x:t>
        </x:is>
      </x:c>
      <x:c r="O24" s="17" t="inlineStr">
        <x:is>
          <x:t xml:space="preserve">SRC-AD-DRW</x:t>
        </x:is>
      </x:c>
    </x:row>
    <x:row r="25">
      <x:c r="A25" s="12" t="inlineStr">
        <x:is>
          <x:t xml:space="preserve">The 5 Gyres Institute</x:t>
        </x:is>
      </x:c>
      <x:c r="B25" s="12" t="inlineStr">
        <x:is>
          <x:t xml:space="preserve">Executive Director</x:t>
        </x:is>
      </x:c>
      <x:c r="C25" s="12" t="inlineStr">
        <x:is>
          <x:t xml:space="preserve">2025-12-18</x:t>
        </x:is>
      </x:c>
      <x:c r="D25" s="14" t="n">
        <x:v>130000</x:v>
      </x:c>
      <x:c r="E25" s="14" t="n">
        <x:v>150000</x:v>
      </x:c>
      <x:c r="F25" s="12" t="inlineStr">
        <x:is>
          <x:t xml:space="preserve">Remote/hybrid; West Coast preferred</x:t>
        </x:is>
      </x:c>
      <x:c r="G25" s="12" t="inlineStr">
        <x:is>
          <x:t xml:space="preserve">Remote with regular travel</x:t>
        </x:is>
      </x:c>
      <x:c r="H25" s="14" t="n">
        <x:v>1700000</x:v>
      </x:c>
      <x:c r="I25" s="12" t="n"/>
      <x:c r="J25" s="12" t="inlineStr">
        <x:is>
          <x:t xml:space="preserve">expanded_secondary_scale</x:t>
        </x:is>
      </x:c>
      <x:c r="K25" s="12" t="inlineStr">
        <x:is>
          <x:t xml:space="preserve">yes</x:t>
        </x:is>
      </x:c>
      <x:c r="L25" s="13" t="inlineStr">
        <x:is>
          <x:t xml:space="preserve">Strong research/policy function and full enterprise scope, but materially below RP scale.</x:t>
        </x:is>
      </x:c>
      <x:c r="M25" s="12" t="n"/>
      <x:c r="N25" s="16" t="inlineStr">
        <x:is>
          <x:t xml:space="preserve">https://www.climatechangecareers.com/job/the-5-gyres-institute/remote/executive-director/</x:t>
        </x:is>
      </x:c>
      <x:c r="O25" s="17" t="inlineStr">
        <x:is>
          <x:t xml:space="preserve">SRC-AD-5GYRES-2026</x:t>
        </x:is>
      </x:c>
    </x:row>
    <x:row r="26">
      <x:c r="A26" s="12" t="inlineStr">
        <x:is>
          <x:t xml:space="preserve">Dream.Org</x:t>
        </x:is>
      </x:c>
      <x:c r="B26" s="12" t="inlineStr">
        <x:is>
          <x:t xml:space="preserve">Chief Executive Officer</x:t>
        </x:is>
      </x:c>
      <x:c r="C26" s="12" t="inlineStr">
        <x:is>
          <x:t xml:space="preserve">2026-06-02</x:t>
        </x:is>
      </x:c>
      <x:c r="D26" s="14" t="n">
        <x:v>260000</x:v>
      </x:c>
      <x:c r="E26" s="14" t="n">
        <x:v>290000</x:v>
      </x:c>
      <x:c r="F26" s="12" t="inlineStr">
        <x:is>
          <x:t xml:space="preserve">Oakland, CA or Washington, DC</x:t>
        </x:is>
      </x:c>
      <x:c r="G26" s="12" t="inlineStr">
        <x:is>
          <x:t xml:space="preserve">Hybrid</x:t>
        </x:is>
      </x:c>
      <x:c r="H26" s="14" t="n"/>
      <x:c r="I26" s="12" t="n">
        <x:v>39</x:v>
      </x:c>
      <x:c r="J26" s="12" t="inlineStr">
        <x:is>
          <x:t xml:space="preserve">expanded_primary_title</x:t>
        </x:is>
      </x:c>
      <x:c r="K26" s="12" t="inlineStr">
        <x:is>
          <x:t xml:space="preserve">yes</x:t>
        </x:is>
      </x:c>
      <x:c r="L26" s="13" t="inlineStr">
        <x:is>
          <x:t xml:space="preserve">Full national CEO scope and 39-person staff; broader campaign/advocacy mix than RP.</x:t>
        </x:is>
      </x:c>
      <x:c r="M26" s="12" t="n"/>
      <x:c r="N26" s="16" t="inlineStr">
        <x:is>
          <x:t xml:space="preserve">https://www.nonprofitoperations.com/job-submissions/chief-executive-officer-/dream.org-</x:t>
        </x:is>
      </x:c>
      <x:c r="O26" s="17" t="inlineStr">
        <x:is>
          <x:t xml:space="preserve">SRC-AD-DREAM-2026</x:t>
        </x:is>
      </x:c>
    </x:row>
    <x:row r="27">
      <x:c r="A27" s="12" t="inlineStr">
        <x:is>
          <x:t xml:space="preserve">Appleseed Foundation</x:t>
        </x:is>
      </x:c>
      <x:c r="B27" s="12" t="inlineStr">
        <x:is>
          <x:t xml:space="preserve">Executive Director</x:t>
        </x:is>
      </x:c>
      <x:c r="C27" s="12" t="inlineStr">
        <x:is>
          <x:t xml:space="preserve">2026-06-29</x:t>
        </x:is>
      </x:c>
      <x:c r="D27" s="14" t="n">
        <x:v>120000</x:v>
      </x:c>
      <x:c r="E27" s="14" t="n">
        <x:v>155000</x:v>
      </x:c>
      <x:c r="F27" s="12" t="inlineStr">
        <x:is>
          <x:t xml:space="preserve">United States</x:t>
        </x:is>
      </x:c>
      <x:c r="G27" s="12" t="inlineStr">
        <x:is>
          <x:t xml:space="preserve">Fully remote</x:t>
        </x:is>
      </x:c>
      <x:c r="H27" s="14" t="n"/>
      <x:c r="I27" s="12" t="n"/>
      <x:c r="J27" s="12" t="inlineStr">
        <x:is>
          <x:t xml:space="preserve">expanded_secondary_scale_unknown</x:t>
        </x:is>
      </x:c>
      <x:c r="K27" s="12" t="inlineStr">
        <x:is>
          <x:t xml:space="preserve">yes</x:t>
        </x:is>
      </x:c>
      <x:c r="L27" s="13" t="inlineStr">
        <x:is>
          <x:t xml:space="preserve">National remote organization-wide ED with research/network scope; scale unavailable and legal-network structure differs.</x:t>
        </x:is>
      </x:c>
      <x:c r="M27" s="12" t="n"/>
      <x:c r="N27" s="16" t="inlineStr">
        <x:is>
          <x:t xml:space="preserve">https://remoteimpact.org/jobs/executive-director-appleseed-foundation/</x:t>
        </x:is>
      </x:c>
      <x:c r="O27" s="17" t="inlineStr">
        <x:is>
          <x:t xml:space="preserve">SRC-AD-APPLESEED-2026</x:t>
        </x:is>
      </x:c>
    </x:row>
    <x:row r="28">
      <x:c r="A28" s="12" t="inlineStr">
        <x:is>
          <x:t xml:space="preserve">Healthcare Career Advancement Program</x:t>
        </x:is>
      </x:c>
      <x:c r="B28" s="12" t="inlineStr">
        <x:is>
          <x:t xml:space="preserve">Executive Director</x:t>
        </x:is>
      </x:c>
      <x:c r="C28" s="12" t="inlineStr">
        <x:is>
          <x:t xml:space="preserve">2026-02-01</x:t>
        </x:is>
      </x:c>
      <x:c r="D28" s="14" t="n">
        <x:v>150000</x:v>
      </x:c>
      <x:c r="E28" s="14" t="n">
        <x:v>170000</x:v>
      </x:c>
      <x:c r="F28" s="12" t="inlineStr">
        <x:is>
          <x:t xml:space="preserve">Remote</x:t>
        </x:is>
      </x:c>
      <x:c r="G28" s="12" t="inlineStr">
        <x:is>
          <x:t xml:space="preserve">Fully remote with travel</x:t>
        </x:is>
      </x:c>
      <x:c r="H28" s="14" t="n"/>
      <x:c r="I28" s="12" t="n">
        <x:v>13</x:v>
      </x:c>
      <x:c r="J28" s="12" t="inlineStr">
        <x:is>
          <x:t xml:space="preserve">expanded_secondary_structural</x:t>
        </x:is>
      </x:c>
      <x:c r="K28" s="12" t="inlineStr">
        <x:is>
          <x:t xml:space="preserve">yes</x:t>
        </x:is>
      </x:c>
      <x:c r="L28" s="13" t="inlineStr">
        <x:is>
          <x:t xml:space="preserve">National research/technical-assistance leadership role; smaller staff and dual-entity governance reduce comparability.</x:t>
        </x:is>
      </x:c>
      <x:c r="M28" s="12" t="n"/>
      <x:c r="N28" s="16" t="inlineStr">
        <x:is>
          <x:t xml:space="preserve">https://dailyremote.com/remote-job/h-cap-executive-director-4517350</x:t>
        </x:is>
      </x:c>
      <x:c r="O28" s="17" t="inlineStr">
        <x:is>
          <x:t xml:space="preserve">SRC-AD-HCAP-2026</x:t>
        </x:is>
      </x:c>
    </x:row>
    <x:row r="29">
      <x:c r="A29" s="12" t="inlineStr">
        <x:is>
          <x:t xml:space="preserve">Hagley Museum and Library</x:t>
        </x:is>
      </x:c>
      <x:c r="B29" s="12" t="inlineStr">
        <x:is>
          <x:t xml:space="preserve">Chief Executive Officer</x:t>
        </x:is>
      </x:c>
      <x:c r="C29" s="12" t="inlineStr">
        <x:is>
          <x:t xml:space="preserve">2026-02-07</x:t>
        </x:is>
      </x:c>
      <x:c r="D29" s="14" t="n">
        <x:v>225000</x:v>
      </x:c>
      <x:c r="E29" s="14" t="n">
        <x:v>260000</x:v>
      </x:c>
      <x:c r="F29" s="12" t="inlineStr">
        <x:is>
          <x:t xml:space="preserve">Wilmington, Delaware</x:t>
        </x:is>
      </x:c>
      <x:c r="G29" s="12" t="inlineStr">
        <x:is>
          <x:t xml:space="preserve">In-person</x:t>
        </x:is>
      </x:c>
      <x:c r="H29" s="14" t="n">
        <x:v>11500000</x:v>
      </x:c>
      <x:c r="I29" s="12" t="n">
        <x:v>78</x:v>
      </x:c>
      <x:c r="J29" s="12" t="inlineStr">
        <x:is>
          <x:t xml:space="preserve">expanded_broad_functional</x:t>
        </x:is>
      </x:c>
      <x:c r="K29" s="12" t="inlineStr">
        <x:is>
          <x:t xml:space="preserve">yes</x:t>
        </x:is>
      </x:c>
      <x:c r="L29" s="13" t="inlineStr">
        <x:is>
          <x:t xml:space="preserve">Excellent scale/title match and substantial research/knowledge function, but museum/site operations materially differ from RP.</x:t>
        </x:is>
      </x:c>
      <x:c r="M29" s="12" t="n"/>
      <x:c r="N29" s="16" t="inlineStr">
        <x:is>
          <x:t xml:space="preserve">https://www.nonprofitoperations.com/job-submissions/chief-executive-officer-/hagley-museum-and-library-</x:t>
        </x:is>
      </x:c>
      <x:c r="O29" s="17" t="inlineStr">
        <x:is>
          <x:t xml:space="preserve">SRC-AD-HAGLEY-2026</x:t>
        </x:is>
      </x:c>
    </x:row>
    <x:row r="30">
      <x:c r="A30" s="12" t="inlineStr">
        <x:is>
          <x:t xml:space="preserve">Citizens Housing and Planning Association</x:t>
        </x:is>
      </x:c>
      <x:c r="B30" s="12" t="inlineStr">
        <x:is>
          <x:t xml:space="preserve">Chief Executive Officer</x:t>
        </x:is>
      </x:c>
      <x:c r="C30" s="13" t="inlineStr">
        <x:is>
          <x:t xml:space="preserve">2026-02-02 page publication; underlying process dates indicate 2025</x:t>
        </x:is>
      </x:c>
      <x:c r="D30" s="14" t="n">
        <x:v>180000</x:v>
      </x:c>
      <x:c r="E30" s="14" t="n">
        <x:v>210000</x:v>
      </x:c>
      <x:c r="F30" s="12" t="inlineStr">
        <x:is>
          <x:t xml:space="preserve">Boston, Massachusetts</x:t>
        </x:is>
      </x:c>
      <x:c r="G30" s="12" t="inlineStr">
        <x:is>
          <x:t xml:space="preserve">Hybrid</x:t>
        </x:is>
      </x:c>
      <x:c r="H30" s="14" t="n">
        <x:v>3100000</x:v>
      </x:c>
      <x:c r="I30" s="12" t="n"/>
      <x:c r="J30" s="12" t="inlineStr">
        <x:is>
          <x:t xml:space="preserve">date_ambiguity_sensitivity</x:t>
        </x:is>
      </x:c>
      <x:c r="K30" s="12" t="inlineStr">
        <x:is>
          <x:t xml:space="preserve">sensitivity_only</x:t>
        </x:is>
      </x:c>
      <x:c r="L30" s="13" t="inlineStr">
        <x:is>
          <x:t xml:space="preserve">Strong functional CEO role but publication conflicts with an underlying 2025 interview/start timetable.</x:t>
        </x:is>
      </x:c>
      <x:c r="M30" s="13" t="inlineStr">
        <x:is>
          <x:t xml:space="preserve">Excluded from 2026 current-ad primary analysis because source dates are internally inconsistent.</x:t>
        </x:is>
      </x:c>
      <x:c r="N30" s="16" t="inlineStr">
        <x:is>
          <x:t xml:space="preserve">https://commonwealthbeacon.org/job/citizens-housing-and-planning-association-boston-full-time-chief-executive-officer/</x:t>
        </x:is>
      </x:c>
      <x:c r="O30" s="17" t="inlineStr">
        <x:is>
          <x:t xml:space="preserve">SRC-AD-CHAPA-AMBIG</x:t>
        </x:is>
      </x:c>
    </x:row>
    <x:row r="31">
      <x:c r="A31" s="12" t="inlineStr">
        <x:is>
          <x:t xml:space="preserve">Joyce Ivy Foundation</x:t>
        </x:is>
      </x:c>
      <x:c r="B31" s="12" t="inlineStr">
        <x:is>
          <x:t xml:space="preserve">Executive Director</x:t>
        </x:is>
      </x:c>
      <x:c r="C31" s="12" t="inlineStr">
        <x:is>
          <x:t xml:space="preserve">2026-08-03</x:t>
        </x:is>
      </x:c>
      <x:c r="D31" s="14" t="n">
        <x:v>80000</x:v>
      </x:c>
      <x:c r="E31" s="14" t="n">
        <x:v>150000</x:v>
      </x:c>
      <x:c r="F31" s="12" t="inlineStr">
        <x:is>
          <x:t xml:space="preserve">Remote with Midwest travel</x:t>
        </x:is>
      </x:c>
      <x:c r="G31" s="12" t="inlineStr">
        <x:is>
          <x:t xml:space="preserve">Remote</x:t>
        </x:is>
      </x:c>
      <x:c r="H31" s="14" t="n"/>
      <x:c r="I31" s="12" t="n"/>
      <x:c r="J31" s="12" t="inlineStr">
        <x:is>
          <x:t xml:space="preserve">fractional_sensitivity</x:t>
        </x:is>
      </x:c>
      <x:c r="K31" s="12" t="inlineStr">
        <x:is>
          <x:t xml:space="preserve">sensitivity_only</x:t>
        </x:is>
      </x:c>
      <x:c r="L31" s="13" t="inlineStr">
        <x:is>
          <x:t xml:space="preserve">Full ED title but very wide range and possible fractional arrangement make it unsuitable for the primary full-time comparison.</x:t>
        </x:is>
      </x:c>
      <x:c r="M31" s="12" t="inlineStr">
        <x:is>
          <x:t xml:space="preserve">Sensitivity only.</x:t>
        </x:is>
      </x:c>
      <x:c r="N31" s="16" t="inlineStr">
        <x:is>
          <x:t xml:space="preserve">https://careers.councilofnonprofits.org/jobs/executive-director-joyce-ivy-foundation-remote-in-anywhere/</x:t>
        </x:is>
      </x:c>
      <x:c r="O31" s="17" t="inlineStr">
        <x:is>
          <x:t xml:space="preserve">SRC-AD-JOYCEIVY-2026</x:t>
        </x:is>
      </x:c>
    </x:row>
    <x:row r="32">
      <x:c r="A32" s="12" t="inlineStr">
        <x:is>
          <x:t xml:space="preserve">Community Foundation of Louisville</x:t>
        </x:is>
      </x:c>
      <x:c r="B32" s="12" t="inlineStr">
        <x:is>
          <x:t xml:space="preserve">Chief Executive Officer</x:t>
        </x:is>
      </x:c>
      <x:c r="C32" s="12" t="inlineStr">
        <x:is>
          <x:t xml:space="preserve">2026-02-23</x:t>
        </x:is>
      </x:c>
      <x:c r="D32" s="14" t="n">
        <x:v>325000</x:v>
      </x:c>
      <x:c r="E32" s="14" t="n">
        <x:v>400000</x:v>
      </x:c>
      <x:c r="F32" s="12" t="inlineStr">
        <x:is>
          <x:t xml:space="preserve">Louisville, Kentucky</x:t>
        </x:is>
      </x:c>
      <x:c r="G32" s="12" t="inlineStr">
        <x:is>
          <x:t xml:space="preserve">In-person/local</x:t>
        </x:is>
      </x:c>
      <x:c r="H32" s="14" t="n"/>
      <x:c r="I32" s="12" t="n">
        <x:v>30</x:v>
      </x:c>
      <x:c r="J32" s="12" t="inlineStr">
        <x:is>
          <x:t xml:space="preserve">excluded_grantmaking</x:t>
        </x:is>
      </x:c>
      <x:c r="K32" s="12" t="inlineStr">
        <x:is>
          <x:t xml:space="preserve">no</x:t>
        </x:is>
      </x:c>
      <x:c r="L32" s="12" t="n"/>
      <x:c r="M32" s="13" t="inlineStr">
        <x:is>
          <x:t xml:space="preserve">Asset-management and grantmaking-dominated community foundation; not comparable to RP core operating responsibility.</x:t>
        </x:is>
      </x:c>
      <x:c r="N32" s="17" t="inlineStr">
        <x:is>
          <x:t xml:space="preserve">https://pac.org/job/chief-executive-officer-4</x:t>
        </x:is>
      </x:c>
      <x:c r="O32" s="17" t="inlineStr">
        <x:is>
          <x:t xml:space="preserve">SRC-AD-CFL-2026</x:t>
        </x:is>
      </x:c>
    </x:row>
    <x:row r="33">
      <x:c r="A33" s="12" t="inlineStr">
        <x:is>
          <x:t xml:space="preserve">The Colorado Health Foundation</x:t>
        </x:is>
      </x:c>
      <x:c r="B33" s="12" t="inlineStr">
        <x:is>
          <x:t xml:space="preserve">Chief Executive Officer</x:t>
        </x:is>
      </x:c>
      <x:c r="C33" s="12" t="inlineStr">
        <x:is>
          <x:t xml:space="preserve">2026-08-11</x:t>
        </x:is>
      </x:c>
      <x:c r="D33" s="14" t="n">
        <x:v>626000</x:v>
      </x:c>
      <x:c r="E33" s="14" t="n">
        <x:v>736000</x:v>
      </x:c>
      <x:c r="F33" s="12" t="inlineStr">
        <x:is>
          <x:t xml:space="preserve">Denver, Colorado</x:t>
        </x:is>
      </x:c>
      <x:c r="G33" s="12" t="inlineStr">
        <x:is>
          <x:t xml:space="preserve">Hybrid</x:t>
        </x:is>
      </x:c>
      <x:c r="H33" s="14" t="n"/>
      <x:c r="I33" s="12" t="n"/>
      <x:c r="J33" s="12" t="inlineStr">
        <x:is>
          <x:t xml:space="preserve">excluded_private_foundation</x:t>
        </x:is>
      </x:c>
      <x:c r="K33" s="12" t="inlineStr">
        <x:is>
          <x:t xml:space="preserve">no</x:t>
        </x:is>
      </x:c>
      <x:c r="L33" s="12" t="n"/>
      <x:c r="M33" s="13" t="inlineStr">
        <x:is>
          <x:t xml:space="preserve">Private-foundation asset and grantmaking model is not comparable to RP.</x:t>
        </x:is>
      </x:c>
      <x:c r="N33" s="16" t="inlineStr">
        <x:is>
          <x:t xml:space="preserve">https://www.nonprofitoperations.com/job-submissions/chief-executive-officer-/the-colorado-health-foundation-</x:t>
        </x:is>
      </x:c>
      <x:c r="O33" s="17" t="inlineStr">
        <x:is>
          <x:t xml:space="preserve">SRC-AD-CHF-2026</x:t>
        </x:is>
      </x:c>
    </x:row>
    <x:row r="34">
      <x:c r="A34" s="12" t="inlineStr">
        <x:is>
          <x:t xml:space="preserve">Reach Out and Read (regional executive role)</x:t>
        </x:is>
      </x:c>
      <x:c r="B34" s="12" t="inlineStr">
        <x:is>
          <x:t xml:space="preserve">Regional Executive Director</x:t>
        </x:is>
      </x:c>
      <x:c r="C34" s="12" t="inlineStr">
        <x:is>
          <x:t xml:space="preserve">2026</x:t>
        </x:is>
      </x:c>
      <x:c r="D34" s="14" t="n"/>
      <x:c r="E34" s="14" t="n"/>
      <x:c r="F34" s="12" t="inlineStr">
        <x:is>
          <x:t xml:space="preserve">United States region</x:t>
        </x:is>
      </x:c>
      <x:c r="G34" s="12" t="n"/>
      <x:c r="H34" s="14" t="n"/>
      <x:c r="I34" s="12" t="n"/>
      <x:c r="J34" s="12" t="inlineStr">
        <x:is>
          <x:t xml:space="preserve">excluded_subordinate_regional</x:t>
        </x:is>
      </x:c>
      <x:c r="K34" s="12" t="inlineStr">
        <x:is>
          <x:t xml:space="preserve">no</x:t>
        </x:is>
      </x:c>
      <x:c r="L34" s="12" t="n"/>
      <x:c r="M34" s="13" t="inlineStr">
        <x:is>
          <x:t xml:space="preserve">Regional/subordinate executive reporting to COO; not organization-wide CEO equivalent.</x:t>
        </x:is>
      </x:c>
      <x:c r="N34" s="17" t="n"/>
      <x:c r="O34" s="17" t="inlineStr">
        <x:is>
          <x:t xml:space="preserve">SRC-AD-CHAPA-ROR-EXCL</x:t>
        </x:is>
      </x:c>
    </x:row>
    <x:row r="35">
      <x:c r="A35" s="13" t="inlineStr">
        <x:is>
          <x:t xml:space="preserve">Andy Hill Cancer Research Endowment (CARE) Fund</x:t>
        </x:is>
      </x:c>
      <x:c r="B35" s="12" t="inlineStr">
        <x:is>
          <x:t xml:space="preserve">Executive Director</x:t>
        </x:is>
      </x:c>
      <x:c r="C35" s="12" t="inlineStr">
        <x:is>
          <x:t xml:space="preserve">2026-06-25</x:t>
        </x:is>
      </x:c>
      <x:c r="D35" s="14" t="n">
        <x:v>220000</x:v>
      </x:c>
      <x:c r="E35" s="14" t="n">
        <x:v>250000</x:v>
      </x:c>
      <x:c r="F35" s="12" t="inlineStr">
        <x:is>
          <x:t xml:space="preserve">Bothell, Washington / statewide Washington</x:t>
        </x:is>
      </x:c>
      <x:c r="G35" s="12" t="inlineStr">
        <x:is>
          <x:t xml:space="preserve">Statewide remote/hybrid</x:t>
        </x:is>
      </x:c>
      <x:c r="H35" s="14" t="n"/>
      <x:c r="I35" s="12" t="n"/>
      <x:c r="J35" s="12" t="inlineStr">
        <x:is>
          <x:t xml:space="preserve">expanded_secondary_structural</x:t>
        </x:is>
      </x:c>
      <x:c r="K35" s="12" t="inlineStr">
        <x:is>
          <x:t xml:space="preserve">yes</x:t>
        </x:is>
      </x:c>
      <x:c r="L35" s="13" t="inlineStr">
        <x:is>
          <x:t xml:space="preserve">Strong research-leadership and public-policy interface; retained as structural sensitivity because the operating model is research grantmaking/public-private rather than RP-like knowledge production.</x:t>
        </x:is>
      </x:c>
      <x:c r="M35" s="12" t="n"/>
      <x:c r="N35" s="16" t="inlineStr">
        <x:is>
          <x:t xml:space="preserve">https://careers.councilofnonprofits.org/jobs/executive-director-in-bothell-washington-us/</x:t>
        </x:is>
      </x:c>
      <x:c r="O35" s="17" t="inlineStr">
        <x:is>
          <x:t xml:space="preserve">SRC-AD-ANDYHILL-2026</x:t>
        </x:is>
      </x:c>
    </x:row>
    <x:row r="36">
      <x:c r="A36" s="12" t="inlineStr">
        <x:is>
          <x:t xml:space="preserve">Great Basin Water Network</x:t>
        </x:is>
      </x:c>
      <x:c r="B36" s="12" t="inlineStr">
        <x:is>
          <x:t xml:space="preserve">Executive Director</x:t>
        </x:is>
      </x:c>
      <x:c r="C36" s="12" t="inlineStr">
        <x:is>
          <x:t xml:space="preserve">2026-08-05</x:t>
        </x:is>
      </x:c>
      <x:c r="D36" s="14" t="n">
        <x:v>110000</x:v>
      </x:c>
      <x:c r="E36" s="14" t="n">
        <x:v>120000</x:v>
      </x:c>
      <x:c r="F36" s="12" t="inlineStr">
        <x:is>
          <x:t xml:space="preserve">Reno or Las Vegas, Nevada</x:t>
        </x:is>
      </x:c>
      <x:c r="G36" s="12" t="inlineStr">
        <x:is>
          <x:t xml:space="preserve">Remote with extensive travel</x:t>
        </x:is>
      </x:c>
      <x:c r="H36" s="14" t="n">
        <x:v>385034</x:v>
      </x:c>
      <x:c r="I36" s="12" t="n">
        <x:v>1</x:v>
      </x:c>
      <x:c r="J36" s="12" t="inlineStr">
        <x:is>
          <x:t xml:space="preserve">expanded_secondary_scale</x:t>
        </x:is>
      </x:c>
      <x:c r="K36" s="12" t="inlineStr">
        <x:is>
          <x:t xml:space="preserve">yes</x:t>
        </x:is>
      </x:c>
      <x:c r="L36" s="13" t="inlineStr">
        <x:is>
          <x:t xml:space="preserve">Strong policy/research function and full executive scope, but one employee and sub-$0.5M expense scale; included only in broad scale sensitivity.</x:t>
        </x:is>
      </x:c>
      <x:c r="M36" s="12" t="n"/>
      <x:c r="N36" s="16" t="inlineStr">
        <x:is>
          <x:t xml:space="preserve">https://careers.councilofnonprofits.org/jobs/executive-director-in-reno-nevada-us/</x:t>
        </x:is>
      </x:c>
      <x:c r="O36" s="17" t="inlineStr">
        <x:is>
          <x:t xml:space="preserve">SRC-AD-GBWN-2026</x:t>
        </x:is>
      </x:c>
    </x:row>
    <x:row r="37">
      <x:c r="A37" s="12" t="inlineStr">
        <x:is>
          <x:t xml:space="preserve">New Jersey League of Conservation Voters</x:t>
        </x:is>
      </x:c>
      <x:c r="B37" s="13" t="inlineStr">
        <x:is>
          <x:t xml:space="preserve">Executive Director and Chief Executive Officer</x:t>
        </x:is>
      </x:c>
      <x:c r="C37" s="12" t="inlineStr">
        <x:is>
          <x:t xml:space="preserve">2026-06-23</x:t>
        </x:is>
      </x:c>
      <x:c r="D37" s="14" t="n">
        <x:v>180000</x:v>
      </x:c>
      <x:c r="E37" s="14" t="n">
        <x:v>220000</x:v>
      </x:c>
      <x:c r="F37" s="12" t="inlineStr">
        <x:is>
          <x:t xml:space="preserve">Trenton, New Jersey</x:t>
        </x:is>
      </x:c>
      <x:c r="G37" s="13" t="inlineStr">
        <x:is>
          <x:t xml:space="preserve">On-site/hybrid not consistently stated across copies</x:t>
        </x:is>
      </x:c>
      <x:c r="H37" s="14" t="n"/>
      <x:c r="I37" s="12" t="n"/>
      <x:c r="J37" s="12" t="inlineStr">
        <x:is>
          <x:t xml:space="preserve">expanded_secondary_structural</x:t>
        </x:is>
      </x:c>
      <x:c r="K37" s="12" t="inlineStr">
        <x:is>
          <x:t xml:space="preserve">yes</x:t>
        </x:is>
      </x:c>
      <x:c r="L37" s="13" t="inlineStr">
        <x:is>
          <x:t xml:space="preserve">Title and policy-leadership match; retained as structural sensitivity because it leads a politically active family of affiliated entities and is state-focused.</x:t>
        </x:is>
      </x:c>
      <x:c r="M37" s="12" t="n"/>
      <x:c r="N37" s="16" t="inlineStr">
        <x:is>
          <x:t xml:space="preserve">https://careers.councilofnonprofits.org/jobs/executive-director-and-chief-executive-officer-in-trenton-new-jersey-us/</x:t>
        </x:is>
      </x:c>
      <x:c r="O37" s="17" t="inlineStr">
        <x:is>
          <x:t xml:space="preserve">SRC-AD-NJLCV-2026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20" customWidth="1"/>
    <x:col min="4" max="4" width="20" customWidth="1"/>
    <x:col min="5" max="5" width="20" customWidth="1"/>
    <x:col min="6" max="6" width="22" customWidth="1"/>
    <x:col min="7" max="7" width="20" customWidth="1"/>
    <x:col min="8" max="8" width="20" customWidth="1"/>
    <x:col min="9" max="9" width="20" customWidth="1"/>
    <x:col min="10" max="10" width="23" customWidth="1"/>
  </x:cols>
  <x:sheetData>
    <x:row r="1" ht="28" customHeight="1">
      <x:c r="A1" s="1" t="inlineStr">
        <x:is>
          <x:t xml:space="preserve">Sensitivity Analysis</x:t>
        </x:is>
      </x:c>
    </x:row>
    <x:row r="2" ht="28" customHeight="1">
      <x:c r="A2" s="2" t="inlineStr">
        <x:is>
          <x:t xml:space="preserve">Unweighted and comparability-weighted July 2026 centers</x:t>
        </x:is>
      </x:c>
    </x:row>
    <x:row r="3"/>
    <x:row r="4" ht="30" customHeight="1">
      <x:c r="A4" s="3" t="inlineStr">
        <x:is>
          <x:t xml:space="preserve">sample</x:t>
        </x:is>
      </x:c>
      <x:c r="B4" s="3" t="inlineStr">
        <x:is>
          <x:t xml:space="preserve">n</x:t>
        </x:is>
      </x:c>
      <x:c r="C4" s="3" t="inlineStr">
        <x:is>
          <x:t xml:space="preserve">cash_median</x:t>
        </x:is>
      </x:c>
      <x:c r="D4" s="3" t="inlineStr">
        <x:is>
          <x:t xml:space="preserve">cash_q1</x:t>
        </x:is>
      </x:c>
      <x:c r="E4" s="3" t="inlineStr">
        <x:is>
          <x:t xml:space="preserve">cash_q3</x:t>
        </x:is>
      </x:c>
      <x:c r="F4" s="3" t="inlineStr">
        <x:is>
          <x:t xml:space="preserve">cash_weighted_median</x:t>
        </x:is>
      </x:c>
      <x:c r="G4" s="3" t="inlineStr">
        <x:is>
          <x:t xml:space="preserve">total_median</x:t>
        </x:is>
      </x:c>
      <x:c r="H4" s="3" t="inlineStr">
        <x:is>
          <x:t xml:space="preserve">total_q1</x:t>
        </x:is>
      </x:c>
      <x:c r="I4" s="3" t="inlineStr">
        <x:is>
          <x:t xml:space="preserve">total_q3</x:t>
        </x:is>
      </x:c>
      <x:c r="J4" s="3" t="inlineStr">
        <x:is>
          <x:t xml:space="preserve">total_weighted_median</x:t>
        </x:is>
      </x:c>
    </x:row>
    <x:row r="5">
      <x:c r="A5" s="12" t="inlineStr">
        <x:is>
          <x:t xml:space="preserve">all_primary_eligible</x:t>
        </x:is>
      </x:c>
      <x:c r="B5" s="12" t="n">
        <x:v>116</x:v>
      </x:c>
      <x:c r="C5" s="14" t="n">
        <x:v>300521.399741578</x:v>
      </x:c>
      <x:c r="D5" s="14" t="n">
        <x:v>236883.9750649928</x:v>
      </x:c>
      <x:c r="E5" s="14" t="n">
        <x:v>413825.2982105231</x:v>
      </x:c>
      <x:c r="F5" s="14" t="n">
        <x:v>303379.0810745043</x:v>
      </x:c>
      <x:c r="G5" s="14" t="n">
        <x:v>335529.8122523754</x:v>
      </x:c>
      <x:c r="H5" s="14" t="n">
        <x:v>257715.7391767744</x:v>
      </x:c>
      <x:c r="I5" s="14" t="n">
        <x:v>471461.4636008828</x:v>
      </x:c>
      <x:c r="J5" s="14" t="n">
        <x:v>337350.0867388224</x:v>
      </x:c>
    </x:row>
    <x:row r="6">
      <x:c r="A6" s="12" t="inlineStr">
        <x:is>
          <x:t xml:space="preserve">structurally_clean</x:t>
        </x:is>
      </x:c>
      <x:c r="B6" s="12" t="n">
        <x:v>79</x:v>
      </x:c>
      <x:c r="C6" s="14" t="n">
        <x:v>309553.1114963714</x:v>
      </x:c>
      <x:c r="D6" s="14" t="n">
        <x:v>248466.0189285813</x:v>
      </x:c>
      <x:c r="E6" s="14" t="n">
        <x:v>409098.1712906223</x:v>
      </x:c>
      <x:c r="F6" s="14" t="n">
        <x:v>311006.1376215177</x:v>
      </x:c>
      <x:c r="G6" s="14" t="n">
        <x:v>359646.8524657929</x:v>
      </x:c>
      <x:c r="H6" s="14" t="n">
        <x:v>278265.680089558</x:v>
      </x:c>
      <x:c r="I6" s="14" t="n">
        <x:v>473838.1920443671</x:v>
      </x:c>
      <x:c r="J6" s="14" t="n">
        <x:v>361955.7269459703</x:v>
      </x:c>
    </x:row>
    <x:row r="7">
      <x:c r="A7" s="12" t="inlineStr">
        <x:is>
          <x:t xml:space="preserve">tier_A</x:t>
        </x:is>
      </x:c>
      <x:c r="B7" s="12" t="n">
        <x:v>71</x:v>
      </x:c>
      <x:c r="C7" s="14" t="n">
        <x:v>331902.7281226801</x:v>
      </x:c>
      <x:c r="D7" s="14" t="n">
        <x:v>252886.9320068205</x:v>
      </x:c>
      <x:c r="E7" s="14" t="n">
        <x:v>444672.8317669368</x:v>
      </x:c>
      <x:c r="F7" s="14" t="n">
        <x:v>331902.7281226801</x:v>
      </x:c>
      <x:c r="G7" s="14" t="n">
        <x:v>375970.7760036087</x:v>
      </x:c>
      <x:c r="H7" s="14" t="n">
        <x:v>281193.5543439279</x:v>
      </x:c>
      <x:c r="I7" s="14" t="n">
        <x:v>492910.105657783</x:v>
      </x:c>
      <x:c r="J7" s="14" t="n">
        <x:v>375970.7760036087</x:v>
      </x:c>
    </x:row>
    <x:row r="8">
      <x:c r="A8" s="12" t="inlineStr">
        <x:is>
          <x:t xml:space="preserve">tier_A_B</x:t>
        </x:is>
      </x:c>
      <x:c r="B8" s="12" t="n">
        <x:v>104</x:v>
      </x:c>
      <x:c r="C8" s="14" t="n">
        <x:v>307196.050880538</x:v>
      </x:c>
      <x:c r="D8" s="14" t="n">
        <x:v>246078.7125884097</x:v>
      </x:c>
      <x:c r="E8" s="14" t="n">
        <x:v>425856.9418122949</x:v>
      </x:c>
      <x:c r="F8" s="14" t="n">
        <x:v>308486.990653625</x:v>
      </x:c>
      <x:c r="G8" s="14" t="n">
        <x:v>340635.0967184572</x:v>
      </x:c>
      <x:c r="H8" s="14" t="n">
        <x:v>269743.6200020729</x:v>
      </x:c>
      <x:c r="I8" s="14" t="n">
        <x:v>481992.184447114</x:v>
      </x:c>
      <x:c r="J8" s="14" t="n">
        <x:v>341793.2596665592</x:v>
      </x:c>
    </x:row>
    <x:row r="9">
      <x:c r="A9" s="12" t="inlineStr">
        <x:is>
          <x:t xml:space="preserve">expense_and_available_staff_match</x:t>
        </x:is>
      </x:c>
      <x:c r="B9" s="12" t="n">
        <x:v>59</x:v>
      </x:c>
      <x:c r="C9" s="14" t="n">
        <x:v>336340.3632329884</x:v>
      </x:c>
      <x:c r="D9" s="14" t="n">
        <x:v>255081.6636114451</x:v>
      </x:c>
      <x:c r="E9" s="14" t="n">
        <x:v>445941.7014674309</x:v>
      </x:c>
      <x:c r="F9" s="14" t="n">
        <x:v>336340.3632329884</x:v>
      </x:c>
      <x:c r="G9" s="14" t="n">
        <x:v>375970.7760036087</x:v>
      </x:c>
      <x:c r="H9" s="14" t="n">
        <x:v>281193.5543439279</x:v>
      </x:c>
      <x:c r="I9" s="14" t="n">
        <x:v>492910.105657783</x:v>
      </x:c>
      <x:c r="J9" s="14" t="n">
        <x:v>375970.7760036087</x:v>
      </x:c>
    </x:row>
    <x:row r="10">
      <x:c r="A10" s="12" t="inlineStr">
        <x:is>
          <x:t xml:space="preserve">joint_expense_and_known_staff_match</x:t>
        </x:is>
      </x:c>
      <x:c r="B10" s="12" t="n">
        <x:v>17</x:v>
      </x:c>
      <x:c r="C10" s="14" t="n">
        <x:v>301472.5830597519</x:v>
      </x:c>
      <x:c r="D10" s="14" t="n">
        <x:v>252296.9160678796</x:v>
      </x:c>
      <x:c r="E10" s="14" t="n">
        <x:v>394818.6005983637</x:v>
      </x:c>
      <x:c r="F10" s="14" t="n">
        <x:v>301472.5830597519</x:v>
      </x:c>
      <x:c r="G10" s="14" t="n">
        <x:v>335312.6566996063</x:v>
      </x:c>
      <x:c r="H10" s="14" t="n">
        <x:v>263426.7173170015</x:v>
      </x:c>
      <x:c r="I10" s="14" t="n">
        <x:v>481355.0883768576</x:v>
      </x:c>
      <x:c r="J10" s="14" t="n">
        <x:v>335312.6566996063</x:v>
      </x:c>
    </x:row>
    <x:row r="11">
      <x:c r="A11" s="12" t="inlineStr">
        <x:is>
          <x:t xml:space="preserve">expense_match_only</x:t>
        </x:is>
      </x:c>
      <x:c r="B11" s="12" t="n">
        <x:v>65</x:v>
      </x:c>
      <x:c r="C11" s="14" t="n">
        <x:v>321318.1426836428</x:v>
      </x:c>
      <x:c r="D11" s="14" t="n">
        <x:v>253476.9479457615</x:v>
      </x:c>
      <x:c r="E11" s="14" t="n">
        <x:v>438046.3939434674</x:v>
      </x:c>
      <x:c r="F11" s="14" t="n">
        <x:v>321318.1426836428</x:v>
      </x:c>
      <x:c r="G11" s="14" t="n">
        <x:v>368135.0798078564</x:v>
      </x:c>
      <x:c r="H11" s="14" t="n">
        <x:v>276996.8103890639</x:v>
      </x:c>
      <x:c r="I11" s="14" t="n">
        <x:v>487914.4634560894</x:v>
      </x:c>
      <x:c r="J11" s="14" t="n">
        <x:v>368135.0798078564</x:v>
      </x:c>
    </x:row>
    <x:row r="12">
      <x:c r="A12" s="12" t="inlineStr">
        <x:is>
          <x:t xml:space="preserve">EA_core_or_adjacent</x:t>
        </x:is>
      </x:c>
      <x:c r="B12" s="12" t="n">
        <x:v>67</x:v>
      </x:c>
      <x:c r="C12" s="14" t="n">
        <x:v>268252.0414380918</x:v>
      </x:c>
      <x:c r="D12" s="14" t="n">
        <x:v>225405.3347983378</x:v>
      </x:c>
      <x:c r="E12" s="14" t="n">
        <x:v>352301.3529957766</x:v>
      </x:c>
      <x:c r="F12" s="14" t="n">
        <x:v>270708.162625061</x:v>
      </x:c>
      <x:c r="G12" s="14" t="n">
        <x:v>295244.2637496925</x:v>
      </x:c>
      <x:c r="H12" s="14" t="n">
        <x:v>248581.3676164224</x:v>
      </x:c>
      <x:c r="I12" s="14" t="n">
        <x:v>396090.1315188672</x:v>
      </x:c>
      <x:c r="J12" s="14" t="n">
        <x:v>297784.9249990223</x:v>
      </x:c>
    </x:row>
    <x:row r="13">
      <x:c r="A13" s="12" t="inlineStr">
        <x:is>
          <x:t xml:space="preserve">functional_only</x:t>
        </x:is>
      </x:c>
      <x:c r="B13" s="12" t="n">
        <x:v>49</x:v>
      </x:c>
      <x:c r="C13" s="14" t="n">
        <x:v>349740.7271027074</x:v>
      </x:c>
      <x:c r="D13" s="14" t="n">
        <x:v>253476.9479457615</x:v>
      </x:c>
      <x:c r="E13" s="14" t="n">
        <x:v>510654.0561926283</x:v>
      </x:c>
      <x:c r="F13" s="14" t="n">
        <x:v>349740.7271027074</x:v>
      </x:c>
      <x:c r="G13" s="14" t="n">
        <x:v>407598.8435716286</x:v>
      </x:c>
      <x:c r="H13" s="14" t="n">
        <x:v>300201.5843832503</x:v>
      </x:c>
      <x:c r="I13" s="14" t="n">
        <x:v>548128.291877354</x:v>
      </x:c>
      <x:c r="J13" s="14" t="n">
        <x:v>407598.8435716286</x:v>
      </x:c>
    </x:row>
    <x:row r="14">
      <x:c r="A14" s="12" t="inlineStr">
        <x:is>
          <x:t xml:space="preserve">excluding_predeclared_unusual_structures</x:t>
        </x:is>
      </x:c>
      <x:c r="B14" s="12" t="n">
        <x:v>109</x:v>
      </x:c>
      <x:c r="C14" s="14" t="n">
        <x:v>291123.6306870981</x:v>
      </x:c>
      <x:c r="D14" s="14" t="n">
        <x:v>230773.0040597249</x:v>
      </x:c>
      <x:c r="E14" s="14" t="n">
        <x:v>382061.7763611817</x:v>
      </x:c>
      <x:c r="F14" s="14" t="n">
        <x:v>291523.8781765157</x:v>
      </x:c>
      <x:c r="G14" s="14" t="n">
        <x:v>321857.5283319511</x:v>
      </x:c>
      <x:c r="H14" s="14" t="n">
        <x:v>256692.7662051513</x:v>
      </x:c>
      <x:c r="I14" s="14" t="n">
        <x:v>423742.2873862765</x:v>
      </x:c>
      <x:c r="J14" s="14" t="n">
        <x:v>324756.1291662173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5" customWidth="1"/>
    <x:col min="2" max="2" width="45" customWidth="1"/>
    <x:col min="3" max="3" width="21" customWidth="1"/>
    <x:col min="4" max="4" width="45" customWidth="1"/>
    <x:col min="5" max="5" width="21" customWidth="1"/>
    <x:col min="6" max="6" width="45" customWidth="1"/>
    <x:col min="7" max="7" width="33" customWidth="1"/>
    <x:col min="8" max="8" width="31" customWidth="1"/>
    <x:col min="9" max="9" width="24" customWidth="1"/>
    <x:col min="10" max="10" width="45" customWidth="1"/>
    <x:col min="11" max="11" width="30" customWidth="1"/>
    <x:col min="12" max="12" width="45" customWidth="1"/>
  </x:cols>
  <x:sheetData>
    <x:row r="1" ht="28" customHeight="1">
      <x:c r="A1" s="1" t="inlineStr">
        <x:is>
          <x:t xml:space="preserve">452-Organization Inclusion/Exclusion Log</x:t>
        </x:is>
      </x:c>
    </x:row>
    <x:row r="2" ht="28" customHeight="1">
      <x:c r="A2" s="2" t="inlineStr">
        <x:is>
          <x:t xml:space="preserve">Every frozen candidate, final selection status, tier, structural reason, and compensation-collection status</x:t>
        </x:is>
      </x:c>
    </x:row>
    <x:row r="3"/>
    <x:row r="4" ht="30" customHeight="1">
      <x:c r="A4" s="3" t="inlineStr">
        <x:is>
          <x:t xml:space="preserve">candidate_id</x:t>
        </x:is>
      </x:c>
      <x:c r="B4" s="3" t="inlineStr">
        <x:is>
          <x:t xml:space="preserve">organization</x:t>
        </x:is>
      </x:c>
      <x:c r="C4" s="3" t="inlineStr">
        <x:is>
          <x:t xml:space="preserve">extension_wave</x:t>
        </x:is>
      </x:c>
      <x:c r="D4" s="3" t="inlineStr">
        <x:is>
          <x:t xml:space="preserve">topic_cluster</x:t>
        </x:is>
      </x:c>
      <x:c r="E4" s="3" t="inlineStr">
        <x:is>
          <x:t xml:space="preserve">ea_affinity_precomp</x:t>
        </x:is>
      </x:c>
      <x:c r="F4" s="3" t="inlineStr">
        <x:is>
          <x:t xml:space="preserve">expected_structure_precomp</x:t>
        </x:is>
      </x:c>
      <x:c r="G4" s="3" t="inlineStr">
        <x:is>
          <x:t xml:space="preserve">compensation_seen_before_freeze</x:t>
        </x:is>
      </x:c>
      <x:c r="H4" s="3" t="inlineStr">
        <x:is>
          <x:t xml:space="preserve">final_status</x:t>
        </x:is>
      </x:c>
      <x:c r="I4" s="3" t="inlineStr">
        <x:is>
          <x:t xml:space="preserve">final_tier</x:t>
        </x:is>
      </x:c>
      <x:c r="J4" s="3" t="inlineStr">
        <x:is>
          <x:t xml:space="preserve">final_reason</x:t>
        </x:is>
      </x:c>
      <x:c r="K4" s="3" t="inlineStr">
        <x:is>
          <x:t xml:space="preserve">compensation_analysis_status</x:t>
        </x:is>
      </x:c>
      <x:c r="L4" s="3" t="inlineStr">
        <x:is>
          <x:t xml:space="preserve">source_url</x:t>
        </x:is>
      </x:c>
    </x:row>
    <x:row r="5">
      <x:c r="A5" s="12" t="inlineStr">
        <x:is>
          <x:t xml:space="preserve">EXP-093</x:t>
        </x:is>
      </x:c>
      <x:c r="B5" s="12" t="inlineStr">
        <x:is>
          <x:t xml:space="preserve">Center for AI Safety</x:t>
        </x:is>
      </x:c>
      <x:c r="C5" s="12" t="inlineStr">
        <x:is>
          <x:t xml:space="preserve">previous_160_frozen</x:t>
        </x:is>
      </x:c>
      <x:c r="D5" s="13" t="inlineStr">
        <x:is>
          <x:t xml:space="preserve">AI, catastrophic risk, biosecurity, and technology policy</x:t>
        </x:is>
      </x:c>
      <x:c r="E5" s="12" t="inlineStr">
        <x:is>
          <x:t xml:space="preserve">EA-adjacent</x:t>
        </x:is>
      </x:c>
      <x:c r="F5" s="12" t="inlineStr">
        <x:is>
          <x:t xml:space="preserve">independent nonprofit</x:t>
        </x:is>
      </x:c>
      <x:c r="G5" s="12" t="inlineStr">
        <x:is>
          <x:t xml:space="preserve">no</x:t>
        </x:is>
      </x:c>
      <x:c r="H5" s="12" t="inlineStr">
        <x:is>
          <x:t xml:space="preserve">included</x:t>
        </x:is>
      </x:c>
      <x:c r="I5" s="12" t="inlineStr">
        <x:is>
          <x:t xml:space="preserve">Tier A</x:t>
        </x:is>
      </x:c>
      <x:c r="J5" s="13" t="inlineStr">
        <x:is>
          <x:t xml:space="preserve">Selected under frozen function/scale/EA/structure rules; compensation did not determine selection.</x:t>
        </x:is>
      </x:c>
      <x:c r="K5" s="12" t="inlineStr">
        <x:is>
          <x:t xml:space="preserve">primary</x:t>
        </x:is>
      </x:c>
      <x:c r="L5" s="16" t="inlineStr">
        <x:is>
          <x:t xml:space="preserve">https://80000hours.org/topic/top-recommended-organisations/</x:t>
        </x:is>
      </x:c>
    </x:row>
    <x:row r="6">
      <x:c r="A6" s="12" t="inlineStr">
        <x:is>
          <x:t xml:space="preserve">EXP-097</x:t>
        </x:is>
      </x:c>
      <x:c r="B6" s="12" t="inlineStr">
        <x:is>
          <x:t xml:space="preserve">METR</x:t>
        </x:is>
      </x:c>
      <x:c r="C6" s="12" t="inlineStr">
        <x:is>
          <x:t xml:space="preserve">previous_160_frozen</x:t>
        </x:is>
      </x:c>
      <x:c r="D6" s="13" t="inlineStr">
        <x:is>
          <x:t xml:space="preserve">AI, catastrophic risk, biosecurity, and technology policy</x:t>
        </x:is>
      </x:c>
      <x:c r="E6" s="12" t="inlineStr">
        <x:is>
          <x:t xml:space="preserve">EA-adjacent</x:t>
        </x:is>
      </x:c>
      <x:c r="F6" s="12" t="inlineStr">
        <x:is>
          <x:t xml:space="preserve">independent nonprofit</x:t>
        </x:is>
      </x:c>
      <x:c r="G6" s="12" t="inlineStr">
        <x:is>
          <x:t xml:space="preserve">no</x:t>
        </x:is>
      </x:c>
      <x:c r="H6" s="12" t="inlineStr">
        <x:is>
          <x:t xml:space="preserve">included</x:t>
        </x:is>
      </x:c>
      <x:c r="I6" s="12" t="inlineStr">
        <x:is>
          <x:t xml:space="preserve">Tier A</x:t>
        </x:is>
      </x:c>
      <x:c r="J6" s="13" t="inlineStr">
        <x:is>
          <x:t xml:space="preserve">Selected under frozen function/scale/EA/structure rules; compensation did not determine selection.</x:t>
        </x:is>
      </x:c>
      <x:c r="K6" s="12" t="inlineStr">
        <x:is>
          <x:t xml:space="preserve">not collected</x:t>
        </x:is>
      </x:c>
      <x:c r="L6" s="16" t="inlineStr">
        <x:is>
          <x:t xml:space="preserve">https://80000hours.org/topic/top-recommended-organisations/</x:t>
        </x:is>
      </x:c>
    </x:row>
    <x:row r="7">
      <x:c r="A7" s="12" t="inlineStr">
        <x:is>
          <x:t xml:space="preserve">EXP-122</x:t>
        </x:is>
      </x:c>
      <x:c r="B7" s="12" t="inlineStr">
        <x:is>
          <x:t xml:space="preserve">Partnership on AI</x:t>
        </x:is>
      </x:c>
      <x:c r="C7" s="12" t="inlineStr">
        <x:is>
          <x:t xml:space="preserve">previous_160_frozen</x:t>
        </x:is>
      </x:c>
      <x:c r="D7" s="13" t="inlineStr">
        <x:is>
          <x:t xml:space="preserve">AI, catastrophic risk, biosecurity, and technology policy</x:t>
        </x:is>
      </x:c>
      <x:c r="E7" s="12" t="inlineStr">
        <x:is>
          <x:t xml:space="preserve">EA-adjacent</x:t>
        </x:is>
      </x:c>
      <x:c r="F7" s="12" t="inlineStr">
        <x:is>
          <x:t xml:space="preserve">independent nonprofit</x:t>
        </x:is>
      </x:c>
      <x:c r="G7" s="12" t="inlineStr">
        <x:is>
          <x:t xml:space="preserve">legacy_original_peer_pay_known</x:t>
        </x:is>
      </x:c>
      <x:c r="H7" s="12" t="inlineStr">
        <x:is>
          <x:t xml:space="preserve">included</x:t>
        </x:is>
      </x:c>
      <x:c r="I7" s="12" t="inlineStr">
        <x:is>
          <x:t xml:space="preserve">Tier A</x:t>
        </x:is>
      </x:c>
      <x:c r="J7" s="13" t="inlineStr">
        <x:is>
          <x:t xml:space="preserve">Selected under frozen function/scale/EA/structure rules; compensation did not determine selection.</x:t>
        </x:is>
      </x:c>
      <x:c r="K7" s="12" t="inlineStr">
        <x:is>
          <x:t xml:space="preserve">primary</x:t>
        </x:is>
      </x:c>
      <x:c r="L7" s="16" t="inlineStr">
        <x:is>
          <x:t xml:space="preserve">https://80000hours.org/topic/top-recommended-organisations/</x:t>
        </x:is>
      </x:c>
    </x:row>
    <x:row r="8">
      <x:c r="A8" s="12" t="inlineStr">
        <x:is>
          <x:t xml:space="preserve">EXP-059</x:t>
        </x:is>
      </x:c>
      <x:c r="B8" s="12" t="inlineStr">
        <x:is>
          <x:t xml:space="preserve">Population Reference Bureau</x:t>
        </x:is>
      </x:c>
      <x:c r="C8" s="12" t="inlineStr">
        <x:is>
          <x:t xml:space="preserve">previous_160_frozen</x:t>
        </x:is>
      </x:c>
      <x:c r="D8" s="12" t="inlineStr">
        <x:is>
          <x:t xml:space="preserve">Global health, development, and evidence</x:t>
        </x:is>
      </x:c>
      <x:c r="E8" s="12" t="inlineStr">
        <x:is>
          <x:t xml:space="preserve">EA-adjacent</x:t>
        </x:is>
      </x:c>
      <x:c r="F8" s="12" t="inlineStr">
        <x:is>
          <x:t xml:space="preserve">independent nonprofit</x:t>
        </x:is>
      </x:c>
      <x:c r="G8" s="12" t="inlineStr">
        <x:is>
          <x:t xml:space="preserve">no</x:t>
        </x:is>
      </x:c>
      <x:c r="H8" s="12" t="inlineStr">
        <x:is>
          <x:t xml:space="preserve">included</x:t>
        </x:is>
      </x:c>
      <x:c r="I8" s="12" t="inlineStr">
        <x:is>
          <x:t xml:space="preserve">Tier A</x:t>
        </x:is>
      </x:c>
      <x:c r="J8" s="13" t="inlineStr">
        <x:is>
          <x:t xml:space="preserve">Selected under frozen function/scale/EA/structure rules; compensation did not determine selection.</x:t>
        </x:is>
      </x:c>
      <x:c r="K8" s="12" t="inlineStr">
        <x:is>
          <x:t xml:space="preserve">primary_older_clean</x:t>
        </x:is>
      </x:c>
      <x:c r="L8" s="16" t="inlineStr">
        <x:is>
          <x:t xml:space="preserve">https://forum.effectivealtruism.org/topics/organizations-and-projects-in-effective-altruism</x:t>
        </x:is>
      </x:c>
    </x:row>
    <x:row r="9">
      <x:c r="A9" s="12" t="inlineStr">
        <x:is>
          <x:t xml:space="preserve">EXP-124</x:t>
        </x:is>
      </x:c>
      <x:c r="B9" s="12" t="inlineStr">
        <x:is>
          <x:t xml:space="preserve">Future of Privacy Forum</x:t>
        </x:is>
      </x:c>
      <x:c r="C9" s="12" t="inlineStr">
        <x:is>
          <x:t xml:space="preserve">previous_160_frozen</x:t>
        </x:is>
      </x:c>
      <x:c r="D9" s="13" t="inlineStr">
        <x:is>
          <x:t xml:space="preserve">AI, catastrophic risk, biosecurity, and technology policy</x:t>
        </x:is>
      </x:c>
      <x:c r="E9" s="12" t="inlineStr">
        <x:is>
          <x:t xml:space="preserve">EA-adjacent</x:t>
        </x:is>
      </x:c>
      <x:c r="F9" s="12" t="inlineStr">
        <x:is>
          <x:t xml:space="preserve">independent nonprofit</x:t>
        </x:is>
      </x:c>
      <x:c r="G9" s="12" t="inlineStr">
        <x:is>
          <x:t xml:space="preserve">no</x:t>
        </x:is>
      </x:c>
      <x:c r="H9" s="12" t="inlineStr">
        <x:is>
          <x:t xml:space="preserve">included</x:t>
        </x:is>
      </x:c>
      <x:c r="I9" s="12" t="inlineStr">
        <x:is>
          <x:t xml:space="preserve">Tier A</x:t>
        </x:is>
      </x:c>
      <x:c r="J9" s="13" t="inlineStr">
        <x:is>
          <x:t xml:space="preserve">Selected under frozen function/scale/EA/structure rules; compensation did not determine selection.</x:t>
        </x:is>
      </x:c>
      <x:c r="K9" s="12" t="inlineStr">
        <x:is>
          <x:t xml:space="preserve">primary</x:t>
        </x:is>
      </x:c>
      <x:c r="L9" s="16" t="inlineStr">
        <x:is>
          <x:t xml:space="preserve">https://80000hours.org/topic/top-recommended-organisations/</x:t>
        </x:is>
      </x:c>
    </x:row>
    <x:row r="10">
      <x:c r="A10" s="12" t="inlineStr">
        <x:is>
          <x:t xml:space="preserve">EXP-123</x:t>
        </x:is>
      </x:c>
      <x:c r="B10" s="12" t="inlineStr">
        <x:is>
          <x:t xml:space="preserve">Center for Democracy &amp; Technology</x:t>
        </x:is>
      </x:c>
      <x:c r="C10" s="12" t="inlineStr">
        <x:is>
          <x:t xml:space="preserve">previous_160_frozen</x:t>
        </x:is>
      </x:c>
      <x:c r="D10" s="13" t="inlineStr">
        <x:is>
          <x:t xml:space="preserve">AI, catastrophic risk, biosecurity, and technology policy</x:t>
        </x:is>
      </x:c>
      <x:c r="E10" s="12" t="inlineStr">
        <x:is>
          <x:t xml:space="preserve">EA-adjacent</x:t>
        </x:is>
      </x:c>
      <x:c r="F10" s="12" t="inlineStr">
        <x:is>
          <x:t xml:space="preserve">independent nonprofit</x:t>
        </x:is>
      </x:c>
      <x:c r="G10" s="12" t="inlineStr">
        <x:is>
          <x:t xml:space="preserve">no</x:t>
        </x:is>
      </x:c>
      <x:c r="H10" s="12" t="inlineStr">
        <x:is>
          <x:t xml:space="preserve">included</x:t>
        </x:is>
      </x:c>
      <x:c r="I10" s="12" t="inlineStr">
        <x:is>
          <x:t xml:space="preserve">Tier A</x:t>
        </x:is>
      </x:c>
      <x:c r="J10" s="13" t="inlineStr">
        <x:is>
          <x:t xml:space="preserve">Selected under frozen function/scale/EA/structure rules; compensation did not determine selection.</x:t>
        </x:is>
      </x:c>
      <x:c r="K10" s="12" t="inlineStr">
        <x:is>
          <x:t xml:space="preserve">primary</x:t>
        </x:is>
      </x:c>
      <x:c r="L10" s="16" t="inlineStr">
        <x:is>
          <x:t xml:space="preserve">https://80000hours.org/topic/top-recommended-organisations/</x:t>
        </x:is>
      </x:c>
    </x:row>
    <x:row r="11">
      <x:c r="A11" s="12" t="inlineStr">
        <x:is>
          <x:t xml:space="preserve">EXP-096</x:t>
        </x:is>
      </x:c>
      <x:c r="B11" s="12" t="inlineStr">
        <x:is>
          <x:t xml:space="preserve">FAR AI</x:t>
        </x:is>
      </x:c>
      <x:c r="C11" s="12" t="inlineStr">
        <x:is>
          <x:t xml:space="preserve">previous_160_frozen</x:t>
        </x:is>
      </x:c>
      <x:c r="D11" s="13" t="inlineStr">
        <x:is>
          <x:t xml:space="preserve">AI, catastrophic risk, biosecurity, and technology policy</x:t>
        </x:is>
      </x:c>
      <x:c r="E11" s="12" t="inlineStr">
        <x:is>
          <x:t xml:space="preserve">EA-adjacent</x:t>
        </x:is>
      </x:c>
      <x:c r="F11" s="12" t="inlineStr">
        <x:is>
          <x:t xml:space="preserve">independent nonprofit</x:t>
        </x:is>
      </x:c>
      <x:c r="G11" s="12" t="inlineStr">
        <x:is>
          <x:t xml:space="preserve">no</x:t>
        </x:is>
      </x:c>
      <x:c r="H11" s="12" t="inlineStr">
        <x:is>
          <x:t xml:space="preserve">included</x:t>
        </x:is>
      </x:c>
      <x:c r="I11" s="12" t="inlineStr">
        <x:is>
          <x:t xml:space="preserve">Tier A</x:t>
        </x:is>
      </x:c>
      <x:c r="J11" s="13" t="inlineStr">
        <x:is>
          <x:t xml:space="preserve">Selected under frozen function/scale/EA/structure rules; compensation did not determine selection.</x:t>
        </x:is>
      </x:c>
      <x:c r="K11" s="12" t="inlineStr">
        <x:is>
          <x:t xml:space="preserve">primary</x:t>
        </x:is>
      </x:c>
      <x:c r="L11" s="16" t="inlineStr">
        <x:is>
          <x:t xml:space="preserve">https://80000hours.org/topic/top-recommended-organisations/</x:t>
        </x:is>
      </x:c>
    </x:row>
    <x:row r="12">
      <x:c r="A12" s="12" t="inlineStr">
        <x:is>
          <x:t xml:space="preserve">EXP-058</x:t>
        </x:is>
      </x:c>
      <x:c r="B12" s="12" t="inlineStr">
        <x:is>
          <x:t xml:space="preserve">ideas42</x:t>
        </x:is>
      </x:c>
      <x:c r="C12" s="12" t="inlineStr">
        <x:is>
          <x:t xml:space="preserve">previous_160_frozen</x:t>
        </x:is>
      </x:c>
      <x:c r="D12" s="12" t="inlineStr">
        <x:is>
          <x:t xml:space="preserve">Global health, development, and evidence</x:t>
        </x:is>
      </x:c>
      <x:c r="E12" s="12" t="inlineStr">
        <x:is>
          <x:t xml:space="preserve">EA-adjacent</x:t>
        </x:is>
      </x:c>
      <x:c r="F12" s="12" t="inlineStr">
        <x:is>
          <x:t xml:space="preserve">independent nonprofit</x:t>
        </x:is>
      </x:c>
      <x:c r="G12" s="12" t="inlineStr">
        <x:is>
          <x:t xml:space="preserve">no</x:t>
        </x:is>
      </x:c>
      <x:c r="H12" s="12" t="inlineStr">
        <x:is>
          <x:t xml:space="preserve">included</x:t>
        </x:is>
      </x:c>
      <x:c r="I12" s="12" t="inlineStr">
        <x:is>
          <x:t xml:space="preserve">Tier A</x:t>
        </x:is>
      </x:c>
      <x:c r="J12" s="13" t="inlineStr">
        <x:is>
          <x:t xml:space="preserve">Selected under frozen function/scale/EA/structure rules; compensation did not determine selection.</x:t>
        </x:is>
      </x:c>
      <x:c r="K12" s="12" t="inlineStr">
        <x:is>
          <x:t xml:space="preserve">primary_older_clean</x:t>
        </x:is>
      </x:c>
      <x:c r="L12" s="16" t="inlineStr">
        <x:is>
          <x:t xml:space="preserve">https://forum.effectivealtruism.org/topics/organizations-and-projects-in-effective-altruism</x:t>
        </x:is>
      </x:c>
    </x:row>
    <x:row r="13">
      <x:c r="A13" s="12" t="inlineStr">
        <x:is>
          <x:t xml:space="preserve">EXP-115</x:t>
        </x:is>
      </x:c>
      <x:c r="B13" s="12" t="inlineStr">
        <x:is>
          <x:t xml:space="preserve">Council on Strategic Risks</x:t>
        </x:is>
      </x:c>
      <x:c r="C13" s="12" t="inlineStr">
        <x:is>
          <x:t xml:space="preserve">previous_160_frozen</x:t>
        </x:is>
      </x:c>
      <x:c r="D13" s="13" t="inlineStr">
        <x:is>
          <x:t xml:space="preserve">AI, catastrophic risk, biosecurity, and technology policy</x:t>
        </x:is>
      </x:c>
      <x:c r="E13" s="12" t="inlineStr">
        <x:is>
          <x:t xml:space="preserve">EA-adjacent</x:t>
        </x:is>
      </x:c>
      <x:c r="F13" s="12" t="inlineStr">
        <x:is>
          <x:t xml:space="preserve">independent nonprofit</x:t>
        </x:is>
      </x:c>
      <x:c r="G13" s="12" t="inlineStr">
        <x:is>
          <x:t xml:space="preserve">no</x:t>
        </x:is>
      </x:c>
      <x:c r="H13" s="12" t="inlineStr">
        <x:is>
          <x:t xml:space="preserve">included</x:t>
        </x:is>
      </x:c>
      <x:c r="I13" s="12" t="inlineStr">
        <x:is>
          <x:t xml:space="preserve">Tier A</x:t>
        </x:is>
      </x:c>
      <x:c r="J13" s="13" t="inlineStr">
        <x:is>
          <x:t xml:space="preserve">Selected under frozen function/scale/EA/structure rules; compensation did not determine selection.</x:t>
        </x:is>
      </x:c>
      <x:c r="K13" s="12" t="inlineStr">
        <x:is>
          <x:t xml:space="preserve">primary</x:t>
        </x:is>
      </x:c>
      <x:c r="L13" s="16" t="inlineStr">
        <x:is>
          <x:t xml:space="preserve">https://80000hours.org/topic/top-recommended-organisations/</x:t>
        </x:is>
      </x:c>
    </x:row>
    <x:row r="14">
      <x:c r="A14" s="12" t="inlineStr">
        <x:is>
          <x:t xml:space="preserve">EXP-119</x:t>
        </x:is>
      </x:c>
      <x:c r="B14" s="12" t="inlineStr">
        <x:is>
          <x:t xml:space="preserve">Center for Humane Technology</x:t>
        </x:is>
      </x:c>
      <x:c r="C14" s="12" t="inlineStr">
        <x:is>
          <x:t xml:space="preserve">previous_160_frozen</x:t>
        </x:is>
      </x:c>
      <x:c r="D14" s="13" t="inlineStr">
        <x:is>
          <x:t xml:space="preserve">AI, catastrophic risk, biosecurity, and technology policy</x:t>
        </x:is>
      </x:c>
      <x:c r="E14" s="12" t="inlineStr">
        <x:is>
          <x:t xml:space="preserve">EA-adjacent</x:t>
        </x:is>
      </x:c>
      <x:c r="F14" s="12" t="inlineStr">
        <x:is>
          <x:t xml:space="preserve">independent nonprofit</x:t>
        </x:is>
      </x:c>
      <x:c r="G14" s="12" t="inlineStr">
        <x:is>
          <x:t xml:space="preserve">no</x:t>
        </x:is>
      </x:c>
      <x:c r="H14" s="12" t="inlineStr">
        <x:is>
          <x:t xml:space="preserve">included</x:t>
        </x:is>
      </x:c>
      <x:c r="I14" s="12" t="inlineStr">
        <x:is>
          <x:t xml:space="preserve">Tier A</x:t>
        </x:is>
      </x:c>
      <x:c r="J14" s="13" t="inlineStr">
        <x:is>
          <x:t xml:space="preserve">Selected under frozen function/scale/EA/structure rules; compensation did not determine selection.</x:t>
        </x:is>
      </x:c>
      <x:c r="K14" s="12" t="inlineStr">
        <x:is>
          <x:t xml:space="preserve">not collected</x:t>
        </x:is>
      </x:c>
      <x:c r="L14" s="16" t="inlineStr">
        <x:is>
          <x:t xml:space="preserve">https://80000hours.org/topic/top-recommended-organisations/</x:t>
        </x:is>
      </x:c>
    </x:row>
    <x:row r="15">
      <x:c r="A15" s="12" t="inlineStr">
        <x:is>
          <x:t xml:space="preserve">EXP-034</x:t>
        </x:is>
      </x:c>
      <x:c r="B15" s="12" t="inlineStr">
        <x:is>
          <x:t xml:space="preserve">IDinsight</x:t>
        </x:is>
      </x:c>
      <x:c r="C15" s="12" t="inlineStr">
        <x:is>
          <x:t xml:space="preserve">previous_160_frozen</x:t>
        </x:is>
      </x:c>
      <x:c r="D15" s="12" t="inlineStr">
        <x:is>
          <x:t xml:space="preserve">Global health, development, and evidence</x:t>
        </x:is>
      </x:c>
      <x:c r="E15" s="12" t="inlineStr">
        <x:is>
          <x:t xml:space="preserve">EA-adjacent</x:t>
        </x:is>
      </x:c>
      <x:c r="F15" s="12" t="inlineStr">
        <x:is>
          <x:t xml:space="preserve">independent nonprofit</x:t>
        </x:is>
      </x:c>
      <x:c r="G15" s="12" t="inlineStr">
        <x:is>
          <x:t xml:space="preserve">no</x:t>
        </x:is>
      </x:c>
      <x:c r="H15" s="12" t="inlineStr">
        <x:is>
          <x:t xml:space="preserve">included</x:t>
        </x:is>
      </x:c>
      <x:c r="I15" s="12" t="inlineStr">
        <x:is>
          <x:t xml:space="preserve">Tier A</x:t>
        </x:is>
      </x:c>
      <x:c r="J15" s="13" t="inlineStr">
        <x:is>
          <x:t xml:space="preserve">Selected under frozen function/scale/EA/structure rules; compensation did not determine selection.</x:t>
        </x:is>
      </x:c>
      <x:c r="K15" s="12" t="inlineStr">
        <x:is>
          <x:t xml:space="preserve">not collected</x:t>
        </x:is>
      </x:c>
      <x:c r="L15" s="16" t="inlineStr">
        <x:is>
          <x:t xml:space="preserve">https://forum.effectivealtruism.org/topics/organizations-and-projects-in-effective-altruism</x:t>
        </x:is>
      </x:c>
    </x:row>
    <x:row r="16">
      <x:c r="A16" s="12" t="inlineStr">
        <x:is>
          <x:t xml:space="preserve">EXP-070</x:t>
        </x:is>
      </x:c>
      <x:c r="B16" s="12" t="inlineStr">
        <x:is>
          <x:t xml:space="preserve">Animal Welfare Institute</x:t>
        </x:is>
      </x:c>
      <x:c r="C16" s="12" t="inlineStr">
        <x:is>
          <x:t xml:space="preserve">previous_160_frozen</x:t>
        </x:is>
      </x:c>
      <x:c r="D16" s="12" t="inlineStr">
        <x:is>
          <x:t xml:space="preserve">Animal welfare and food systems</x:t>
        </x:is>
      </x:c>
      <x:c r="E16" s="12" t="inlineStr">
        <x:is>
          <x:t xml:space="preserve">EA-adjacent</x:t>
        </x:is>
      </x:c>
      <x:c r="F16" s="12" t="inlineStr">
        <x:is>
          <x:t xml:space="preserve">independent nonprofit</x:t>
        </x:is>
      </x:c>
      <x:c r="G16" s="12" t="inlineStr">
        <x:is>
          <x:t xml:space="preserve">no</x:t>
        </x:is>
      </x:c>
      <x:c r="H16" s="12" t="inlineStr">
        <x:is>
          <x:t xml:space="preserve">included</x:t>
        </x:is>
      </x:c>
      <x:c r="I16" s="12" t="inlineStr">
        <x:is>
          <x:t xml:space="preserve">Tier A</x:t>
        </x:is>
      </x:c>
      <x:c r="J16" s="13" t="inlineStr">
        <x:is>
          <x:t xml:space="preserve">Selected under frozen function/scale/EA/structure rules; compensation did not determine selection.</x:t>
        </x:is>
      </x:c>
      <x:c r="K16" s="12" t="inlineStr">
        <x:is>
          <x:t xml:space="preserve">primary</x:t>
        </x:is>
      </x:c>
      <x:c r="L16" s="16" t="inlineStr">
        <x:is>
          <x:t xml:space="preserve">https://forum.effectivealtruism.org/topics/organizations-and-projects-in-effective-altruism</x:t>
        </x:is>
      </x:c>
    </x:row>
    <x:row r="17">
      <x:c r="A17" s="12" t="inlineStr">
        <x:is>
          <x:t xml:space="preserve">EXP-113</x:t>
        </x:is>
      </x:c>
      <x:c r="B17" s="12" t="inlineStr">
        <x:is>
          <x:t xml:space="preserve">Nuclear Threat Initiative</x:t>
        </x:is>
      </x:c>
      <x:c r="C17" s="12" t="inlineStr">
        <x:is>
          <x:t xml:space="preserve">previous_160_frozen</x:t>
        </x:is>
      </x:c>
      <x:c r="D17" s="13" t="inlineStr">
        <x:is>
          <x:t xml:space="preserve">AI, catastrophic risk, biosecurity, and technology policy</x:t>
        </x:is>
      </x:c>
      <x:c r="E17" s="12" t="inlineStr">
        <x:is>
          <x:t xml:space="preserve">EA-adjacent</x:t>
        </x:is>
      </x:c>
      <x:c r="F17" s="12" t="inlineStr">
        <x:is>
          <x:t xml:space="preserve">independent nonprofit</x:t>
        </x:is>
      </x:c>
      <x:c r="G17" s="12" t="inlineStr">
        <x:is>
          <x:t xml:space="preserve">no</x:t>
        </x:is>
      </x:c>
      <x:c r="H17" s="12" t="inlineStr">
        <x:is>
          <x:t xml:space="preserve">included</x:t>
        </x:is>
      </x:c>
      <x:c r="I17" s="12" t="inlineStr">
        <x:is>
          <x:t xml:space="preserve">Tier A</x:t>
        </x:is>
      </x:c>
      <x:c r="J17" s="13" t="inlineStr">
        <x:is>
          <x:t xml:space="preserve">Selected under frozen function/scale/EA/structure rules; compensation did not determine selection.</x:t>
        </x:is>
      </x:c>
      <x:c r="K17" s="12" t="inlineStr">
        <x:is>
          <x:t xml:space="preserve">primary_with_structure_flag</x:t>
        </x:is>
      </x:c>
      <x:c r="L17" s="16" t="inlineStr">
        <x:is>
          <x:t xml:space="preserve">https://80000hours.org/topic/top-recommended-organisations/</x:t>
        </x:is>
      </x:c>
    </x:row>
    <x:row r="18">
      <x:c r="A18" s="12" t="inlineStr">
        <x:is>
          <x:t xml:space="preserve">EXP-055</x:t>
        </x:is>
      </x:c>
      <x:c r="B18" s="12" t="inlineStr">
        <x:is>
          <x:t xml:space="preserve">Pure Earth</x:t>
        </x:is>
      </x:c>
      <x:c r="C18" s="12" t="inlineStr">
        <x:is>
          <x:t xml:space="preserve">previous_160_frozen</x:t>
        </x:is>
      </x:c>
      <x:c r="D18" s="12" t="inlineStr">
        <x:is>
          <x:t xml:space="preserve">Global health, development, and evidence</x:t>
        </x:is>
      </x:c>
      <x:c r="E18" s="12" t="inlineStr">
        <x:is>
          <x:t xml:space="preserve">EA-adjacent</x:t>
        </x:is>
      </x:c>
      <x:c r="F18" s="12" t="inlineStr">
        <x:is>
          <x:t xml:space="preserve">independent nonprofit</x:t>
        </x:is>
      </x:c>
      <x:c r="G18" s="12" t="inlineStr">
        <x:is>
          <x:t xml:space="preserve">no</x:t>
        </x:is>
      </x:c>
      <x:c r="H18" s="12" t="inlineStr">
        <x:is>
          <x:t xml:space="preserve">included</x:t>
        </x:is>
      </x:c>
      <x:c r="I18" s="12" t="inlineStr">
        <x:is>
          <x:t xml:space="preserve">Tier A</x:t>
        </x:is>
      </x:c>
      <x:c r="J18" s="13" t="inlineStr">
        <x:is>
          <x:t xml:space="preserve">Selected under frozen function/scale/EA/structure rules; compensation did not determine selection.</x:t>
        </x:is>
      </x:c>
      <x:c r="K18" s="12" t="inlineStr">
        <x:is>
          <x:t xml:space="preserve">excluded_transition</x:t>
        </x:is>
      </x:c>
      <x:c r="L18" s="16" t="inlineStr">
        <x:is>
          <x:t xml:space="preserve">https://forum.effectivealtruism.org/topics/organizations-and-projects-in-effective-altruism</x:t>
        </x:is>
      </x:c>
    </x:row>
    <x:row r="19">
      <x:c r="A19" s="12" t="inlineStr">
        <x:is>
          <x:t xml:space="preserve">EXP-134</x:t>
        </x:is>
      </x:c>
      <x:c r="B19" s="12" t="inlineStr">
        <x:is>
          <x:t xml:space="preserve">Center for Effective Philanthropy</x:t>
        </x:is>
      </x:c>
      <x:c r="C19" s="12" t="inlineStr">
        <x:is>
          <x:t xml:space="preserve">previous_160_frozen</x:t>
        </x:is>
      </x:c>
      <x:c r="D19" s="13" t="inlineStr">
        <x:is>
          <x:t xml:space="preserve">Research, evaluation, philanthropy infrastructure, and policy</x:t>
        </x:is>
      </x:c>
      <x:c r="E19" s="12" t="inlineStr">
        <x:is>
          <x:t xml:space="preserve">functional-only</x:t>
        </x:is>
      </x:c>
      <x:c r="F19" s="12" t="inlineStr">
        <x:is>
          <x:t xml:space="preserve">independent nonprofit</x:t>
        </x:is>
      </x:c>
      <x:c r="G19" s="12" t="inlineStr">
        <x:is>
          <x:t xml:space="preserve">no</x:t>
        </x:is>
      </x:c>
      <x:c r="H19" s="12" t="inlineStr">
        <x:is>
          <x:t xml:space="preserve">included</x:t>
        </x:is>
      </x:c>
      <x:c r="I19" s="12" t="inlineStr">
        <x:is>
          <x:t xml:space="preserve">Tier A</x:t>
        </x:is>
      </x:c>
      <x:c r="J19" s="13" t="inlineStr">
        <x:is>
          <x:t xml:space="preserve">Selected under frozen function/scale/EA/structure rules; compensation did not determine selection.</x:t>
        </x:is>
      </x:c>
      <x:c r="K19" s="12" t="inlineStr">
        <x:is>
          <x:t xml:space="preserve">primary</x:t>
        </x:is>
      </x:c>
      <x:c r="L19" s="17" t="inlineStr">
        <x:is>
          <x:t xml:space="preserve">https://projects.propublica.org/nonprofits/</x:t>
        </x:is>
      </x:c>
    </x:row>
    <x:row r="20">
      <x:c r="A20" s="12" t="inlineStr">
        <x:is>
          <x:t xml:space="preserve">EXP-131</x:t>
        </x:is>
      </x:c>
      <x:c r="B20" s="12" t="inlineStr">
        <x:is>
          <x:t xml:space="preserve">Center for Open Science</x:t>
        </x:is>
      </x:c>
      <x:c r="C20" s="12" t="inlineStr">
        <x:is>
          <x:t xml:space="preserve">previous_160_frozen</x:t>
        </x:is>
      </x:c>
      <x:c r="D20" s="13" t="inlineStr">
        <x:is>
          <x:t xml:space="preserve">Research, evaluation, philanthropy infrastructure, and policy</x:t>
        </x:is>
      </x:c>
      <x:c r="E20" s="12" t="inlineStr">
        <x:is>
          <x:t xml:space="preserve">functional-only</x:t>
        </x:is>
      </x:c>
      <x:c r="F20" s="12" t="inlineStr">
        <x:is>
          <x:t xml:space="preserve">independent nonprofit</x:t>
        </x:is>
      </x:c>
      <x:c r="G20" s="12" t="inlineStr">
        <x:is>
          <x:t xml:space="preserve">no</x:t>
        </x:is>
      </x:c>
      <x:c r="H20" s="12" t="inlineStr">
        <x:is>
          <x:t xml:space="preserve">included</x:t>
        </x:is>
      </x:c>
      <x:c r="I20" s="12" t="inlineStr">
        <x:is>
          <x:t xml:space="preserve">Tier A</x:t>
        </x:is>
      </x:c>
      <x:c r="J20" s="13" t="inlineStr">
        <x:is>
          <x:t xml:space="preserve">Selected under frozen function/scale/EA/structure rules; compensation did not determine selection.</x:t>
        </x:is>
      </x:c>
      <x:c r="K20" s="12" t="inlineStr">
        <x:is>
          <x:t xml:space="preserve">primary</x:t>
        </x:is>
      </x:c>
      <x:c r="L20" s="17" t="inlineStr">
        <x:is>
          <x:t xml:space="preserve">https://projects.propublica.org/nonprofits/</x:t>
        </x:is>
      </x:c>
    </x:row>
    <x:row r="21">
      <x:c r="A21" s="12" t="inlineStr">
        <x:is>
          <x:t xml:space="preserve">EXP-150</x:t>
        </x:is>
      </x:c>
      <x:c r="B21" s="12" t="inlineStr">
        <x:is>
          <x:t xml:space="preserve">Migration Policy Institute</x:t>
        </x:is>
      </x:c>
      <x:c r="C21" s="12" t="inlineStr">
        <x:is>
          <x:t xml:space="preserve">previous_160_frozen</x:t>
        </x:is>
      </x:c>
      <x:c r="D21" s="13" t="inlineStr">
        <x:is>
          <x:t xml:space="preserve">Research, evaluation, philanthropy infrastructure, and policy</x:t>
        </x:is>
      </x:c>
      <x:c r="E21" s="12" t="inlineStr">
        <x:is>
          <x:t xml:space="preserve">functional-only</x:t>
        </x:is>
      </x:c>
      <x:c r="F21" s="12" t="inlineStr">
        <x:is>
          <x:t xml:space="preserve">independent nonprofit</x:t>
        </x:is>
      </x:c>
      <x:c r="G21" s="12" t="inlineStr">
        <x:is>
          <x:t xml:space="preserve">no</x:t>
        </x:is>
      </x:c>
      <x:c r="H21" s="12" t="inlineStr">
        <x:is>
          <x:t xml:space="preserve">included</x:t>
        </x:is>
      </x:c>
      <x:c r="I21" s="12" t="inlineStr">
        <x:is>
          <x:t xml:space="preserve">Tier A</x:t>
        </x:is>
      </x:c>
      <x:c r="J21" s="13" t="inlineStr">
        <x:is>
          <x:t xml:space="preserve">Selected under frozen function/scale/EA/structure rules; compensation did not determine selection.</x:t>
        </x:is>
      </x:c>
      <x:c r="K21" s="12" t="inlineStr">
        <x:is>
          <x:t xml:space="preserve">primary</x:t>
        </x:is>
      </x:c>
      <x:c r="L21" s="17" t="inlineStr">
        <x:is>
          <x:t xml:space="preserve">https://projects.propublica.org/nonprofits/</x:t>
        </x:is>
      </x:c>
    </x:row>
    <x:row r="22">
      <x:c r="A22" s="12" t="inlineStr">
        <x:is>
          <x:t xml:space="preserve">EXP-160</x:t>
        </x:is>
      </x:c>
      <x:c r="B22" s="13" t="inlineStr">
        <x:is>
          <x:t xml:space="preserve">Peterson Institute for International Economics</x:t>
        </x:is>
      </x:c>
      <x:c r="C22" s="12" t="inlineStr">
        <x:is>
          <x:t xml:space="preserve">previous_160_frozen</x:t>
        </x:is>
      </x:c>
      <x:c r="D22" s="13" t="inlineStr">
        <x:is>
          <x:t xml:space="preserve">Research, evaluation, philanthropy infrastructure, and policy</x:t>
        </x:is>
      </x:c>
      <x:c r="E22" s="12" t="inlineStr">
        <x:is>
          <x:t xml:space="preserve">functional-only</x:t>
        </x:is>
      </x:c>
      <x:c r="F22" s="12" t="inlineStr">
        <x:is>
          <x:t xml:space="preserve">independent nonprofit</x:t>
        </x:is>
      </x:c>
      <x:c r="G22" s="12" t="inlineStr">
        <x:is>
          <x:t xml:space="preserve">no</x:t>
        </x:is>
      </x:c>
      <x:c r="H22" s="12" t="inlineStr">
        <x:is>
          <x:t xml:space="preserve">included</x:t>
        </x:is>
      </x:c>
      <x:c r="I22" s="12" t="inlineStr">
        <x:is>
          <x:t xml:space="preserve">Tier A</x:t>
        </x:is>
      </x:c>
      <x:c r="J22" s="13" t="inlineStr">
        <x:is>
          <x:t xml:space="preserve">Selected under frozen function/scale/EA/structure rules; compensation did not determine selection.</x:t>
        </x:is>
      </x:c>
      <x:c r="K22" s="12" t="inlineStr">
        <x:is>
          <x:t xml:space="preserve">primary</x:t>
        </x:is>
      </x:c>
      <x:c r="L22" s="17" t="inlineStr">
        <x:is>
          <x:t xml:space="preserve">https://projects.propublica.org/nonprofits/</x:t>
        </x:is>
      </x:c>
    </x:row>
    <x:row r="23">
      <x:c r="A23" s="12" t="inlineStr">
        <x:is>
          <x:t xml:space="preserve">EXP-152</x:t>
        </x:is>
      </x:c>
      <x:c r="B23" s="12" t="inlineStr">
        <x:is>
          <x:t xml:space="preserve">San Francisco Estuary Institute</x:t>
        </x:is>
      </x:c>
      <x:c r="C23" s="12" t="inlineStr">
        <x:is>
          <x:t xml:space="preserve">previous_160_frozen</x:t>
        </x:is>
      </x:c>
      <x:c r="D23" s="13" t="inlineStr">
        <x:is>
          <x:t xml:space="preserve">Research, evaluation, philanthropy infrastructure, and policy</x:t>
        </x:is>
      </x:c>
      <x:c r="E23" s="12" t="inlineStr">
        <x:is>
          <x:t xml:space="preserve">functional-only</x:t>
        </x:is>
      </x:c>
      <x:c r="F23" s="12" t="inlineStr">
        <x:is>
          <x:t xml:space="preserve">independent nonprofit</x:t>
        </x:is>
      </x:c>
      <x:c r="G23" s="12" t="inlineStr">
        <x:is>
          <x:t xml:space="preserve">no</x:t>
        </x:is>
      </x:c>
      <x:c r="H23" s="12" t="inlineStr">
        <x:is>
          <x:t xml:space="preserve">included</x:t>
        </x:is>
      </x:c>
      <x:c r="I23" s="12" t="inlineStr">
        <x:is>
          <x:t xml:space="preserve">Tier A</x:t>
        </x:is>
      </x:c>
      <x:c r="J23" s="13" t="inlineStr">
        <x:is>
          <x:t xml:space="preserve">Selected under frozen function/scale/EA/structure rules; compensation did not determine selection.</x:t>
        </x:is>
      </x:c>
      <x:c r="K23" s="12" t="inlineStr">
        <x:is>
          <x:t xml:space="preserve">primary</x:t>
        </x:is>
      </x:c>
      <x:c r="L23" s="17" t="inlineStr">
        <x:is>
          <x:t xml:space="preserve">https://projects.propublica.org/nonprofits/</x:t>
        </x:is>
      </x:c>
    </x:row>
    <x:row r="24">
      <x:c r="A24" s="12" t="inlineStr">
        <x:is>
          <x:t xml:space="preserve">EXP-153</x:t>
        </x:is>
      </x:c>
      <x:c r="B24" s="12" t="inlineStr">
        <x:is>
          <x:t xml:space="preserve">Technical Assistance Collaborative</x:t>
        </x:is>
      </x:c>
      <x:c r="C24" s="12" t="inlineStr">
        <x:is>
          <x:t xml:space="preserve">previous_160_frozen</x:t>
        </x:is>
      </x:c>
      <x:c r="D24" s="13" t="inlineStr">
        <x:is>
          <x:t xml:space="preserve">Research, evaluation, philanthropy infrastructure, and policy</x:t>
        </x:is>
      </x:c>
      <x:c r="E24" s="12" t="inlineStr">
        <x:is>
          <x:t xml:space="preserve">functional-only</x:t>
        </x:is>
      </x:c>
      <x:c r="F24" s="12" t="inlineStr">
        <x:is>
          <x:t xml:space="preserve">independent nonprofit</x:t>
        </x:is>
      </x:c>
      <x:c r="G24" s="12" t="inlineStr">
        <x:is>
          <x:t xml:space="preserve">no</x:t>
        </x:is>
      </x:c>
      <x:c r="H24" s="12" t="inlineStr">
        <x:is>
          <x:t xml:space="preserve">included</x:t>
        </x:is>
      </x:c>
      <x:c r="I24" s="12" t="inlineStr">
        <x:is>
          <x:t xml:space="preserve">Tier A</x:t>
        </x:is>
      </x:c>
      <x:c r="J24" s="13" t="inlineStr">
        <x:is>
          <x:t xml:space="preserve">Selected under frozen function/scale/EA/structure rules; compensation did not determine selection.</x:t>
        </x:is>
      </x:c>
      <x:c r="K24" s="12" t="inlineStr">
        <x:is>
          <x:t xml:space="preserve">primary_older_clean</x:t>
        </x:is>
      </x:c>
      <x:c r="L24" s="17" t="inlineStr">
        <x:is>
          <x:t xml:space="preserve">https://projects.propublica.org/nonprofits/</x:t>
        </x:is>
      </x:c>
    </x:row>
    <x:row r="25">
      <x:c r="A25" s="12" t="inlineStr">
        <x:is>
          <x:t xml:space="preserve">EXP-133</x:t>
        </x:is>
      </x:c>
      <x:c r="B25" s="12" t="inlineStr">
        <x:is>
          <x:t xml:space="preserve">Charity Navigator</x:t>
        </x:is>
      </x:c>
      <x:c r="C25" s="12" t="inlineStr">
        <x:is>
          <x:t xml:space="preserve">previous_160_frozen</x:t>
        </x:is>
      </x:c>
      <x:c r="D25" s="13" t="inlineStr">
        <x:is>
          <x:t xml:space="preserve">Research, evaluation, philanthropy infrastructure, and policy</x:t>
        </x:is>
      </x:c>
      <x:c r="E25" s="12" t="inlineStr">
        <x:is>
          <x:t xml:space="preserve">functional-only</x:t>
        </x:is>
      </x:c>
      <x:c r="F25" s="12" t="inlineStr">
        <x:is>
          <x:t xml:space="preserve">independent nonprofit</x:t>
        </x:is>
      </x:c>
      <x:c r="G25" s="12" t="inlineStr">
        <x:is>
          <x:t xml:space="preserve">no</x:t>
        </x:is>
      </x:c>
      <x:c r="H25" s="12" t="inlineStr">
        <x:is>
          <x:t xml:space="preserve">included</x:t>
        </x:is>
      </x:c>
      <x:c r="I25" s="12" t="inlineStr">
        <x:is>
          <x:t xml:space="preserve">Tier A</x:t>
        </x:is>
      </x:c>
      <x:c r="J25" s="13" t="inlineStr">
        <x:is>
          <x:t xml:space="preserve">Selected under frozen function/scale/EA/structure rules; compensation did not determine selection.</x:t>
        </x:is>
      </x:c>
      <x:c r="K25" s="12" t="inlineStr">
        <x:is>
          <x:t xml:space="preserve">primary</x:t>
        </x:is>
      </x:c>
      <x:c r="L25" s="17" t="inlineStr">
        <x:is>
          <x:t xml:space="preserve">https://projects.propublica.org/nonprofits/</x:t>
        </x:is>
      </x:c>
    </x:row>
    <x:row r="26">
      <x:c r="A26" s="12" t="inlineStr">
        <x:is>
          <x:t xml:space="preserve">EXP-137</x:t>
        </x:is>
      </x:c>
      <x:c r="B26" s="12" t="inlineStr">
        <x:is>
          <x:t xml:space="preserve">Grantmakers for Effective Organizations</x:t>
        </x:is>
      </x:c>
      <x:c r="C26" s="12" t="inlineStr">
        <x:is>
          <x:t xml:space="preserve">previous_160_frozen</x:t>
        </x:is>
      </x:c>
      <x:c r="D26" s="13" t="inlineStr">
        <x:is>
          <x:t xml:space="preserve">Research, evaluation, philanthropy infrastructure, and policy</x:t>
        </x:is>
      </x:c>
      <x:c r="E26" s="12" t="inlineStr">
        <x:is>
          <x:t xml:space="preserve">functional-only</x:t>
        </x:is>
      </x:c>
      <x:c r="F26" s="12" t="inlineStr">
        <x:is>
          <x:t xml:space="preserve">independent nonprofit</x:t>
        </x:is>
      </x:c>
      <x:c r="G26" s="12" t="inlineStr">
        <x:is>
          <x:t xml:space="preserve">no</x:t>
        </x:is>
      </x:c>
      <x:c r="H26" s="12" t="inlineStr">
        <x:is>
          <x:t xml:space="preserve">included</x:t>
        </x:is>
      </x:c>
      <x:c r="I26" s="12" t="inlineStr">
        <x:is>
          <x:t xml:space="preserve">Tier A</x:t>
        </x:is>
      </x:c>
      <x:c r="J26" s="13" t="inlineStr">
        <x:is>
          <x:t xml:space="preserve">Selected under frozen function/scale/EA/structure rules; compensation did not determine selection.</x:t>
        </x:is>
      </x:c>
      <x:c r="K26" s="12" t="inlineStr">
        <x:is>
          <x:t xml:space="preserve">primary</x:t>
        </x:is>
      </x:c>
      <x:c r="L26" s="17" t="inlineStr">
        <x:is>
          <x:t xml:space="preserve">https://projects.propublica.org/nonprofits/</x:t>
        </x:is>
      </x:c>
    </x:row>
    <x:row r="27">
      <x:c r="A27" s="12" t="inlineStr">
        <x:is>
          <x:t xml:space="preserve">EXP-063</x:t>
        </x:is>
      </x:c>
      <x:c r="B27" s="12" t="inlineStr">
        <x:is>
          <x:t xml:space="preserve">Wild Animal Initiative</x:t>
        </x:is>
      </x:c>
      <x:c r="C27" s="12" t="inlineStr">
        <x:is>
          <x:t xml:space="preserve">previous_160_frozen</x:t>
        </x:is>
      </x:c>
      <x:c r="D27" s="12" t="inlineStr">
        <x:is>
          <x:t xml:space="preserve">Animal welfare and food systems</x:t>
        </x:is>
      </x:c>
      <x:c r="E27" s="12" t="inlineStr">
        <x:is>
          <x:t xml:space="preserve">EA-adjacent</x:t>
        </x:is>
      </x:c>
      <x:c r="F27" s="12" t="inlineStr">
        <x:is>
          <x:t xml:space="preserve">independent nonprofit</x:t>
        </x:is>
      </x:c>
      <x:c r="G27" s="12" t="inlineStr">
        <x:is>
          <x:t xml:space="preserve">no</x:t>
        </x:is>
      </x:c>
      <x:c r="H27" s="12" t="inlineStr">
        <x:is>
          <x:t xml:space="preserve">included</x:t>
        </x:is>
      </x:c>
      <x:c r="I27" s="12" t="inlineStr">
        <x:is>
          <x:t xml:space="preserve">Tier A</x:t>
        </x:is>
      </x:c>
      <x:c r="J27" s="13" t="inlineStr">
        <x:is>
          <x:t xml:space="preserve">Selected under frozen function/scale/EA/structure rules; compensation did not determine selection.</x:t>
        </x:is>
      </x:c>
      <x:c r="K27" s="12" t="inlineStr">
        <x:is>
          <x:t xml:space="preserve">primary</x:t>
        </x:is>
      </x:c>
      <x:c r="L27" s="16" t="inlineStr">
        <x:is>
          <x:t xml:space="preserve">https://forum.effectivealtruism.org/topics/organizations-and-projects-in-effective-altruism</x:t>
        </x:is>
      </x:c>
    </x:row>
    <x:row r="28">
      <x:c r="A28" s="12" t="inlineStr">
        <x:is>
          <x:t xml:space="preserve">EXP-158</x:t>
        </x:is>
      </x:c>
      <x:c r="B28" s="12" t="inlineStr">
        <x:is>
          <x:t xml:space="preserve">World Justice Project</x:t>
        </x:is>
      </x:c>
      <x:c r="C28" s="12" t="inlineStr">
        <x:is>
          <x:t xml:space="preserve">previous_160_frozen</x:t>
        </x:is>
      </x:c>
      <x:c r="D28" s="13" t="inlineStr">
        <x:is>
          <x:t xml:space="preserve">Research, evaluation, philanthropy infrastructure, and policy</x:t>
        </x:is>
      </x:c>
      <x:c r="E28" s="12" t="inlineStr">
        <x:is>
          <x:t xml:space="preserve">functional-only</x:t>
        </x:is>
      </x:c>
      <x:c r="F28" s="12" t="inlineStr">
        <x:is>
          <x:t xml:space="preserve">independent nonprofit</x:t>
        </x:is>
      </x:c>
      <x:c r="G28" s="12" t="inlineStr">
        <x:is>
          <x:t xml:space="preserve">no</x:t>
        </x:is>
      </x:c>
      <x:c r="H28" s="12" t="inlineStr">
        <x:is>
          <x:t xml:space="preserve">included</x:t>
        </x:is>
      </x:c>
      <x:c r="I28" s="12" t="inlineStr">
        <x:is>
          <x:t xml:space="preserve">Tier A</x:t>
        </x:is>
      </x:c>
      <x:c r="J28" s="13" t="inlineStr">
        <x:is>
          <x:t xml:space="preserve">Selected under frozen function/scale/EA/structure rules; compensation did not determine selection.</x:t>
        </x:is>
      </x:c>
      <x:c r="K28" s="12" t="inlineStr">
        <x:is>
          <x:t xml:space="preserve">primary</x:t>
        </x:is>
      </x:c>
      <x:c r="L28" s="17" t="inlineStr">
        <x:is>
          <x:t xml:space="preserve">https://projects.propublica.org/nonprofits/</x:t>
        </x:is>
      </x:c>
    </x:row>
    <x:row r="29">
      <x:c r="A29" s="12" t="inlineStr">
        <x:is>
          <x:t xml:space="preserve">EXP-155</x:t>
        </x:is>
      </x:c>
      <x:c r="B29" s="12" t="inlineStr">
        <x:is>
          <x:t xml:space="preserve">Institute for Women’s Policy Research</x:t>
        </x:is>
      </x:c>
      <x:c r="C29" s="12" t="inlineStr">
        <x:is>
          <x:t xml:space="preserve">previous_160_frozen</x:t>
        </x:is>
      </x:c>
      <x:c r="D29" s="13" t="inlineStr">
        <x:is>
          <x:t xml:space="preserve">Research, evaluation, philanthropy infrastructure, and policy</x:t>
        </x:is>
      </x:c>
      <x:c r="E29" s="12" t="inlineStr">
        <x:is>
          <x:t xml:space="preserve">functional-only</x:t>
        </x:is>
      </x:c>
      <x:c r="F29" s="12" t="inlineStr">
        <x:is>
          <x:t xml:space="preserve">independent nonprofit</x:t>
        </x:is>
      </x:c>
      <x:c r="G29" s="12" t="inlineStr">
        <x:is>
          <x:t xml:space="preserve">no</x:t>
        </x:is>
      </x:c>
      <x:c r="H29" s="12" t="inlineStr">
        <x:is>
          <x:t xml:space="preserve">included</x:t>
        </x:is>
      </x:c>
      <x:c r="I29" s="12" t="inlineStr">
        <x:is>
          <x:t xml:space="preserve">Tier A</x:t>
        </x:is>
      </x:c>
      <x:c r="J29" s="13" t="inlineStr">
        <x:is>
          <x:t xml:space="preserve">Selected under frozen function/scale/EA/structure rules; compensation did not determine selection.</x:t>
        </x:is>
      </x:c>
      <x:c r="K29" s="12" t="inlineStr">
        <x:is>
          <x:t xml:space="preserve">excluded_partial_year</x:t>
        </x:is>
      </x:c>
      <x:c r="L29" s="17" t="inlineStr">
        <x:is>
          <x:t xml:space="preserve">https://projects.propublica.org/nonprofits/</x:t>
        </x:is>
      </x:c>
    </x:row>
    <x:row r="30">
      <x:c r="A30" s="12" t="inlineStr">
        <x:is>
          <x:t xml:space="preserve">EXP-132</x:t>
        </x:is>
      </x:c>
      <x:c r="B30" s="12" t="inlineStr">
        <x:is>
          <x:t xml:space="preserve">Social Science Research Council</x:t>
        </x:is>
      </x:c>
      <x:c r="C30" s="12" t="inlineStr">
        <x:is>
          <x:t xml:space="preserve">previous_160_frozen</x:t>
        </x:is>
      </x:c>
      <x:c r="D30" s="13" t="inlineStr">
        <x:is>
          <x:t xml:space="preserve">Research, evaluation, philanthropy infrastructure, and policy</x:t>
        </x:is>
      </x:c>
      <x:c r="E30" s="12" t="inlineStr">
        <x:is>
          <x:t xml:space="preserve">functional-only</x:t>
        </x:is>
      </x:c>
      <x:c r="F30" s="12" t="inlineStr">
        <x:is>
          <x:t xml:space="preserve">independent nonprofit</x:t>
        </x:is>
      </x:c>
      <x:c r="G30" s="12" t="inlineStr">
        <x:is>
          <x:t xml:space="preserve">no</x:t>
        </x:is>
      </x:c>
      <x:c r="H30" s="12" t="inlineStr">
        <x:is>
          <x:t xml:space="preserve">included</x:t>
        </x:is>
      </x:c>
      <x:c r="I30" s="12" t="inlineStr">
        <x:is>
          <x:t xml:space="preserve">Tier A</x:t>
        </x:is>
      </x:c>
      <x:c r="J30" s="13" t="inlineStr">
        <x:is>
          <x:t xml:space="preserve">Selected under frozen function/scale/EA/structure rules; compensation did not determine selection.</x:t>
        </x:is>
      </x:c>
      <x:c r="K30" s="12" t="inlineStr">
        <x:is>
          <x:t xml:space="preserve">primary</x:t>
        </x:is>
      </x:c>
      <x:c r="L30" s="17" t="inlineStr">
        <x:is>
          <x:t xml:space="preserve">https://projects.propublica.org/nonprofits/</x:t>
        </x:is>
      </x:c>
    </x:row>
    <x:row r="31">
      <x:c r="A31" s="12" t="inlineStr">
        <x:is>
          <x:t xml:space="preserve">EXP-145</x:t>
        </x:is>
      </x:c>
      <x:c r="B31" s="12" t="inlineStr">
        <x:is>
          <x:t xml:space="preserve">Code for Science &amp; Society</x:t>
        </x:is>
      </x:c>
      <x:c r="C31" s="12" t="inlineStr">
        <x:is>
          <x:t xml:space="preserve">previous_160_frozen</x:t>
        </x:is>
      </x:c>
      <x:c r="D31" s="13" t="inlineStr">
        <x:is>
          <x:t xml:space="preserve">Research, evaluation, philanthropy infrastructure, and policy</x:t>
        </x:is>
      </x:c>
      <x:c r="E31" s="12" t="inlineStr">
        <x:is>
          <x:t xml:space="preserve">functional-only</x:t>
        </x:is>
      </x:c>
      <x:c r="F31" s="12" t="inlineStr">
        <x:is>
          <x:t xml:space="preserve">independent nonprofit</x:t>
        </x:is>
      </x:c>
      <x:c r="G31" s="12" t="inlineStr">
        <x:is>
          <x:t xml:space="preserve">no</x:t>
        </x:is>
      </x:c>
      <x:c r="H31" s="12" t="inlineStr">
        <x:is>
          <x:t xml:space="preserve">included</x:t>
        </x:is>
      </x:c>
      <x:c r="I31" s="12" t="inlineStr">
        <x:is>
          <x:t xml:space="preserve">Tier A</x:t>
        </x:is>
      </x:c>
      <x:c r="J31" s="13" t="inlineStr">
        <x:is>
          <x:t xml:space="preserve">Selected under frozen function/scale/EA/structure rules; compensation did not determine selection.</x:t>
        </x:is>
      </x:c>
      <x:c r="K31" s="12" t="inlineStr">
        <x:is>
          <x:t xml:space="preserve">primary_with_structure_flag</x:t>
        </x:is>
      </x:c>
      <x:c r="L31" s="17" t="inlineStr">
        <x:is>
          <x:t xml:space="preserve">https://projects.propublica.org/nonprofits/</x:t>
        </x:is>
      </x:c>
    </x:row>
    <x:row r="32">
      <x:c r="A32" s="12" t="inlineStr">
        <x:is>
          <x:t xml:space="preserve">EXP-139</x:t>
        </x:is>
      </x:c>
      <x:c r="B32" s="12" t="inlineStr">
        <x:is>
          <x:t xml:space="preserve">Independent Sector</x:t>
        </x:is>
      </x:c>
      <x:c r="C32" s="12" t="inlineStr">
        <x:is>
          <x:t xml:space="preserve">previous_160_frozen</x:t>
        </x:is>
      </x:c>
      <x:c r="D32" s="13" t="inlineStr">
        <x:is>
          <x:t xml:space="preserve">Research, evaluation, philanthropy infrastructure, and policy</x:t>
        </x:is>
      </x:c>
      <x:c r="E32" s="12" t="inlineStr">
        <x:is>
          <x:t xml:space="preserve">functional-only</x:t>
        </x:is>
      </x:c>
      <x:c r="F32" s="12" t="inlineStr">
        <x:is>
          <x:t xml:space="preserve">independent nonprofit</x:t>
        </x:is>
      </x:c>
      <x:c r="G32" s="12" t="inlineStr">
        <x:is>
          <x:t xml:space="preserve">no</x:t>
        </x:is>
      </x:c>
      <x:c r="H32" s="12" t="inlineStr">
        <x:is>
          <x:t xml:space="preserve">included</x:t>
        </x:is>
      </x:c>
      <x:c r="I32" s="12" t="inlineStr">
        <x:is>
          <x:t xml:space="preserve">Tier A</x:t>
        </x:is>
      </x:c>
      <x:c r="J32" s="13" t="inlineStr">
        <x:is>
          <x:t xml:space="preserve">Selected under frozen function/scale/EA/structure rules; compensation did not determine selection.</x:t>
        </x:is>
      </x:c>
      <x:c r="K32" s="12" t="inlineStr">
        <x:is>
          <x:t xml:space="preserve">primary</x:t>
        </x:is>
      </x:c>
      <x:c r="L32" s="17" t="inlineStr">
        <x:is>
          <x:t xml:space="preserve">https://projects.propublica.org/nonprofits/</x:t>
        </x:is>
      </x:c>
    </x:row>
    <x:row r="33">
      <x:c r="A33" s="12" t="inlineStr">
        <x:is>
          <x:t xml:space="preserve">EXP-142</x:t>
        </x:is>
      </x:c>
      <x:c r="B33" s="12" t="inlineStr">
        <x:is>
          <x:t xml:space="preserve">Research!America</x:t>
        </x:is>
      </x:c>
      <x:c r="C33" s="12" t="inlineStr">
        <x:is>
          <x:t xml:space="preserve">previous_160_frozen</x:t>
        </x:is>
      </x:c>
      <x:c r="D33" s="13" t="inlineStr">
        <x:is>
          <x:t xml:space="preserve">Research, evaluation, philanthropy infrastructure, and policy</x:t>
        </x:is>
      </x:c>
      <x:c r="E33" s="12" t="inlineStr">
        <x:is>
          <x:t xml:space="preserve">functional-only</x:t>
        </x:is>
      </x:c>
      <x:c r="F33" s="12" t="inlineStr">
        <x:is>
          <x:t xml:space="preserve">independent nonprofit</x:t>
        </x:is>
      </x:c>
      <x:c r="G33" s="12" t="inlineStr">
        <x:is>
          <x:t xml:space="preserve">no</x:t>
        </x:is>
      </x:c>
      <x:c r="H33" s="12" t="inlineStr">
        <x:is>
          <x:t xml:space="preserve">included</x:t>
        </x:is>
      </x:c>
      <x:c r="I33" s="12" t="inlineStr">
        <x:is>
          <x:t xml:space="preserve">Tier A</x:t>
        </x:is>
      </x:c>
      <x:c r="J33" s="13" t="inlineStr">
        <x:is>
          <x:t xml:space="preserve">Selected under frozen function/scale/EA/structure rules; compensation did not determine selection.</x:t>
        </x:is>
      </x:c>
      <x:c r="K33" s="12" t="inlineStr">
        <x:is>
          <x:t xml:space="preserve">primary</x:t>
        </x:is>
      </x:c>
      <x:c r="L33" s="17" t="inlineStr">
        <x:is>
          <x:t xml:space="preserve">https://projects.propublica.org/nonprofits/</x:t>
        </x:is>
      </x:c>
    </x:row>
    <x:row r="34">
      <x:c r="A34" s="12" t="inlineStr">
        <x:is>
          <x:t xml:space="preserve">EXP-159</x:t>
        </x:is>
      </x:c>
      <x:c r="B34" s="12" t="inlineStr">
        <x:is>
          <x:t xml:space="preserve">Stimson Center</x:t>
        </x:is>
      </x:c>
      <x:c r="C34" s="12" t="inlineStr">
        <x:is>
          <x:t xml:space="preserve">previous_160_frozen</x:t>
        </x:is>
      </x:c>
      <x:c r="D34" s="13" t="inlineStr">
        <x:is>
          <x:t xml:space="preserve">Research, evaluation, philanthropy infrastructure, and policy</x:t>
        </x:is>
      </x:c>
      <x:c r="E34" s="12" t="inlineStr">
        <x:is>
          <x:t xml:space="preserve">functional-only</x:t>
        </x:is>
      </x:c>
      <x:c r="F34" s="12" t="inlineStr">
        <x:is>
          <x:t xml:space="preserve">independent nonprofit</x:t>
        </x:is>
      </x:c>
      <x:c r="G34" s="12" t="inlineStr">
        <x:is>
          <x:t xml:space="preserve">no</x:t>
        </x:is>
      </x:c>
      <x:c r="H34" s="12" t="inlineStr">
        <x:is>
          <x:t xml:space="preserve">included</x:t>
        </x:is>
      </x:c>
      <x:c r="I34" s="12" t="inlineStr">
        <x:is>
          <x:t xml:space="preserve">Tier A</x:t>
        </x:is>
      </x:c>
      <x:c r="J34" s="13" t="inlineStr">
        <x:is>
          <x:t xml:space="preserve">Selected under frozen function/scale/EA/structure rules; compensation did not determine selection.</x:t>
        </x:is>
      </x:c>
      <x:c r="K34" s="12" t="inlineStr">
        <x:is>
          <x:t xml:space="preserve">primary</x:t>
        </x:is>
      </x:c>
      <x:c r="L34" s="17" t="inlineStr">
        <x:is>
          <x:t xml:space="preserve">https://projects.propublica.org/nonprofits/</x:t>
        </x:is>
      </x:c>
    </x:row>
    <x:row r="35">
      <x:c r="A35" s="12" t="inlineStr">
        <x:is>
          <x:t xml:space="preserve">EXP-156</x:t>
        </x:is>
      </x:c>
      <x:c r="B35" s="12" t="inlineStr">
        <x:is>
          <x:t xml:space="preserve">Center for Law and Social Policy</x:t>
        </x:is>
      </x:c>
      <x:c r="C35" s="12" t="inlineStr">
        <x:is>
          <x:t xml:space="preserve">previous_160_frozen</x:t>
        </x:is>
      </x:c>
      <x:c r="D35" s="13" t="inlineStr">
        <x:is>
          <x:t xml:space="preserve">Research, evaluation, philanthropy infrastructure, and policy</x:t>
        </x:is>
      </x:c>
      <x:c r="E35" s="12" t="inlineStr">
        <x:is>
          <x:t xml:space="preserve">functional-only</x:t>
        </x:is>
      </x:c>
      <x:c r="F35" s="12" t="inlineStr">
        <x:is>
          <x:t xml:space="preserve">independent nonprofit</x:t>
        </x:is>
      </x:c>
      <x:c r="G35" s="12" t="inlineStr">
        <x:is>
          <x:t xml:space="preserve">no</x:t>
        </x:is>
      </x:c>
      <x:c r="H35" s="12" t="inlineStr">
        <x:is>
          <x:t xml:space="preserve">included</x:t>
        </x:is>
      </x:c>
      <x:c r="I35" s="12" t="inlineStr">
        <x:is>
          <x:t xml:space="preserve">Tier A</x:t>
        </x:is>
      </x:c>
      <x:c r="J35" s="13" t="inlineStr">
        <x:is>
          <x:t xml:space="preserve">Selected under frozen function/scale/EA/structure rules; compensation did not determine selection.</x:t>
        </x:is>
      </x:c>
      <x:c r="K35" s="12" t="inlineStr">
        <x:is>
          <x:t xml:space="preserve">excluded_transition</x:t>
        </x:is>
      </x:c>
      <x:c r="L35" s="17" t="inlineStr">
        <x:is>
          <x:t xml:space="preserve">https://projects.propublica.org/nonprofits/</x:t>
        </x:is>
      </x:c>
    </x:row>
    <x:row r="36">
      <x:c r="A36" s="12" t="inlineStr">
        <x:is>
          <x:t xml:space="preserve">EXP-136</x:t>
        </x:is>
      </x:c>
      <x:c r="B36" s="12" t="inlineStr">
        <x:is>
          <x:t xml:space="preserve">PEAK Grantmaking</x:t>
        </x:is>
      </x:c>
      <x:c r="C36" s="12" t="inlineStr">
        <x:is>
          <x:t xml:space="preserve">previous_160_frozen</x:t>
        </x:is>
      </x:c>
      <x:c r="D36" s="13" t="inlineStr">
        <x:is>
          <x:t xml:space="preserve">Research, evaluation, philanthropy infrastructure, and policy</x:t>
        </x:is>
      </x:c>
      <x:c r="E36" s="12" t="inlineStr">
        <x:is>
          <x:t xml:space="preserve">functional-only</x:t>
        </x:is>
      </x:c>
      <x:c r="F36" s="12" t="inlineStr">
        <x:is>
          <x:t xml:space="preserve">independent nonprofit</x:t>
        </x:is>
      </x:c>
      <x:c r="G36" s="12" t="inlineStr">
        <x:is>
          <x:t xml:space="preserve">no</x:t>
        </x:is>
      </x:c>
      <x:c r="H36" s="12" t="inlineStr">
        <x:is>
          <x:t xml:space="preserve">included</x:t>
        </x:is>
      </x:c>
      <x:c r="I36" s="12" t="inlineStr">
        <x:is>
          <x:t xml:space="preserve">Tier A</x:t>
        </x:is>
      </x:c>
      <x:c r="J36" s="13" t="inlineStr">
        <x:is>
          <x:t xml:space="preserve">Selected under frozen function/scale/EA/structure rules; compensation did not determine selection.</x:t>
        </x:is>
      </x:c>
      <x:c r="K36" s="12" t="inlineStr">
        <x:is>
          <x:t xml:space="preserve">primary</x:t>
        </x:is>
      </x:c>
      <x:c r="L36" s="17" t="inlineStr">
        <x:is>
          <x:t xml:space="preserve">https://projects.propublica.org/nonprofits/</x:t>
        </x:is>
      </x:c>
    </x:row>
    <x:row r="37">
      <x:c r="A37" s="12" t="inlineStr">
        <x:is>
          <x:t xml:space="preserve">EXP-126</x:t>
        </x:is>
      </x:c>
      <x:c r="B37" s="12" t="inlineStr">
        <x:is>
          <x:t xml:space="preserve">Public Knowledge</x:t>
        </x:is>
      </x:c>
      <x:c r="C37" s="12" t="inlineStr">
        <x:is>
          <x:t xml:space="preserve">previous_160_frozen</x:t>
        </x:is>
      </x:c>
      <x:c r="D37" s="13" t="inlineStr">
        <x:is>
          <x:t xml:space="preserve">AI, catastrophic risk, biosecurity, and technology policy</x:t>
        </x:is>
      </x:c>
      <x:c r="E37" s="12" t="inlineStr">
        <x:is>
          <x:t xml:space="preserve">EA-adjacent</x:t>
        </x:is>
      </x:c>
      <x:c r="F37" s="12" t="inlineStr">
        <x:is>
          <x:t xml:space="preserve">independent nonprofit</x:t>
        </x:is>
      </x:c>
      <x:c r="G37" s="12" t="inlineStr">
        <x:is>
          <x:t xml:space="preserve">no</x:t>
        </x:is>
      </x:c>
      <x:c r="H37" s="12" t="inlineStr">
        <x:is>
          <x:t xml:space="preserve">included</x:t>
        </x:is>
      </x:c>
      <x:c r="I37" s="12" t="inlineStr">
        <x:is>
          <x:t xml:space="preserve">Tier A</x:t>
        </x:is>
      </x:c>
      <x:c r="J37" s="13" t="inlineStr">
        <x:is>
          <x:t xml:space="preserve">Selected under frozen function/scale/EA/structure rules; compensation did not determine selection.</x:t>
        </x:is>
      </x:c>
      <x:c r="K37" s="12" t="inlineStr">
        <x:is>
          <x:t xml:space="preserve">primary</x:t>
        </x:is>
      </x:c>
      <x:c r="L37" s="16" t="inlineStr">
        <x:is>
          <x:t xml:space="preserve">https://80000hours.org/topic/top-recommended-organisations/</x:t>
        </x:is>
      </x:c>
    </x:row>
    <x:row r="38">
      <x:c r="A38" s="12" t="inlineStr">
        <x:is>
          <x:t xml:space="preserve">EXP-060</x:t>
        </x:is>
      </x:c>
      <x:c r="B38" s="12" t="inlineStr">
        <x:is>
          <x:t xml:space="preserve">VillageReach</x:t>
        </x:is>
      </x:c>
      <x:c r="C38" s="12" t="inlineStr">
        <x:is>
          <x:t xml:space="preserve">previous_160_frozen</x:t>
        </x:is>
      </x:c>
      <x:c r="D38" s="12" t="inlineStr">
        <x:is>
          <x:t xml:space="preserve">Global health, development, and evidence</x:t>
        </x:is>
      </x:c>
      <x:c r="E38" s="12" t="inlineStr">
        <x:is>
          <x:t xml:space="preserve">EA-adjacent</x:t>
        </x:is>
      </x:c>
      <x:c r="F38" s="12" t="inlineStr">
        <x:is>
          <x:t xml:space="preserve">independent nonprofit</x:t>
        </x:is>
      </x:c>
      <x:c r="G38" s="12" t="inlineStr">
        <x:is>
          <x:t xml:space="preserve">no</x:t>
        </x:is>
      </x:c>
      <x:c r="H38" s="12" t="inlineStr">
        <x:is>
          <x:t xml:space="preserve">included</x:t>
        </x:is>
      </x:c>
      <x:c r="I38" s="12" t="inlineStr">
        <x:is>
          <x:t xml:space="preserve">Tier A</x:t>
        </x:is>
      </x:c>
      <x:c r="J38" s="13" t="inlineStr">
        <x:is>
          <x:t xml:space="preserve">Selected under frozen function/scale/EA/structure rules; compensation did not determine selection.</x:t>
        </x:is>
      </x:c>
      <x:c r="K38" s="12" t="inlineStr">
        <x:is>
          <x:t xml:space="preserve">primary_with_structure_flag</x:t>
        </x:is>
      </x:c>
      <x:c r="L38" s="16" t="inlineStr">
        <x:is>
          <x:t xml:space="preserve">https://forum.effectivealtruism.org/topics/organizations-and-projects-in-effective-altruism</x:t>
        </x:is>
      </x:c>
    </x:row>
    <x:row r="39">
      <x:c r="A39" s="12" t="inlineStr">
        <x:is>
          <x:t xml:space="preserve">EXP-114</x:t>
        </x:is>
      </x:c>
      <x:c r="B39" s="12" t="inlineStr">
        <x:is>
          <x:t xml:space="preserve">Bulletin of the Atomic Scientists</x:t>
        </x:is>
      </x:c>
      <x:c r="C39" s="12" t="inlineStr">
        <x:is>
          <x:t xml:space="preserve">previous_160_frozen</x:t>
        </x:is>
      </x:c>
      <x:c r="D39" s="13" t="inlineStr">
        <x:is>
          <x:t xml:space="preserve">AI, catastrophic risk, biosecurity, and technology policy</x:t>
        </x:is>
      </x:c>
      <x:c r="E39" s="12" t="inlineStr">
        <x:is>
          <x:t xml:space="preserve">EA-adjacent</x:t>
        </x:is>
      </x:c>
      <x:c r="F39" s="12" t="inlineStr">
        <x:is>
          <x:t xml:space="preserve">independent nonprofit</x:t>
        </x:is>
      </x:c>
      <x:c r="G39" s="12" t="inlineStr">
        <x:is>
          <x:t xml:space="preserve">no</x:t>
        </x:is>
      </x:c>
      <x:c r="H39" s="12" t="inlineStr">
        <x:is>
          <x:t xml:space="preserve">included</x:t>
        </x:is>
      </x:c>
      <x:c r="I39" s="12" t="inlineStr">
        <x:is>
          <x:t xml:space="preserve">Tier A</x:t>
        </x:is>
      </x:c>
      <x:c r="J39" s="13" t="inlineStr">
        <x:is>
          <x:t xml:space="preserve">Selected under frozen function/scale/EA/structure rules; compensation did not determine selection.</x:t>
        </x:is>
      </x:c>
      <x:c r="K39" s="12" t="inlineStr">
        <x:is>
          <x:t xml:space="preserve">primary_with_structure_flag</x:t>
        </x:is>
      </x:c>
      <x:c r="L39" s="16" t="inlineStr">
        <x:is>
          <x:t xml:space="preserve">https://80000hours.org/topic/top-recommended-organisations/</x:t>
        </x:is>
      </x:c>
    </x:row>
    <x:row r="40">
      <x:c r="A40" s="12" t="inlineStr">
        <x:is>
          <x:t xml:space="preserve">EXP-125</x:t>
        </x:is>
      </x:c>
      <x:c r="B40" s="12" t="inlineStr">
        <x:is>
          <x:t xml:space="preserve">Electronic Frontier Foundation</x:t>
        </x:is>
      </x:c>
      <x:c r="C40" s="12" t="inlineStr">
        <x:is>
          <x:t xml:space="preserve">previous_160_frozen</x:t>
        </x:is>
      </x:c>
      <x:c r="D40" s="13" t="inlineStr">
        <x:is>
          <x:t xml:space="preserve">AI, catastrophic risk, biosecurity, and technology policy</x:t>
        </x:is>
      </x:c>
      <x:c r="E40" s="12" t="inlineStr">
        <x:is>
          <x:t xml:space="preserve">EA-adjacent</x:t>
        </x:is>
      </x:c>
      <x:c r="F40" s="12" t="inlineStr">
        <x:is>
          <x:t xml:space="preserve">independent nonprofit</x:t>
        </x:is>
      </x:c>
      <x:c r="G40" s="12" t="inlineStr">
        <x:is>
          <x:t xml:space="preserve">no</x:t>
        </x:is>
      </x:c>
      <x:c r="H40" s="12" t="inlineStr">
        <x:is>
          <x:t xml:space="preserve">included</x:t>
        </x:is>
      </x:c>
      <x:c r="I40" s="12" t="inlineStr">
        <x:is>
          <x:t xml:space="preserve">Tier A</x:t>
        </x:is>
      </x:c>
      <x:c r="J40" s="13" t="inlineStr">
        <x:is>
          <x:t xml:space="preserve">Selected under frozen function/scale/EA/structure rules; compensation did not determine selection.</x:t>
        </x:is>
      </x:c>
      <x:c r="K40" s="12" t="inlineStr">
        <x:is>
          <x:t xml:space="preserve">primary_with_structure_flag</x:t>
        </x:is>
      </x:c>
      <x:c r="L40" s="16" t="inlineStr">
        <x:is>
          <x:t xml:space="preserve">https://80000hours.org/topic/top-recommended-organisations/</x:t>
        </x:is>
      </x:c>
    </x:row>
    <x:row r="41">
      <x:c r="A41" s="12" t="inlineStr">
        <x:is>
          <x:t xml:space="preserve">EXP-116</x:t>
        </x:is>
      </x:c>
      <x:c r="B41" s="12" t="inlineStr">
        <x:is>
          <x:t xml:space="preserve">Federation of American Scientists</x:t>
        </x:is>
      </x:c>
      <x:c r="C41" s="12" t="inlineStr">
        <x:is>
          <x:t xml:space="preserve">previous_160_frozen</x:t>
        </x:is>
      </x:c>
      <x:c r="D41" s="13" t="inlineStr">
        <x:is>
          <x:t xml:space="preserve">AI, catastrophic risk, biosecurity, and technology policy</x:t>
        </x:is>
      </x:c>
      <x:c r="E41" s="12" t="inlineStr">
        <x:is>
          <x:t xml:space="preserve">EA-adjacent</x:t>
        </x:is>
      </x:c>
      <x:c r="F41" s="12" t="inlineStr">
        <x:is>
          <x:t xml:space="preserve">independent nonprofit</x:t>
        </x:is>
      </x:c>
      <x:c r="G41" s="12" t="inlineStr">
        <x:is>
          <x:t xml:space="preserve">no</x:t>
        </x:is>
      </x:c>
      <x:c r="H41" s="12" t="inlineStr">
        <x:is>
          <x:t xml:space="preserve">included</x:t>
        </x:is>
      </x:c>
      <x:c r="I41" s="12" t="inlineStr">
        <x:is>
          <x:t xml:space="preserve">Tier A</x:t>
        </x:is>
      </x:c>
      <x:c r="J41" s="13" t="inlineStr">
        <x:is>
          <x:t xml:space="preserve">Selected under frozen function/scale/EA/structure rules; compensation did not determine selection.</x:t>
        </x:is>
      </x:c>
      <x:c r="K41" s="12" t="inlineStr">
        <x:is>
          <x:t xml:space="preserve">primary_with_structure_flag</x:t>
        </x:is>
      </x:c>
      <x:c r="L41" s="16" t="inlineStr">
        <x:is>
          <x:t xml:space="preserve">https://80000hours.org/topic/top-recommended-organisations/</x:t>
        </x:is>
      </x:c>
    </x:row>
    <x:row r="42">
      <x:c r="A42" s="12" t="inlineStr">
        <x:is>
          <x:t xml:space="preserve">EXP-064</x:t>
        </x:is>
      </x:c>
      <x:c r="B42" s="12" t="inlineStr">
        <x:is>
          <x:t xml:space="preserve">Good Food Institute</x:t>
        </x:is>
      </x:c>
      <x:c r="C42" s="12" t="inlineStr">
        <x:is>
          <x:t xml:space="preserve">previous_160_frozen</x:t>
        </x:is>
      </x:c>
      <x:c r="D42" s="12" t="inlineStr">
        <x:is>
          <x:t xml:space="preserve">Animal welfare and food systems</x:t>
        </x:is>
      </x:c>
      <x:c r="E42" s="12" t="inlineStr">
        <x:is>
          <x:t xml:space="preserve">EA-adjacent</x:t>
        </x:is>
      </x:c>
      <x:c r="F42" s="12" t="inlineStr">
        <x:is>
          <x:t xml:space="preserve">independent nonprofit</x:t>
        </x:is>
      </x:c>
      <x:c r="G42" s="12" t="inlineStr">
        <x:is>
          <x:t xml:space="preserve">no</x:t>
        </x:is>
      </x:c>
      <x:c r="H42" s="12" t="inlineStr">
        <x:is>
          <x:t xml:space="preserve">included</x:t>
        </x:is>
      </x:c>
      <x:c r="I42" s="12" t="inlineStr">
        <x:is>
          <x:t xml:space="preserve">Tier A</x:t>
        </x:is>
      </x:c>
      <x:c r="J42" s="13" t="inlineStr">
        <x:is>
          <x:t xml:space="preserve">Selected under frozen function/scale/EA/structure rules; compensation did not determine selection.</x:t>
        </x:is>
      </x:c>
      <x:c r="K42" s="12" t="inlineStr">
        <x:is>
          <x:t xml:space="preserve">primary_with_structure_flag</x:t>
        </x:is>
      </x:c>
      <x:c r="L42" s="16" t="inlineStr">
        <x:is>
          <x:t xml:space="preserve">https://forum.effectivealtruism.org/topics/organizations-and-projects-in-effective-altruism</x:t>
        </x:is>
      </x:c>
    </x:row>
    <x:row r="43">
      <x:c r="A43" s="12" t="inlineStr">
        <x:is>
          <x:t xml:space="preserve">EXP-138</x:t>
        </x:is>
      </x:c>
      <x:c r="B43" s="13" t="inlineStr">
        <x:is>
          <x:t xml:space="preserve">National Committee for Responsive Philanthropy</x:t>
        </x:is>
      </x:c>
      <x:c r="C43" s="12" t="inlineStr">
        <x:is>
          <x:t xml:space="preserve">previous_160_frozen</x:t>
        </x:is>
      </x:c>
      <x:c r="D43" s="13" t="inlineStr">
        <x:is>
          <x:t xml:space="preserve">Research, evaluation, philanthropy infrastructure, and policy</x:t>
        </x:is>
      </x:c>
      <x:c r="E43" s="12" t="inlineStr">
        <x:is>
          <x:t xml:space="preserve">functional-only</x:t>
        </x:is>
      </x:c>
      <x:c r="F43" s="12" t="inlineStr">
        <x:is>
          <x:t xml:space="preserve">independent nonprofit</x:t>
        </x:is>
      </x:c>
      <x:c r="G43" s="12" t="inlineStr">
        <x:is>
          <x:t xml:space="preserve">no</x:t>
        </x:is>
      </x:c>
      <x:c r="H43" s="12" t="inlineStr">
        <x:is>
          <x:t xml:space="preserve">included</x:t>
        </x:is>
      </x:c>
      <x:c r="I43" s="12" t="inlineStr">
        <x:is>
          <x:t xml:space="preserve">Tier A</x:t>
        </x:is>
      </x:c>
      <x:c r="J43" s="13" t="inlineStr">
        <x:is>
          <x:t xml:space="preserve">Selected under frozen function/scale/EA/structure rules; compensation did not determine selection.</x:t>
        </x:is>
      </x:c>
      <x:c r="K43" s="12" t="inlineStr">
        <x:is>
          <x:t xml:space="preserve">primary</x:t>
        </x:is>
      </x:c>
      <x:c r="L43" s="17" t="inlineStr">
        <x:is>
          <x:t xml:space="preserve">https://projects.propublica.org/nonprofits/</x:t>
        </x:is>
      </x:c>
    </x:row>
    <x:row r="44">
      <x:c r="A44" s="12" t="inlineStr">
        <x:is>
          <x:t xml:space="preserve">EXP-087</x:t>
        </x:is>
      </x:c>
      <x:c r="B44" s="12" t="inlineStr">
        <x:is>
          <x:t xml:space="preserve">Physicians Committee for Responsible Medicine</x:t>
        </x:is>
      </x:c>
      <x:c r="C44" s="12" t="inlineStr">
        <x:is>
          <x:t xml:space="preserve">previous_160_frozen</x:t>
        </x:is>
      </x:c>
      <x:c r="D44" s="12" t="inlineStr">
        <x:is>
          <x:t xml:space="preserve">Animal welfare and food systems</x:t>
        </x:is>
      </x:c>
      <x:c r="E44" s="12" t="inlineStr">
        <x:is>
          <x:t xml:space="preserve">EA-adjacent</x:t>
        </x:is>
      </x:c>
      <x:c r="F44" s="12" t="inlineStr">
        <x:is>
          <x:t xml:space="preserve">independent nonprofit</x:t>
        </x:is>
      </x:c>
      <x:c r="G44" s="12" t="inlineStr">
        <x:is>
          <x:t xml:space="preserve">no</x:t>
        </x:is>
      </x:c>
      <x:c r="H44" s="12" t="inlineStr">
        <x:is>
          <x:t xml:space="preserve">included</x:t>
        </x:is>
      </x:c>
      <x:c r="I44" s="12" t="inlineStr">
        <x:is>
          <x:t xml:space="preserve">Tier A</x:t>
        </x:is>
      </x:c>
      <x:c r="J44" s="13" t="inlineStr">
        <x:is>
          <x:t xml:space="preserve">Selected under frozen function/scale/EA/structure rules; compensation did not determine selection.</x:t>
        </x:is>
      </x:c>
      <x:c r="K44" s="12" t="inlineStr">
        <x:is>
          <x:t xml:space="preserve">excluded_measurement</x:t>
        </x:is>
      </x:c>
      <x:c r="L44" s="16" t="inlineStr">
        <x:is>
          <x:t xml:space="preserve">https://forum.effectivealtruism.org/topics/organizations-and-projects-in-effective-altruism</x:t>
        </x:is>
      </x:c>
    </x:row>
    <x:row r="45">
      <x:c r="A45" s="12" t="inlineStr">
        <x:is>
          <x:t xml:space="preserve">EXP-052</x:t>
        </x:is>
      </x:c>
      <x:c r="B45" s="12" t="inlineStr">
        <x:is>
          <x:t xml:space="preserve">Precision Development</x:t>
        </x:is>
      </x:c>
      <x:c r="C45" s="12" t="inlineStr">
        <x:is>
          <x:t xml:space="preserve">previous_160_frozen</x:t>
        </x:is>
      </x:c>
      <x:c r="D45" s="12" t="inlineStr">
        <x:is>
          <x:t xml:space="preserve">Global health, development, and evidence</x:t>
        </x:is>
      </x:c>
      <x:c r="E45" s="12" t="inlineStr">
        <x:is>
          <x:t xml:space="preserve">EA-adjacent</x:t>
        </x:is>
      </x:c>
      <x:c r="F45" s="12" t="inlineStr">
        <x:is>
          <x:t xml:space="preserve">independent nonprofit</x:t>
        </x:is>
      </x:c>
      <x:c r="G45" s="12" t="inlineStr">
        <x:is>
          <x:t xml:space="preserve">no</x:t>
        </x:is>
      </x:c>
      <x:c r="H45" s="12" t="inlineStr">
        <x:is>
          <x:t xml:space="preserve">included</x:t>
        </x:is>
      </x:c>
      <x:c r="I45" s="12" t="inlineStr">
        <x:is>
          <x:t xml:space="preserve">Tier A</x:t>
        </x:is>
      </x:c>
      <x:c r="J45" s="13" t="inlineStr">
        <x:is>
          <x:t xml:space="preserve">Selected under frozen function/scale/EA/structure rules; compensation did not determine selection.</x:t>
        </x:is>
      </x:c>
      <x:c r="K45" s="12" t="inlineStr">
        <x:is>
          <x:t xml:space="preserve">primary_older_clean</x:t>
        </x:is>
      </x:c>
      <x:c r="L45" s="16" t="inlineStr">
        <x:is>
          <x:t xml:space="preserve">https://forum.effectivealtruism.org/topics/organizations-and-projects-in-effective-altruism</x:t>
        </x:is>
      </x:c>
    </x:row>
    <x:row r="46">
      <x:c r="A46" s="12" t="inlineStr">
        <x:is>
          <x:t xml:space="preserve">EXP-035</x:t>
        </x:is>
      </x:c>
      <x:c r="B46" s="12" t="inlineStr">
        <x:is>
          <x:t xml:space="preserve">Results for Development</x:t>
        </x:is>
      </x:c>
      <x:c r="C46" s="12" t="inlineStr">
        <x:is>
          <x:t xml:space="preserve">previous_160_frozen</x:t>
        </x:is>
      </x:c>
      <x:c r="D46" s="12" t="inlineStr">
        <x:is>
          <x:t xml:space="preserve">Global health, development, and evidence</x:t>
        </x:is>
      </x:c>
      <x:c r="E46" s="12" t="inlineStr">
        <x:is>
          <x:t xml:space="preserve">EA-adjacent</x:t>
        </x:is>
      </x:c>
      <x:c r="F46" s="12" t="inlineStr">
        <x:is>
          <x:t xml:space="preserve">independent nonprofit</x:t>
        </x:is>
      </x:c>
      <x:c r="G46" s="12" t="inlineStr">
        <x:is>
          <x:t xml:space="preserve">no</x:t>
        </x:is>
      </x:c>
      <x:c r="H46" s="12" t="inlineStr">
        <x:is>
          <x:t xml:space="preserve">included</x:t>
        </x:is>
      </x:c>
      <x:c r="I46" s="12" t="inlineStr">
        <x:is>
          <x:t xml:space="preserve">Tier A</x:t>
        </x:is>
      </x:c>
      <x:c r="J46" s="13" t="inlineStr">
        <x:is>
          <x:t xml:space="preserve">Selected under frozen function/scale/EA/structure rules; compensation did not determine selection.</x:t>
        </x:is>
      </x:c>
      <x:c r="K46" s="12" t="inlineStr">
        <x:is>
          <x:t xml:space="preserve">primary_with_structure_flag</x:t>
        </x:is>
      </x:c>
      <x:c r="L46" s="16" t="inlineStr">
        <x:is>
          <x:t xml:space="preserve">https://forum.effectivealtruism.org/topics/organizations-and-projects-in-effective-altruism</x:t>
        </x:is>
      </x:c>
    </x:row>
    <x:row r="47">
      <x:c r="A47" s="12" t="inlineStr">
        <x:is>
          <x:t xml:space="preserve">EXP-067</x:t>
        </x:is>
      </x:c>
      <x:c r="B47" s="12" t="inlineStr">
        <x:is>
          <x:t xml:space="preserve">Animal Equality</x:t>
        </x:is>
      </x:c>
      <x:c r="C47" s="12" t="inlineStr">
        <x:is>
          <x:t xml:space="preserve">previous_160_frozen</x:t>
        </x:is>
      </x:c>
      <x:c r="D47" s="12" t="inlineStr">
        <x:is>
          <x:t xml:space="preserve">Animal welfare and food systems</x:t>
        </x:is>
      </x:c>
      <x:c r="E47" s="12" t="inlineStr">
        <x:is>
          <x:t xml:space="preserve">EA-adjacent</x:t>
        </x:is>
      </x:c>
      <x:c r="F47" s="12" t="inlineStr">
        <x:is>
          <x:t xml:space="preserve">independent nonprofit</x:t>
        </x:is>
      </x:c>
      <x:c r="G47" s="12" t="inlineStr">
        <x:is>
          <x:t xml:space="preserve">no</x:t>
        </x:is>
      </x:c>
      <x:c r="H47" s="12" t="inlineStr">
        <x:is>
          <x:t xml:space="preserve">included</x:t>
        </x:is>
      </x:c>
      <x:c r="I47" s="12" t="inlineStr">
        <x:is>
          <x:t xml:space="preserve">Tier B</x:t>
        </x:is>
      </x:c>
      <x:c r="J47" s="13" t="inlineStr">
        <x:is>
          <x:t xml:space="preserve">Selected under frozen function/scale/EA/structure rules; compensation did not determine selection.</x:t>
        </x:is>
      </x:c>
      <x:c r="K47" s="12" t="inlineStr">
        <x:is>
          <x:t xml:space="preserve">structural_sensitivity</x:t>
        </x:is>
      </x:c>
      <x:c r="L47" s="16" t="inlineStr">
        <x:is>
          <x:t xml:space="preserve">https://forum.effectivealtruism.org/topics/organizations-and-projects-in-effective-altruism</x:t>
        </x:is>
      </x:c>
    </x:row>
    <x:row r="48">
      <x:c r="A48" s="12" t="inlineStr">
        <x:is>
          <x:t xml:space="preserve">EXP-045</x:t>
        </x:is>
      </x:c>
      <x:c r="B48" s="12" t="inlineStr">
        <x:is>
          <x:t xml:space="preserve">Last Mile Health</x:t>
        </x:is>
      </x:c>
      <x:c r="C48" s="12" t="inlineStr">
        <x:is>
          <x:t xml:space="preserve">previous_160_frozen</x:t>
        </x:is>
      </x:c>
      <x:c r="D48" s="12" t="inlineStr">
        <x:is>
          <x:t xml:space="preserve">Global health, development, and evidence</x:t>
        </x:is>
      </x:c>
      <x:c r="E48" s="12" t="inlineStr">
        <x:is>
          <x:t xml:space="preserve">EA-adjacent</x:t>
        </x:is>
      </x:c>
      <x:c r="F48" s="12" t="inlineStr">
        <x:is>
          <x:t xml:space="preserve">independent nonprofit</x:t>
        </x:is>
      </x:c>
      <x:c r="G48" s="12" t="inlineStr">
        <x:is>
          <x:t xml:space="preserve">no</x:t>
        </x:is>
      </x:c>
      <x:c r="H48" s="12" t="inlineStr">
        <x:is>
          <x:t xml:space="preserve">included</x:t>
        </x:is>
      </x:c>
      <x:c r="I48" s="12" t="inlineStr">
        <x:is>
          <x:t xml:space="preserve">Tier B</x:t>
        </x:is>
      </x:c>
      <x:c r="J48" s="13" t="inlineStr">
        <x:is>
          <x:t xml:space="preserve">Selected under frozen function/scale/EA/structure rules; compensation did not determine selection.</x:t>
        </x:is>
      </x:c>
      <x:c r="K48" s="12" t="inlineStr">
        <x:is>
          <x:t xml:space="preserve">primary_with_structure_flag</x:t>
        </x:is>
      </x:c>
      <x:c r="L48" s="16" t="inlineStr">
        <x:is>
          <x:t xml:space="preserve">https://forum.effectivealtruism.org/topics/organizations-and-projects-in-effective-altruism</x:t>
        </x:is>
      </x:c>
    </x:row>
    <x:row r="49">
      <x:c r="A49" s="12" t="inlineStr">
        <x:is>
          <x:t xml:space="preserve">EXP-047</x:t>
        </x:is>
      </x:c>
      <x:c r="B49" s="12" t="inlineStr">
        <x:is>
          <x:t xml:space="preserve">StrongMinds</x:t>
        </x:is>
      </x:c>
      <x:c r="C49" s="12" t="inlineStr">
        <x:is>
          <x:t xml:space="preserve">previous_160_frozen</x:t>
        </x:is>
      </x:c>
      <x:c r="D49" s="12" t="inlineStr">
        <x:is>
          <x:t xml:space="preserve">Global health, development, and evidence</x:t>
        </x:is>
      </x:c>
      <x:c r="E49" s="12" t="inlineStr">
        <x:is>
          <x:t xml:space="preserve">EA-adjacent</x:t>
        </x:is>
      </x:c>
      <x:c r="F49" s="12" t="inlineStr">
        <x:is>
          <x:t xml:space="preserve">independent nonprofit</x:t>
        </x:is>
      </x:c>
      <x:c r="G49" s="12" t="inlineStr">
        <x:is>
          <x:t xml:space="preserve">no</x:t>
        </x:is>
      </x:c>
      <x:c r="H49" s="12" t="inlineStr">
        <x:is>
          <x:t xml:space="preserve">included</x:t>
        </x:is>
      </x:c>
      <x:c r="I49" s="12" t="inlineStr">
        <x:is>
          <x:t xml:space="preserve">Tier B</x:t>
        </x:is>
      </x:c>
      <x:c r="J49" s="13" t="inlineStr">
        <x:is>
          <x:t xml:space="preserve">Selected under frozen function/scale/EA/structure rules; compensation did not determine selection.</x:t>
        </x:is>
      </x:c>
      <x:c r="K49" s="12" t="inlineStr">
        <x:is>
          <x:t xml:space="preserve">primary_with_structure_flag</x:t>
        </x:is>
      </x:c>
      <x:c r="L49" s="16" t="inlineStr">
        <x:is>
          <x:t xml:space="preserve">https://forum.effectivealtruism.org/topics/organizations-and-projects-in-effective-altruism</x:t>
        </x:is>
      </x:c>
    </x:row>
    <x:row r="50">
      <x:c r="A50" s="12" t="inlineStr">
        <x:is>
          <x:t xml:space="preserve">EXP-071</x:t>
        </x:is>
      </x:c>
      <x:c r="B50" s="12" t="inlineStr">
        <x:is>
          <x:t xml:space="preserve">Animal Legal Defense Fund</x:t>
        </x:is>
      </x:c>
      <x:c r="C50" s="12" t="inlineStr">
        <x:is>
          <x:t xml:space="preserve">previous_160_frozen</x:t>
        </x:is>
      </x:c>
      <x:c r="D50" s="12" t="inlineStr">
        <x:is>
          <x:t xml:space="preserve">Animal welfare and food systems</x:t>
        </x:is>
      </x:c>
      <x:c r="E50" s="12" t="inlineStr">
        <x:is>
          <x:t xml:space="preserve">EA-adjacent</x:t>
        </x:is>
      </x:c>
      <x:c r="F50" s="12" t="inlineStr">
        <x:is>
          <x:t xml:space="preserve">independent nonprofit</x:t>
        </x:is>
      </x:c>
      <x:c r="G50" s="12" t="inlineStr">
        <x:is>
          <x:t xml:space="preserve">no</x:t>
        </x:is>
      </x:c>
      <x:c r="H50" s="12" t="inlineStr">
        <x:is>
          <x:t xml:space="preserve">included</x:t>
        </x:is>
      </x:c>
      <x:c r="I50" s="12" t="inlineStr">
        <x:is>
          <x:t xml:space="preserve">Tier B</x:t>
        </x:is>
      </x:c>
      <x:c r="J50" s="13" t="inlineStr">
        <x:is>
          <x:t xml:space="preserve">Selected under frozen function/scale/EA/structure rules; compensation did not determine selection.</x:t>
        </x:is>
      </x:c>
      <x:c r="K50" s="12" t="inlineStr">
        <x:is>
          <x:t xml:space="preserve">primary_with_structure_flag</x:t>
        </x:is>
      </x:c>
      <x:c r="L50" s="16" t="inlineStr">
        <x:is>
          <x:t xml:space="preserve">https://forum.effectivealtruism.org/topics/organizations-and-projects-in-effective-altruism</x:t>
        </x:is>
      </x:c>
    </x:row>
    <x:row r="51">
      <x:c r="A51" s="12" t="inlineStr">
        <x:is>
          <x:t xml:space="preserve">EXP-140</x:t>
        </x:is>
      </x:c>
      <x:c r="B51" s="12" t="inlineStr">
        <x:is>
          <x:t xml:space="preserve">Exponent Philanthropy</x:t>
        </x:is>
      </x:c>
      <x:c r="C51" s="12" t="inlineStr">
        <x:is>
          <x:t xml:space="preserve">previous_160_frozen</x:t>
        </x:is>
      </x:c>
      <x:c r="D51" s="13" t="inlineStr">
        <x:is>
          <x:t xml:space="preserve">Research, evaluation, philanthropy infrastructure, and policy</x:t>
        </x:is>
      </x:c>
      <x:c r="E51" s="12" t="inlineStr">
        <x:is>
          <x:t xml:space="preserve">functional-only</x:t>
        </x:is>
      </x:c>
      <x:c r="F51" s="12" t="inlineStr">
        <x:is>
          <x:t xml:space="preserve">independent nonprofit</x:t>
        </x:is>
      </x:c>
      <x:c r="G51" s="12" t="inlineStr">
        <x:is>
          <x:t xml:space="preserve">no</x:t>
        </x:is>
      </x:c>
      <x:c r="H51" s="12" t="inlineStr">
        <x:is>
          <x:t xml:space="preserve">included</x:t>
        </x:is>
      </x:c>
      <x:c r="I51" s="12" t="inlineStr">
        <x:is>
          <x:t xml:space="preserve">Tier B</x:t>
        </x:is>
      </x:c>
      <x:c r="J51" s="13" t="inlineStr">
        <x:is>
          <x:t xml:space="preserve">Selected under frozen function/scale/EA/structure rules; compensation did not determine selection.</x:t>
        </x:is>
      </x:c>
      <x:c r="K51" s="12" t="inlineStr">
        <x:is>
          <x:t xml:space="preserve">primary</x:t>
        </x:is>
      </x:c>
      <x:c r="L51" s="17" t="inlineStr">
        <x:is>
          <x:t xml:space="preserve">https://projects.propublica.org/nonprofits/</x:t>
        </x:is>
      </x:c>
    </x:row>
    <x:row r="52">
      <x:c r="A52" s="12" t="inlineStr">
        <x:is>
          <x:t xml:space="preserve">EXP-072</x:t>
        </x:is>
      </x:c>
      <x:c r="B52" s="12" t="inlineStr">
        <x:is>
          <x:t xml:space="preserve">Compassion in World Farming USA</x:t>
        </x:is>
      </x:c>
      <x:c r="C52" s="12" t="inlineStr">
        <x:is>
          <x:t xml:space="preserve">previous_160_frozen</x:t>
        </x:is>
      </x:c>
      <x:c r="D52" s="12" t="inlineStr">
        <x:is>
          <x:t xml:space="preserve">Animal welfare and food systems</x:t>
        </x:is>
      </x:c>
      <x:c r="E52" s="12" t="inlineStr">
        <x:is>
          <x:t xml:space="preserve">EA-adjacent</x:t>
        </x:is>
      </x:c>
      <x:c r="F52" s="12" t="inlineStr">
        <x:is>
          <x:t xml:space="preserve">international nonprofit affiliate</x:t>
        </x:is>
      </x:c>
      <x:c r="G52" s="12" t="inlineStr">
        <x:is>
          <x:t xml:space="preserve">no</x:t>
        </x:is>
      </x:c>
      <x:c r="H52" s="12" t="inlineStr">
        <x:is>
          <x:t xml:space="preserve">included</x:t>
        </x:is>
      </x:c>
      <x:c r="I52" s="12" t="inlineStr">
        <x:is>
          <x:t xml:space="preserve">Tier B</x:t>
        </x:is>
      </x:c>
      <x:c r="J52" s="13" t="inlineStr">
        <x:is>
          <x:t xml:space="preserve">Selected under frozen function/scale/EA/structure rules; compensation did not determine selection.</x:t>
        </x:is>
      </x:c>
      <x:c r="K52" s="12" t="inlineStr">
        <x:is>
          <x:t xml:space="preserve">structural_sensitivity</x:t>
        </x:is>
      </x:c>
      <x:c r="L52" s="16" t="inlineStr">
        <x:is>
          <x:t xml:space="preserve">https://forum.effectivealtruism.org/topics/organizations-and-projects-in-effective-altruism</x:t>
        </x:is>
      </x:c>
    </x:row>
    <x:row r="53">
      <x:c r="A53" s="12" t="inlineStr">
        <x:is>
          <x:t xml:space="preserve">EXP-044</x:t>
        </x:is>
      </x:c>
      <x:c r="B53" s="12" t="inlineStr">
        <x:is>
          <x:t xml:space="preserve">Living Goods</x:t>
        </x:is>
      </x:c>
      <x:c r="C53" s="12" t="inlineStr">
        <x:is>
          <x:t xml:space="preserve">previous_160_frozen</x:t>
        </x:is>
      </x:c>
      <x:c r="D53" s="12" t="inlineStr">
        <x:is>
          <x:t xml:space="preserve">Global health, development, and evidence</x:t>
        </x:is>
      </x:c>
      <x:c r="E53" s="12" t="inlineStr">
        <x:is>
          <x:t xml:space="preserve">EA-adjacent</x:t>
        </x:is>
      </x:c>
      <x:c r="F53" s="12" t="inlineStr">
        <x:is>
          <x:t xml:space="preserve">independent nonprofit</x:t>
        </x:is>
      </x:c>
      <x:c r="G53" s="12" t="inlineStr">
        <x:is>
          <x:t xml:space="preserve">no</x:t>
        </x:is>
      </x:c>
      <x:c r="H53" s="12" t="inlineStr">
        <x:is>
          <x:t xml:space="preserve">included</x:t>
        </x:is>
      </x:c>
      <x:c r="I53" s="12" t="inlineStr">
        <x:is>
          <x:t xml:space="preserve">Tier B</x:t>
        </x:is>
      </x:c>
      <x:c r="J53" s="13" t="inlineStr">
        <x:is>
          <x:t xml:space="preserve">Selected under frozen function/scale/EA/structure rules; compensation did not determine selection.</x:t>
        </x:is>
      </x:c>
      <x:c r="K53" s="12" t="inlineStr">
        <x:is>
          <x:t xml:space="preserve">primary_with_structure_flag</x:t>
        </x:is>
      </x:c>
      <x:c r="L53" s="16" t="inlineStr">
        <x:is>
          <x:t xml:space="preserve">https://forum.effectivealtruism.org/topics/organizations-and-projects-in-effective-altruism</x:t>
        </x:is>
      </x:c>
    </x:row>
    <x:row r="54">
      <x:c r="A54" s="12" t="inlineStr">
        <x:is>
          <x:t xml:space="preserve">EXP-065</x:t>
        </x:is>
      </x:c>
      <x:c r="B54" s="12" t="inlineStr">
        <x:is>
          <x:t xml:space="preserve">The Humane League</x:t>
        </x:is>
      </x:c>
      <x:c r="C54" s="12" t="inlineStr">
        <x:is>
          <x:t xml:space="preserve">previous_160_frozen</x:t>
        </x:is>
      </x:c>
      <x:c r="D54" s="12" t="inlineStr">
        <x:is>
          <x:t xml:space="preserve">Animal welfare and food systems</x:t>
        </x:is>
      </x:c>
      <x:c r="E54" s="12" t="inlineStr">
        <x:is>
          <x:t xml:space="preserve">EA-adjacent</x:t>
        </x:is>
      </x:c>
      <x:c r="F54" s="12" t="inlineStr">
        <x:is>
          <x:t xml:space="preserve">independent nonprofit</x:t>
        </x:is>
      </x:c>
      <x:c r="G54" s="12" t="inlineStr">
        <x:is>
          <x:t xml:space="preserve">no</x:t>
        </x:is>
      </x:c>
      <x:c r="H54" s="12" t="inlineStr">
        <x:is>
          <x:t xml:space="preserve">included</x:t>
        </x:is>
      </x:c>
      <x:c r="I54" s="12" t="inlineStr">
        <x:is>
          <x:t xml:space="preserve">Tier B</x:t>
        </x:is>
      </x:c>
      <x:c r="J54" s="13" t="inlineStr">
        <x:is>
          <x:t xml:space="preserve">Selected under frozen function/scale/EA/structure rules; compensation did not determine selection.</x:t>
        </x:is>
      </x:c>
      <x:c r="K54" s="12" t="inlineStr">
        <x:is>
          <x:t xml:space="preserve">primary_with_structure_flag</x:t>
        </x:is>
      </x:c>
      <x:c r="L54" s="16" t="inlineStr">
        <x:is>
          <x:t xml:space="preserve">https://forum.effectivealtruism.org/topics/organizations-and-projects-in-effective-altruism</x:t>
        </x:is>
      </x:c>
    </x:row>
    <x:row r="55">
      <x:c r="A55" s="12" t="inlineStr">
        <x:is>
          <x:t xml:space="preserve">EXP-111</x:t>
        </x:is>
      </x:c>
      <x:c r="B55" s="12" t="inlineStr">
        <x:is>
          <x:t xml:space="preserve">Legal Priorities Project</x:t>
        </x:is>
      </x:c>
      <x:c r="C55" s="12" t="inlineStr">
        <x:is>
          <x:t xml:space="preserve">previous_160_frozen</x:t>
        </x:is>
      </x:c>
      <x:c r="D55" s="13" t="inlineStr">
        <x:is>
          <x:t xml:space="preserve">AI, catastrophic risk, biosecurity, and technology policy</x:t>
        </x:is>
      </x:c>
      <x:c r="E55" s="12" t="inlineStr">
        <x:is>
          <x:t xml:space="preserve">EA-adjacent</x:t>
        </x:is>
      </x:c>
      <x:c r="F55" s="12" t="inlineStr">
        <x:is>
          <x:t xml:space="preserve">nonprofit/project</x:t>
        </x:is>
      </x:c>
      <x:c r="G55" s="12" t="inlineStr">
        <x:is>
          <x:t xml:space="preserve">no</x:t>
        </x:is>
      </x:c>
      <x:c r="H55" s="12" t="inlineStr">
        <x:is>
          <x:t xml:space="preserve">included</x:t>
        </x:is>
      </x:c>
      <x:c r="I55" s="12" t="inlineStr">
        <x:is>
          <x:t xml:space="preserve">Tier B</x:t>
        </x:is>
      </x:c>
      <x:c r="J55" s="13" t="inlineStr">
        <x:is>
          <x:t xml:space="preserve">Selected under frozen function/scale/EA/structure rules; compensation did not determine selection.</x:t>
        </x:is>
      </x:c>
      <x:c r="K55" s="12" t="inlineStr">
        <x:is>
          <x:t xml:space="preserve">not collected</x:t>
        </x:is>
      </x:c>
      <x:c r="L55" s="16" t="inlineStr">
        <x:is>
          <x:t xml:space="preserve">https://80000hours.org/topic/top-recommended-organisations/</x:t>
        </x:is>
      </x:c>
    </x:row>
    <x:row r="56">
      <x:c r="A56" s="12" t="inlineStr">
        <x:is>
          <x:t xml:space="preserve">EXP-066</x:t>
        </x:is>
      </x:c>
      <x:c r="B56" s="12" t="inlineStr">
        <x:is>
          <x:t xml:space="preserve">Mercy For Animals</x:t>
        </x:is>
      </x:c>
      <x:c r="C56" s="12" t="inlineStr">
        <x:is>
          <x:t xml:space="preserve">previous_160_frozen</x:t>
        </x:is>
      </x:c>
      <x:c r="D56" s="12" t="inlineStr">
        <x:is>
          <x:t xml:space="preserve">Animal welfare and food systems</x:t>
        </x:is>
      </x:c>
      <x:c r="E56" s="12" t="inlineStr">
        <x:is>
          <x:t xml:space="preserve">EA-adjacent</x:t>
        </x:is>
      </x:c>
      <x:c r="F56" s="12" t="inlineStr">
        <x:is>
          <x:t xml:space="preserve">independent nonprofit</x:t>
        </x:is>
      </x:c>
      <x:c r="G56" s="12" t="inlineStr">
        <x:is>
          <x:t xml:space="preserve">no</x:t>
        </x:is>
      </x:c>
      <x:c r="H56" s="12" t="inlineStr">
        <x:is>
          <x:t xml:space="preserve">included</x:t>
        </x:is>
      </x:c>
      <x:c r="I56" s="12" t="inlineStr">
        <x:is>
          <x:t xml:space="preserve">Tier B</x:t>
        </x:is>
      </x:c>
      <x:c r="J56" s="13" t="inlineStr">
        <x:is>
          <x:t xml:space="preserve">Selected under frozen function/scale/EA/structure rules; compensation did not determine selection.</x:t>
        </x:is>
      </x:c>
      <x:c r="K56" s="12" t="inlineStr">
        <x:is>
          <x:t xml:space="preserve">primary_with_structure_flag</x:t>
        </x:is>
      </x:c>
      <x:c r="L56" s="16" t="inlineStr">
        <x:is>
          <x:t xml:space="preserve">https://forum.effectivealtruism.org/topics/organizations-and-projects-in-effective-altruism</x:t>
        </x:is>
      </x:c>
    </x:row>
    <x:row r="57">
      <x:c r="A57" s="12" t="inlineStr">
        <x:is>
          <x:t xml:space="preserve">EXP-046</x:t>
        </x:is>
      </x:c>
      <x:c r="B57" s="12" t="inlineStr">
        <x:is>
          <x:t xml:space="preserve">Village Enterprise</x:t>
        </x:is>
      </x:c>
      <x:c r="C57" s="12" t="inlineStr">
        <x:is>
          <x:t xml:space="preserve">previous_160_frozen</x:t>
        </x:is>
      </x:c>
      <x:c r="D57" s="12" t="inlineStr">
        <x:is>
          <x:t xml:space="preserve">Global health, development, and evidence</x:t>
        </x:is>
      </x:c>
      <x:c r="E57" s="12" t="inlineStr">
        <x:is>
          <x:t xml:space="preserve">EA-adjacent</x:t>
        </x:is>
      </x:c>
      <x:c r="F57" s="12" t="inlineStr">
        <x:is>
          <x:t xml:space="preserve">independent nonprofit</x:t>
        </x:is>
      </x:c>
      <x:c r="G57" s="12" t="inlineStr">
        <x:is>
          <x:t xml:space="preserve">no</x:t>
        </x:is>
      </x:c>
      <x:c r="H57" s="12" t="inlineStr">
        <x:is>
          <x:t xml:space="preserve">included</x:t>
        </x:is>
      </x:c>
      <x:c r="I57" s="12" t="inlineStr">
        <x:is>
          <x:t xml:space="preserve">Tier B</x:t>
        </x:is>
      </x:c>
      <x:c r="J57" s="13" t="inlineStr">
        <x:is>
          <x:t xml:space="preserve">Selected under frozen function/scale/EA/structure rules; compensation did not determine selection.</x:t>
        </x:is>
      </x:c>
      <x:c r="K57" s="12" t="inlineStr">
        <x:is>
          <x:t xml:space="preserve">primary_with_structure_flag</x:t>
        </x:is>
      </x:c>
      <x:c r="L57" s="16" t="inlineStr">
        <x:is>
          <x:t xml:space="preserve">https://forum.effectivealtruism.org/topics/organizations-and-projects-in-effective-altruism</x:t>
        </x:is>
      </x:c>
    </x:row>
    <x:row r="58">
      <x:c r="A58" s="12" t="inlineStr">
        <x:is>
          <x:t xml:space="preserve">EXP-074</x:t>
        </x:is>
      </x:c>
      <x:c r="B58" s="12" t="inlineStr">
        <x:is>
          <x:t xml:space="preserve">Farm Sanctuary</x:t>
        </x:is>
      </x:c>
      <x:c r="C58" s="12" t="inlineStr">
        <x:is>
          <x:t xml:space="preserve">previous_160_frozen</x:t>
        </x:is>
      </x:c>
      <x:c r="D58" s="12" t="inlineStr">
        <x:is>
          <x:t xml:space="preserve">Animal welfare and food systems</x:t>
        </x:is>
      </x:c>
      <x:c r="E58" s="12" t="inlineStr">
        <x:is>
          <x:t xml:space="preserve">EA-adjacent</x:t>
        </x:is>
      </x:c>
      <x:c r="F58" s="12" t="inlineStr">
        <x:is>
          <x:t xml:space="preserve">independent nonprofit</x:t>
        </x:is>
      </x:c>
      <x:c r="G58" s="12" t="inlineStr">
        <x:is>
          <x:t xml:space="preserve">no</x:t>
        </x:is>
      </x:c>
      <x:c r="H58" s="12" t="inlineStr">
        <x:is>
          <x:t xml:space="preserve">included</x:t>
        </x:is>
      </x:c>
      <x:c r="I58" s="12" t="inlineStr">
        <x:is>
          <x:t xml:space="preserve">Tier B</x:t>
        </x:is>
      </x:c>
      <x:c r="J58" s="13" t="inlineStr">
        <x:is>
          <x:t xml:space="preserve">Selected under frozen function/scale/EA/structure rules; compensation did not determine selection.</x:t>
        </x:is>
      </x:c>
      <x:c r="K58" s="12" t="inlineStr">
        <x:is>
          <x:t xml:space="preserve">primary_with_structure_flag</x:t>
        </x:is>
      </x:c>
      <x:c r="L58" s="16" t="inlineStr">
        <x:is>
          <x:t xml:space="preserve">https://forum.effectivealtruism.org/topics/organizations-and-projects-in-effective-altruism</x:t>
        </x:is>
      </x:c>
    </x:row>
    <x:row r="59">
      <x:c r="A59" s="12" t="inlineStr">
        <x:is>
          <x:t xml:space="preserve">EXP-085</x:t>
        </x:is>
      </x:c>
      <x:c r="B59" s="12" t="inlineStr">
        <x:is>
          <x:t xml:space="preserve">New Roots Institute</x:t>
        </x:is>
      </x:c>
      <x:c r="C59" s="12" t="inlineStr">
        <x:is>
          <x:t xml:space="preserve">previous_160_frozen</x:t>
        </x:is>
      </x:c>
      <x:c r="D59" s="12" t="inlineStr">
        <x:is>
          <x:t xml:space="preserve">Animal welfare and food systems</x:t>
        </x:is>
      </x:c>
      <x:c r="E59" s="12" t="inlineStr">
        <x:is>
          <x:t xml:space="preserve">EA-adjacent</x:t>
        </x:is>
      </x:c>
      <x:c r="F59" s="12" t="inlineStr">
        <x:is>
          <x:t xml:space="preserve">independent nonprofit</x:t>
        </x:is>
      </x:c>
      <x:c r="G59" s="12" t="inlineStr">
        <x:is>
          <x:t xml:space="preserve">no</x:t>
        </x:is>
      </x:c>
      <x:c r="H59" s="12" t="inlineStr">
        <x:is>
          <x:t xml:space="preserve">included</x:t>
        </x:is>
      </x:c>
      <x:c r="I59" s="12" t="inlineStr">
        <x:is>
          <x:t xml:space="preserve">Tier B</x:t>
        </x:is>
      </x:c>
      <x:c r="J59" s="13" t="inlineStr">
        <x:is>
          <x:t xml:space="preserve">Selected under frozen function/scale/EA/structure rules; compensation did not determine selection.</x:t>
        </x:is>
      </x:c>
      <x:c r="K59" s="12" t="inlineStr">
        <x:is>
          <x:t xml:space="preserve">primary</x:t>
        </x:is>
      </x:c>
      <x:c r="L59" s="16" t="inlineStr">
        <x:is>
          <x:t xml:space="preserve">https://forum.effectivealtruism.org/topics/organizations-and-projects-in-effective-altruism</x:t>
        </x:is>
      </x:c>
    </x:row>
    <x:row r="60">
      <x:c r="A60" s="12" t="inlineStr">
        <x:is>
          <x:t xml:space="preserve">EXP-033</x:t>
        </x:is>
      </x:c>
      <x:c r="B60" s="12" t="inlineStr">
        <x:is>
          <x:t xml:space="preserve">Innovations for Poverty Action</x:t>
        </x:is>
      </x:c>
      <x:c r="C60" s="12" t="inlineStr">
        <x:is>
          <x:t xml:space="preserve">previous_160_frozen</x:t>
        </x:is>
      </x:c>
      <x:c r="D60" s="12" t="inlineStr">
        <x:is>
          <x:t xml:space="preserve">Global health, development, and evidence</x:t>
        </x:is>
      </x:c>
      <x:c r="E60" s="12" t="inlineStr">
        <x:is>
          <x:t xml:space="preserve">EA-adjacent</x:t>
        </x:is>
      </x:c>
      <x:c r="F60" s="12" t="inlineStr">
        <x:is>
          <x:t xml:space="preserve">independent nonprofit</x:t>
        </x:is>
      </x:c>
      <x:c r="G60" s="12" t="inlineStr">
        <x:is>
          <x:t xml:space="preserve">no</x:t>
        </x:is>
      </x:c>
      <x:c r="H60" s="12" t="inlineStr">
        <x:is>
          <x:t xml:space="preserve">included</x:t>
        </x:is>
      </x:c>
      <x:c r="I60" s="12" t="inlineStr">
        <x:is>
          <x:t xml:space="preserve">Tier B</x:t>
        </x:is>
      </x:c>
      <x:c r="J60" s="13" t="inlineStr">
        <x:is>
          <x:t xml:space="preserve">Selected under frozen function/scale/EA/structure rules; compensation did not determine selection.</x:t>
        </x:is>
      </x:c>
      <x:c r="K60" s="12" t="inlineStr">
        <x:is>
          <x:t xml:space="preserve">primary_with_structure_flag</x:t>
        </x:is>
      </x:c>
      <x:c r="L60" s="16" t="inlineStr">
        <x:is>
          <x:t xml:space="preserve">https://forum.effectivealtruism.org/topics/organizations-and-projects-in-effective-altruism</x:t>
        </x:is>
      </x:c>
    </x:row>
    <x:row r="61">
      <x:c r="A61" s="12" t="inlineStr">
        <x:is>
          <x:t xml:space="preserve">EXP-031</x:t>
        </x:is>
      </x:c>
      <x:c r="B61" s="12" t="inlineStr">
        <x:is>
          <x:t xml:space="preserve">Evidence Action</x:t>
        </x:is>
      </x:c>
      <x:c r="C61" s="12" t="inlineStr">
        <x:is>
          <x:t xml:space="preserve">previous_160_frozen</x:t>
        </x:is>
      </x:c>
      <x:c r="D61" s="12" t="inlineStr">
        <x:is>
          <x:t xml:space="preserve">Global health, development, and evidence</x:t>
        </x:is>
      </x:c>
      <x:c r="E61" s="12" t="inlineStr">
        <x:is>
          <x:t xml:space="preserve">EA-adjacent</x:t>
        </x:is>
      </x:c>
      <x:c r="F61" s="12" t="inlineStr">
        <x:is>
          <x:t xml:space="preserve">independent nonprofit</x:t>
        </x:is>
      </x:c>
      <x:c r="G61" s="12" t="inlineStr">
        <x:is>
          <x:t xml:space="preserve">no</x:t>
        </x:is>
      </x:c>
      <x:c r="H61" s="12" t="inlineStr">
        <x:is>
          <x:t xml:space="preserve">included</x:t>
        </x:is>
      </x:c>
      <x:c r="I61" s="12" t="inlineStr">
        <x:is>
          <x:t xml:space="preserve">Tier B</x:t>
        </x:is>
      </x:c>
      <x:c r="J61" s="13" t="inlineStr">
        <x:is>
          <x:t xml:space="preserve">Selected under frozen function/scale/EA/structure rules; compensation did not determine selection.</x:t>
        </x:is>
      </x:c>
      <x:c r="K61" s="12" t="inlineStr">
        <x:is>
          <x:t xml:space="preserve">primary_with_structure_flag</x:t>
        </x:is>
      </x:c>
      <x:c r="L61" s="16" t="inlineStr">
        <x:is>
          <x:t xml:space="preserve">https://forum.effectivealtruism.org/topics/organizations-and-projects-in-effective-altruism</x:t>
        </x:is>
      </x:c>
    </x:row>
    <x:row r="62">
      <x:c r="A62" s="12" t="inlineStr">
        <x:is>
          <x:t xml:space="preserve">EXP-151</x:t>
        </x:is>
      </x:c>
      <x:c r="B62" s="12" t="inlineStr">
        <x:is>
          <x:t xml:space="preserve">Guttmacher Institute</x:t>
        </x:is>
      </x:c>
      <x:c r="C62" s="12" t="inlineStr">
        <x:is>
          <x:t xml:space="preserve">previous_160_frozen</x:t>
        </x:is>
      </x:c>
      <x:c r="D62" s="13" t="inlineStr">
        <x:is>
          <x:t xml:space="preserve">Research, evaluation, philanthropy infrastructure, and policy</x:t>
        </x:is>
      </x:c>
      <x:c r="E62" s="12" t="inlineStr">
        <x:is>
          <x:t xml:space="preserve">functional-only</x:t>
        </x:is>
      </x:c>
      <x:c r="F62" s="12" t="inlineStr">
        <x:is>
          <x:t xml:space="preserve">independent nonprofit</x:t>
        </x:is>
      </x:c>
      <x:c r="G62" s="12" t="inlineStr">
        <x:is>
          <x:t xml:space="preserve">no</x:t>
        </x:is>
      </x:c>
      <x:c r="H62" s="12" t="inlineStr">
        <x:is>
          <x:t xml:space="preserve">included</x:t>
        </x:is>
      </x:c>
      <x:c r="I62" s="12" t="inlineStr">
        <x:is>
          <x:t xml:space="preserve">Tier B</x:t>
        </x:is>
      </x:c>
      <x:c r="J62" s="13" t="inlineStr">
        <x:is>
          <x:t xml:space="preserve">Selected under frozen function/scale/EA/structure rules; compensation did not determine selection.</x:t>
        </x:is>
      </x:c>
      <x:c r="K62" s="12" t="inlineStr">
        <x:is>
          <x:t xml:space="preserve">primary_older_clean</x:t>
        </x:is>
      </x:c>
      <x:c r="L62" s="17" t="inlineStr">
        <x:is>
          <x:t xml:space="preserve">https://projects.propublica.org/nonprofits/</x:t>
        </x:is>
      </x:c>
    </x:row>
    <x:row r="63">
      <x:c r="A63" s="12" t="inlineStr">
        <x:is>
          <x:t xml:space="preserve">EXP-098</x:t>
        </x:is>
      </x:c>
      <x:c r="B63" s="12" t="inlineStr">
        <x:is>
          <x:t xml:space="preserve">Redwood Research</x:t>
        </x:is>
      </x:c>
      <x:c r="C63" s="12" t="inlineStr">
        <x:is>
          <x:t xml:space="preserve">previous_160_frozen</x:t>
        </x:is>
      </x:c>
      <x:c r="D63" s="13" t="inlineStr">
        <x:is>
          <x:t xml:space="preserve">AI, catastrophic risk, biosecurity, and technology policy</x:t>
        </x:is>
      </x:c>
      <x:c r="E63" s="12" t="inlineStr">
        <x:is>
          <x:t xml:space="preserve">EA-adjacent</x:t>
        </x:is>
      </x:c>
      <x:c r="F63" s="12" t="inlineStr">
        <x:is>
          <x:t xml:space="preserve">independent nonprofit</x:t>
        </x:is>
      </x:c>
      <x:c r="G63" s="12" t="inlineStr">
        <x:is>
          <x:t xml:space="preserve">no</x:t>
        </x:is>
      </x:c>
      <x:c r="H63" s="12" t="inlineStr">
        <x:is>
          <x:t xml:space="preserve">included</x:t>
        </x:is>
      </x:c>
      <x:c r="I63" s="12" t="inlineStr">
        <x:is>
          <x:t xml:space="preserve">Tier B</x:t>
        </x:is>
      </x:c>
      <x:c r="J63" s="13" t="inlineStr">
        <x:is>
          <x:t xml:space="preserve">Selected under frozen function/scale/EA/structure rules; compensation did not determine selection.</x:t>
        </x:is>
      </x:c>
      <x:c r="K63" s="12" t="inlineStr">
        <x:is>
          <x:t xml:space="preserve">primary</x:t>
        </x:is>
      </x:c>
      <x:c r="L63" s="16" t="inlineStr">
        <x:is>
          <x:t xml:space="preserve">https://80000hours.org/topic/top-recommended-organisations/</x:t>
        </x:is>
      </x:c>
    </x:row>
    <x:row r="64">
      <x:c r="A64" s="12" t="inlineStr">
        <x:is>
          <x:t xml:space="preserve">EXP-056</x:t>
        </x:is>
      </x:c>
      <x:c r="B64" s="12" t="inlineStr">
        <x:is>
          <x:t xml:space="preserve">Charter Cities Institute</x:t>
        </x:is>
      </x:c>
      <x:c r="C64" s="12" t="inlineStr">
        <x:is>
          <x:t xml:space="preserve">previous_160_frozen</x:t>
        </x:is>
      </x:c>
      <x:c r="D64" s="12" t="inlineStr">
        <x:is>
          <x:t xml:space="preserve">Global health, development, and evidence</x:t>
        </x:is>
      </x:c>
      <x:c r="E64" s="12" t="inlineStr">
        <x:is>
          <x:t xml:space="preserve">EA-adjacent</x:t>
        </x:is>
      </x:c>
      <x:c r="F64" s="12" t="inlineStr">
        <x:is>
          <x:t xml:space="preserve">independent nonprofit</x:t>
        </x:is>
      </x:c>
      <x:c r="G64" s="12" t="inlineStr">
        <x:is>
          <x:t xml:space="preserve">no</x:t>
        </x:is>
      </x:c>
      <x:c r="H64" s="12" t="inlineStr">
        <x:is>
          <x:t xml:space="preserve">included</x:t>
        </x:is>
      </x:c>
      <x:c r="I64" s="12" t="inlineStr">
        <x:is>
          <x:t xml:space="preserve">Tier B</x:t>
        </x:is>
      </x:c>
      <x:c r="J64" s="13" t="inlineStr">
        <x:is>
          <x:t xml:space="preserve">Selected under frozen function/scale/EA/structure rules; compensation did not determine selection.</x:t>
        </x:is>
      </x:c>
      <x:c r="K64" s="12" t="inlineStr">
        <x:is>
          <x:t xml:space="preserve">not collected</x:t>
        </x:is>
      </x:c>
      <x:c r="L64" s="16" t="inlineStr">
        <x:is>
          <x:t xml:space="preserve">https://forum.effectivealtruism.org/topics/organizations-and-projects-in-effective-altruism</x:t>
        </x:is>
      </x:c>
    </x:row>
    <x:row r="65">
      <x:c r="A65" s="12" t="inlineStr">
        <x:is>
          <x:t xml:space="preserve">EXP-062</x:t>
        </x:is>
      </x:c>
      <x:c r="B65" s="12" t="inlineStr">
        <x:is>
          <x:t xml:space="preserve">Faunalytics</x:t>
        </x:is>
      </x:c>
      <x:c r="C65" s="12" t="inlineStr">
        <x:is>
          <x:t xml:space="preserve">previous_160_frozen</x:t>
        </x:is>
      </x:c>
      <x:c r="D65" s="12" t="inlineStr">
        <x:is>
          <x:t xml:space="preserve">Animal welfare and food systems</x:t>
        </x:is>
      </x:c>
      <x:c r="E65" s="12" t="inlineStr">
        <x:is>
          <x:t xml:space="preserve">EA-adjacent</x:t>
        </x:is>
      </x:c>
      <x:c r="F65" s="12" t="inlineStr">
        <x:is>
          <x:t xml:space="preserve">independent nonprofit</x:t>
        </x:is>
      </x:c>
      <x:c r="G65" s="12" t="inlineStr">
        <x:is>
          <x:t xml:space="preserve">no</x:t>
        </x:is>
      </x:c>
      <x:c r="H65" s="12" t="inlineStr">
        <x:is>
          <x:t xml:space="preserve">included</x:t>
        </x:is>
      </x:c>
      <x:c r="I65" s="12" t="inlineStr">
        <x:is>
          <x:t xml:space="preserve">Tier B</x:t>
        </x:is>
      </x:c>
      <x:c r="J65" s="13" t="inlineStr">
        <x:is>
          <x:t xml:space="preserve">Selected under frozen function/scale/EA/structure rules; compensation did not determine selection.</x:t>
        </x:is>
      </x:c>
      <x:c r="K65" s="12" t="inlineStr">
        <x:is>
          <x:t xml:space="preserve">not collected</x:t>
        </x:is>
      </x:c>
      <x:c r="L65" s="16" t="inlineStr">
        <x:is>
          <x:t xml:space="preserve">https://forum.effectivealtruism.org/topics/organizations-and-projects-in-effective-altruism</x:t>
        </x:is>
      </x:c>
    </x:row>
    <x:row r="66">
      <x:c r="A66" s="12" t="inlineStr">
        <x:is>
          <x:t xml:space="preserve">EXP-009</x:t>
        </x:is>
      </x:c>
      <x:c r="B66" s="12" t="inlineStr">
        <x:is>
          <x:t xml:space="preserve">One for the World</x:t>
        </x:is>
      </x:c>
      <x:c r="C66" s="12" t="inlineStr">
        <x:is>
          <x:t xml:space="preserve">previous_160_frozen</x:t>
        </x:is>
      </x:c>
      <x:c r="D66" s="12" t="inlineStr">
        <x:is>
          <x:t xml:space="preserve">EA infrastructure and effective giving</x:t>
        </x:is>
      </x:c>
      <x:c r="E66" s="12" t="inlineStr">
        <x:is>
          <x:t xml:space="preserve">EA-core</x:t>
        </x:is>
      </x:c>
      <x:c r="F66" s="12" t="inlineStr">
        <x:is>
          <x:t xml:space="preserve">independent nonprofit</x:t>
        </x:is>
      </x:c>
      <x:c r="G66" s="12" t="inlineStr">
        <x:is>
          <x:t xml:space="preserve">no</x:t>
        </x:is>
      </x:c>
      <x:c r="H66" s="12" t="inlineStr">
        <x:is>
          <x:t xml:space="preserve">included</x:t>
        </x:is>
      </x:c>
      <x:c r="I66" s="12" t="inlineStr">
        <x:is>
          <x:t xml:space="preserve">Tier B</x:t>
        </x:is>
      </x:c>
      <x:c r="J66" s="13" t="inlineStr">
        <x:is>
          <x:t xml:space="preserve">Selected under frozen function/scale/EA/structure rules; compensation did not determine selection.</x:t>
        </x:is>
      </x:c>
      <x:c r="K66" s="12" t="inlineStr">
        <x:is>
          <x:t xml:space="preserve">not collected</x:t>
        </x:is>
      </x:c>
      <x:c r="L66" s="16" t="inlineStr">
        <x:is>
          <x:t xml:space="preserve">https://forum.effectivealtruism.org/posts/dm2uawLLeLbY8WNKM/updates-on-the-effective-giving-ecosystem-mcf-2025-memo</x:t>
        </x:is>
      </x:c>
    </x:row>
    <x:row r="67">
      <x:c r="A67" s="12" t="inlineStr">
        <x:is>
          <x:t xml:space="preserve">EXP-068</x:t>
        </x:is>
      </x:c>
      <x:c r="B67" s="12" t="inlineStr">
        <x:is>
          <x:t xml:space="preserve">Vegan Outreach</x:t>
        </x:is>
      </x:c>
      <x:c r="C67" s="12" t="inlineStr">
        <x:is>
          <x:t xml:space="preserve">previous_160_frozen</x:t>
        </x:is>
      </x:c>
      <x:c r="D67" s="12" t="inlineStr">
        <x:is>
          <x:t xml:space="preserve">Animal welfare and food systems</x:t>
        </x:is>
      </x:c>
      <x:c r="E67" s="12" t="inlineStr">
        <x:is>
          <x:t xml:space="preserve">EA-adjacent</x:t>
        </x:is>
      </x:c>
      <x:c r="F67" s="12" t="inlineStr">
        <x:is>
          <x:t xml:space="preserve">independent nonprofit</x:t>
        </x:is>
      </x:c>
      <x:c r="G67" s="12" t="inlineStr">
        <x:is>
          <x:t xml:space="preserve">no</x:t>
        </x:is>
      </x:c>
      <x:c r="H67" s="12" t="inlineStr">
        <x:is>
          <x:t xml:space="preserve">included</x:t>
        </x:is>
      </x:c>
      <x:c r="I67" s="12" t="inlineStr">
        <x:is>
          <x:t xml:space="preserve">Tier B</x:t>
        </x:is>
      </x:c>
      <x:c r="J67" s="13" t="inlineStr">
        <x:is>
          <x:t xml:space="preserve">Selected under frozen function/scale/EA/structure rules; compensation did not determine selection.</x:t>
        </x:is>
      </x:c>
      <x:c r="K67" s="12" t="inlineStr">
        <x:is>
          <x:t xml:space="preserve">not collected</x:t>
        </x:is>
      </x:c>
      <x:c r="L67" s="16" t="inlineStr">
        <x:is>
          <x:t xml:space="preserve">https://forum.effectivealtruism.org/topics/organizations-and-projects-in-effective-altruism</x:t>
        </x:is>
      </x:c>
    </x:row>
    <x:row r="68">
      <x:c r="A68" s="12" t="inlineStr">
        <x:is>
          <x:t xml:space="preserve">EXP-053</x:t>
        </x:is>
      </x:c>
      <x:c r="B68" s="12" t="inlineStr">
        <x:is>
          <x:t xml:space="preserve">Resolve to Save Lives</x:t>
        </x:is>
      </x:c>
      <x:c r="C68" s="12" t="inlineStr">
        <x:is>
          <x:t xml:space="preserve">previous_160_frozen</x:t>
        </x:is>
      </x:c>
      <x:c r="D68" s="12" t="inlineStr">
        <x:is>
          <x:t xml:space="preserve">Global health, development, and evidence</x:t>
        </x:is>
      </x:c>
      <x:c r="E68" s="12" t="inlineStr">
        <x:is>
          <x:t xml:space="preserve">EA-adjacent</x:t>
        </x:is>
      </x:c>
      <x:c r="F68" s="12" t="inlineStr">
        <x:is>
          <x:t xml:space="preserve">independent nonprofit</x:t>
        </x:is>
      </x:c>
      <x:c r="G68" s="12" t="inlineStr">
        <x:is>
          <x:t xml:space="preserve">no</x:t>
        </x:is>
      </x:c>
      <x:c r="H68" s="12" t="inlineStr">
        <x:is>
          <x:t xml:space="preserve">included</x:t>
        </x:is>
      </x:c>
      <x:c r="I68" s="12" t="inlineStr">
        <x:is>
          <x:t xml:space="preserve">Tier C</x:t>
        </x:is>
      </x:c>
      <x:c r="J68" s="13" t="inlineStr">
        <x:is>
          <x:t xml:space="preserve">Selected under frozen function/scale/EA/structure rules; compensation did not determine selection.</x:t>
        </x:is>
      </x:c>
      <x:c r="K68" s="12" t="inlineStr">
        <x:is>
          <x:t xml:space="preserve">not collected</x:t>
        </x:is>
      </x:c>
      <x:c r="L68" s="16" t="inlineStr">
        <x:is>
          <x:t xml:space="preserve">https://forum.effectivealtruism.org/topics/organizations-and-projects-in-effective-altruism</x:t>
        </x:is>
      </x:c>
    </x:row>
    <x:row r="69">
      <x:c r="A69" s="12" t="inlineStr">
        <x:is>
          <x:t xml:space="preserve">EXP-100</x:t>
        </x:is>
      </x:c>
      <x:c r="B69" s="12" t="inlineStr">
        <x:is>
          <x:t xml:space="preserve">AI Objectives Institute</x:t>
        </x:is>
      </x:c>
      <x:c r="C69" s="12" t="inlineStr">
        <x:is>
          <x:t xml:space="preserve">previous_160_frozen</x:t>
        </x:is>
      </x:c>
      <x:c r="D69" s="13" t="inlineStr">
        <x:is>
          <x:t xml:space="preserve">AI, catastrophic risk, biosecurity, and technology policy</x:t>
        </x:is>
      </x:c>
      <x:c r="E69" s="12" t="inlineStr">
        <x:is>
          <x:t xml:space="preserve">EA-adjacent</x:t>
        </x:is>
      </x:c>
      <x:c r="F69" s="12" t="inlineStr">
        <x:is>
          <x:t xml:space="preserve">independent nonprofit</x:t>
        </x:is>
      </x:c>
      <x:c r="G69" s="12" t="inlineStr">
        <x:is>
          <x:t xml:space="preserve">no</x:t>
        </x:is>
      </x:c>
      <x:c r="H69" s="12" t="inlineStr">
        <x:is>
          <x:t xml:space="preserve">included</x:t>
        </x:is>
      </x:c>
      <x:c r="I69" s="12" t="inlineStr">
        <x:is>
          <x:t xml:space="preserve">Tier C</x:t>
        </x:is>
      </x:c>
      <x:c r="J69" s="13" t="inlineStr">
        <x:is>
          <x:t xml:space="preserve">Selected under frozen function/scale/EA/structure rules; compensation did not determine selection.</x:t>
        </x:is>
      </x:c>
      <x:c r="K69" s="12" t="inlineStr">
        <x:is>
          <x:t xml:space="preserve">not collected</x:t>
        </x:is>
      </x:c>
      <x:c r="L69" s="16" t="inlineStr">
        <x:is>
          <x:t xml:space="preserve">https://80000hours.org/topic/top-recommended-organisations/</x:t>
        </x:is>
      </x:c>
    </x:row>
    <x:row r="70">
      <x:c r="A70" s="12" t="inlineStr">
        <x:is>
          <x:t xml:space="preserve">EXP-110</x:t>
        </x:is>
      </x:c>
      <x:c r="B70" s="12" t="inlineStr">
        <x:is>
          <x:t xml:space="preserve">Effective Institutions Project</x:t>
        </x:is>
      </x:c>
      <x:c r="C70" s="12" t="inlineStr">
        <x:is>
          <x:t xml:space="preserve">previous_160_frozen</x:t>
        </x:is>
      </x:c>
      <x:c r="D70" s="13" t="inlineStr">
        <x:is>
          <x:t xml:space="preserve">AI, catastrophic risk, biosecurity, and technology policy</x:t>
        </x:is>
      </x:c>
      <x:c r="E70" s="12" t="inlineStr">
        <x:is>
          <x:t xml:space="preserve">EA-adjacent</x:t>
        </x:is>
      </x:c>
      <x:c r="F70" s="12" t="inlineStr">
        <x:is>
          <x:t xml:space="preserve">nonprofit/project</x:t>
        </x:is>
      </x:c>
      <x:c r="G70" s="12" t="inlineStr">
        <x:is>
          <x:t xml:space="preserve">no</x:t>
        </x:is>
      </x:c>
      <x:c r="H70" s="12" t="inlineStr">
        <x:is>
          <x:t xml:space="preserve">included</x:t>
        </x:is>
      </x:c>
      <x:c r="I70" s="12" t="inlineStr">
        <x:is>
          <x:t xml:space="preserve">Tier C</x:t>
        </x:is>
      </x:c>
      <x:c r="J70" s="13" t="inlineStr">
        <x:is>
          <x:t xml:space="preserve">Selected under frozen function/scale/EA/structure rules; compensation did not determine selection.</x:t>
        </x:is>
      </x:c>
      <x:c r="K70" s="12" t="inlineStr">
        <x:is>
          <x:t xml:space="preserve">not collected</x:t>
        </x:is>
      </x:c>
      <x:c r="L70" s="16" t="inlineStr">
        <x:is>
          <x:t xml:space="preserve">https://80000hours.org/topic/top-recommended-organisations/</x:t>
        </x:is>
      </x:c>
    </x:row>
    <x:row r="71">
      <x:c r="A71" s="12" t="inlineStr">
        <x:is>
          <x:t xml:space="preserve">EXP-135</x:t>
        </x:is>
      </x:c>
      <x:c r="B71" s="12" t="inlineStr">
        <x:is>
          <x:t xml:space="preserve">Candid</x:t>
        </x:is>
      </x:c>
      <x:c r="C71" s="12" t="inlineStr">
        <x:is>
          <x:t xml:space="preserve">previous_160_frozen</x:t>
        </x:is>
      </x:c>
      <x:c r="D71" s="13" t="inlineStr">
        <x:is>
          <x:t xml:space="preserve">Research, evaluation, philanthropy infrastructure, and policy</x:t>
        </x:is>
      </x:c>
      <x:c r="E71" s="12" t="inlineStr">
        <x:is>
          <x:t xml:space="preserve">functional-only</x:t>
        </x:is>
      </x:c>
      <x:c r="F71" s="12" t="inlineStr">
        <x:is>
          <x:t xml:space="preserve">independent nonprofit</x:t>
        </x:is>
      </x:c>
      <x:c r="G71" s="12" t="inlineStr">
        <x:is>
          <x:t xml:space="preserve">no</x:t>
        </x:is>
      </x:c>
      <x:c r="H71" s="12" t="inlineStr">
        <x:is>
          <x:t xml:space="preserve">included</x:t>
        </x:is>
      </x:c>
      <x:c r="I71" s="12" t="inlineStr">
        <x:is>
          <x:t xml:space="preserve">Tier C</x:t>
        </x:is>
      </x:c>
      <x:c r="J71" s="13" t="inlineStr">
        <x:is>
          <x:t xml:space="preserve">Selected under frozen function/scale/EA/structure rules; compensation did not determine selection.</x:t>
        </x:is>
      </x:c>
      <x:c r="K71" s="12" t="inlineStr">
        <x:is>
          <x:t xml:space="preserve">not collected</x:t>
        </x:is>
      </x:c>
      <x:c r="L71" s="17" t="inlineStr">
        <x:is>
          <x:t xml:space="preserve">https://projects.propublica.org/nonprofits/</x:t>
        </x:is>
      </x:c>
    </x:row>
    <x:row r="72">
      <x:c r="A72" s="12" t="inlineStr">
        <x:is>
          <x:t xml:space="preserve">EXP-019</x:t>
        </x:is>
      </x:c>
      <x:c r="B72" s="12" t="inlineStr">
        <x:is>
          <x:t xml:space="preserve">Generation Pledge</x:t>
        </x:is>
      </x:c>
      <x:c r="C72" s="12" t="inlineStr">
        <x:is>
          <x:t xml:space="preserve">previous_160_frozen</x:t>
        </x:is>
      </x:c>
      <x:c r="D72" s="12" t="inlineStr">
        <x:is>
          <x:t xml:space="preserve">EA infrastructure and effective giving</x:t>
        </x:is>
      </x:c>
      <x:c r="E72" s="12" t="inlineStr">
        <x:is>
          <x:t xml:space="preserve">EA-core</x:t>
        </x:is>
      </x:c>
      <x:c r="F72" s="12" t="inlineStr">
        <x:is>
          <x:t xml:space="preserve">nonprofit/project</x:t>
        </x:is>
      </x:c>
      <x:c r="G72" s="12" t="inlineStr">
        <x:is>
          <x:t xml:space="preserve">no</x:t>
        </x:is>
      </x:c>
      <x:c r="H72" s="12" t="inlineStr">
        <x:is>
          <x:t xml:space="preserve">included</x:t>
        </x:is>
      </x:c>
      <x:c r="I72" s="12" t="inlineStr">
        <x:is>
          <x:t xml:space="preserve">Tier C</x:t>
        </x:is>
      </x:c>
      <x:c r="J72" s="13" t="inlineStr">
        <x:is>
          <x:t xml:space="preserve">Selected under frozen function/scale/EA/structure rules; compensation did not determine selection.</x:t>
        </x:is>
      </x:c>
      <x:c r="K72" s="12" t="inlineStr">
        <x:is>
          <x:t xml:space="preserve">not collected</x:t>
        </x:is>
      </x:c>
      <x:c r="L72" s="16" t="inlineStr">
        <x:is>
          <x:t xml:space="preserve">https://forum.effectivealtruism.org/posts/dm2uawLLeLbY8WNKM/updates-on-the-effective-giving-ecosystem-mcf-2025-memo</x:t>
        </x:is>
      </x:c>
    </x:row>
    <x:row r="73">
      <x:c r="A73" s="12" t="inlineStr">
        <x:is>
          <x:t xml:space="preserve">EXP-109</x:t>
        </x:is>
      </x:c>
      <x:c r="B73" s="12" t="inlineStr">
        <x:is>
          <x:t xml:space="preserve">Alliance to Feed the Earth in Disasters</x:t>
        </x:is>
      </x:c>
      <x:c r="C73" s="12" t="inlineStr">
        <x:is>
          <x:t xml:space="preserve">previous_160_frozen</x:t>
        </x:is>
      </x:c>
      <x:c r="D73" s="13" t="inlineStr">
        <x:is>
          <x:t xml:space="preserve">AI, catastrophic risk, biosecurity, and technology policy</x:t>
        </x:is>
      </x:c>
      <x:c r="E73" s="12" t="inlineStr">
        <x:is>
          <x:t xml:space="preserve">EA-adjacent</x:t>
        </x:is>
      </x:c>
      <x:c r="F73" s="12" t="inlineStr">
        <x:is>
          <x:t xml:space="preserve">independent nonprofit</x:t>
        </x:is>
      </x:c>
      <x:c r="G73" s="12" t="inlineStr">
        <x:is>
          <x:t xml:space="preserve">no</x:t>
        </x:is>
      </x:c>
      <x:c r="H73" s="12" t="inlineStr">
        <x:is>
          <x:t xml:space="preserve">included</x:t>
        </x:is>
      </x:c>
      <x:c r="I73" s="12" t="inlineStr">
        <x:is>
          <x:t xml:space="preserve">Tier C</x:t>
        </x:is>
      </x:c>
      <x:c r="J73" s="13" t="inlineStr">
        <x:is>
          <x:t xml:space="preserve">Selected under frozen function/scale/EA/structure rules; compensation did not determine selection.</x:t>
        </x:is>
      </x:c>
      <x:c r="K73" s="12" t="inlineStr">
        <x:is>
          <x:t xml:space="preserve">not collected</x:t>
        </x:is>
      </x:c>
      <x:c r="L73" s="16" t="inlineStr">
        <x:is>
          <x:t xml:space="preserve">https://80000hours.org/topic/top-recommended-organisations/</x:t>
        </x:is>
      </x:c>
    </x:row>
    <x:row r="74">
      <x:c r="A74" s="12" t="inlineStr">
        <x:is>
          <x:t xml:space="preserve">EXP-075</x:t>
        </x:is>
      </x:c>
      <x:c r="B74" s="12" t="inlineStr">
        <x:is>
          <x:t xml:space="preserve">New Harvest</x:t>
        </x:is>
      </x:c>
      <x:c r="C74" s="12" t="inlineStr">
        <x:is>
          <x:t xml:space="preserve">previous_160_frozen</x:t>
        </x:is>
      </x:c>
      <x:c r="D74" s="12" t="inlineStr">
        <x:is>
          <x:t xml:space="preserve">Animal welfare and food systems</x:t>
        </x:is>
      </x:c>
      <x:c r="E74" s="12" t="inlineStr">
        <x:is>
          <x:t xml:space="preserve">EA-adjacent</x:t>
        </x:is>
      </x:c>
      <x:c r="F74" s="12" t="inlineStr">
        <x:is>
          <x:t xml:space="preserve">independent nonprofit</x:t>
        </x:is>
      </x:c>
      <x:c r="G74" s="12" t="inlineStr">
        <x:is>
          <x:t xml:space="preserve">no</x:t>
        </x:is>
      </x:c>
      <x:c r="H74" s="12" t="inlineStr">
        <x:is>
          <x:t xml:space="preserve">included</x:t>
        </x:is>
      </x:c>
      <x:c r="I74" s="12" t="inlineStr">
        <x:is>
          <x:t xml:space="preserve">Tier C</x:t>
        </x:is>
      </x:c>
      <x:c r="J74" s="13" t="inlineStr">
        <x:is>
          <x:t xml:space="preserve">Selected under frozen function/scale/EA/structure rules; compensation did not determine selection.</x:t>
        </x:is>
      </x:c>
      <x:c r="K74" s="12" t="inlineStr">
        <x:is>
          <x:t xml:space="preserve">not collected</x:t>
        </x:is>
      </x:c>
      <x:c r="L74" s="16" t="inlineStr">
        <x:is>
          <x:t xml:space="preserve">https://forum.effectivealtruism.org/topics/organizations-and-projects-in-effective-altruism</x:t>
        </x:is>
      </x:c>
    </x:row>
    <x:row r="75">
      <x:c r="A75" s="12" t="inlineStr">
        <x:is>
          <x:t xml:space="preserve">EXP-088</x:t>
        </x:is>
      </x:c>
      <x:c r="B75" s="12" t="inlineStr">
        <x:is>
          <x:t xml:space="preserve">Nonhuman Rights Project</x:t>
        </x:is>
      </x:c>
      <x:c r="C75" s="12" t="inlineStr">
        <x:is>
          <x:t xml:space="preserve">previous_160_frozen</x:t>
        </x:is>
      </x:c>
      <x:c r="D75" s="12" t="inlineStr">
        <x:is>
          <x:t xml:space="preserve">Animal welfare and food systems</x:t>
        </x:is>
      </x:c>
      <x:c r="E75" s="12" t="inlineStr">
        <x:is>
          <x:t xml:space="preserve">EA-adjacent</x:t>
        </x:is>
      </x:c>
      <x:c r="F75" s="12" t="inlineStr">
        <x:is>
          <x:t xml:space="preserve">independent nonprofit</x:t>
        </x:is>
      </x:c>
      <x:c r="G75" s="12" t="inlineStr">
        <x:is>
          <x:t xml:space="preserve">no</x:t>
        </x:is>
      </x:c>
      <x:c r="H75" s="12" t="inlineStr">
        <x:is>
          <x:t xml:space="preserve">included</x:t>
        </x:is>
      </x:c>
      <x:c r="I75" s="12" t="inlineStr">
        <x:is>
          <x:t xml:space="preserve">Tier C</x:t>
        </x:is>
      </x:c>
      <x:c r="J75" s="13" t="inlineStr">
        <x:is>
          <x:t xml:space="preserve">Selected under frozen function/scale/EA/structure rules; compensation did not determine selection.</x:t>
        </x:is>
      </x:c>
      <x:c r="K75" s="12" t="inlineStr">
        <x:is>
          <x:t xml:space="preserve">not collected</x:t>
        </x:is>
      </x:c>
      <x:c r="L75" s="16" t="inlineStr">
        <x:is>
          <x:t xml:space="preserve">https://forum.effectivealtruism.org/topics/organizations-and-projects-in-effective-altruism</x:t>
        </x:is>
      </x:c>
    </x:row>
    <x:row r="76">
      <x:c r="A76" s="12" t="inlineStr">
        <x:is>
          <x:t xml:space="preserve">EXP-076</x:t>
        </x:is>
      </x:c>
      <x:c r="B76" s="12" t="inlineStr">
        <x:is>
          <x:t xml:space="preserve">Aquatic Life Institute</x:t>
        </x:is>
      </x:c>
      <x:c r="C76" s="12" t="inlineStr">
        <x:is>
          <x:t xml:space="preserve">previous_160_frozen</x:t>
        </x:is>
      </x:c>
      <x:c r="D76" s="12" t="inlineStr">
        <x:is>
          <x:t xml:space="preserve">Animal welfare and food systems</x:t>
        </x:is>
      </x:c>
      <x:c r="E76" s="12" t="inlineStr">
        <x:is>
          <x:t xml:space="preserve">EA-adjacent</x:t>
        </x:is>
      </x:c>
      <x:c r="F76" s="12" t="inlineStr">
        <x:is>
          <x:t xml:space="preserve">independent nonprofit</x:t>
        </x:is>
      </x:c>
      <x:c r="G76" s="12" t="inlineStr">
        <x:is>
          <x:t xml:space="preserve">no</x:t>
        </x:is>
      </x:c>
      <x:c r="H76" s="12" t="inlineStr">
        <x:is>
          <x:t xml:space="preserve">included</x:t>
        </x:is>
      </x:c>
      <x:c r="I76" s="12" t="inlineStr">
        <x:is>
          <x:t xml:space="preserve">Tier C</x:t>
        </x:is>
      </x:c>
      <x:c r="J76" s="13" t="inlineStr">
        <x:is>
          <x:t xml:space="preserve">Selected under frozen function/scale/EA/structure rules; compensation did not determine selection.</x:t>
        </x:is>
      </x:c>
      <x:c r="K76" s="12" t="inlineStr">
        <x:is>
          <x:t xml:space="preserve">not collected</x:t>
        </x:is>
      </x:c>
      <x:c r="L76" s="16" t="inlineStr">
        <x:is>
          <x:t xml:space="preserve">https://forum.effectivealtruism.org/topics/organizations-and-projects-in-effective-altruism</x:t>
        </x:is>
      </x:c>
    </x:row>
    <x:row r="77">
      <x:c r="A77" s="12" t="inlineStr">
        <x:is>
          <x:t xml:space="preserve">EXP-073</x:t>
        </x:is>
      </x:c>
      <x:c r="B77" s="12" t="inlineStr">
        <x:is>
          <x:t xml:space="preserve">Farm Forward</x:t>
        </x:is>
      </x:c>
      <x:c r="C77" s="12" t="inlineStr">
        <x:is>
          <x:t xml:space="preserve">previous_160_frozen</x:t>
        </x:is>
      </x:c>
      <x:c r="D77" s="12" t="inlineStr">
        <x:is>
          <x:t xml:space="preserve">Animal welfare and food systems</x:t>
        </x:is>
      </x:c>
      <x:c r="E77" s="12" t="inlineStr">
        <x:is>
          <x:t xml:space="preserve">EA-adjacent</x:t>
        </x:is>
      </x:c>
      <x:c r="F77" s="12" t="inlineStr">
        <x:is>
          <x:t xml:space="preserve">independent nonprofit</x:t>
        </x:is>
      </x:c>
      <x:c r="G77" s="12" t="inlineStr">
        <x:is>
          <x:t xml:space="preserve">no</x:t>
        </x:is>
      </x:c>
      <x:c r="H77" s="12" t="inlineStr">
        <x:is>
          <x:t xml:space="preserve">included</x:t>
        </x:is>
      </x:c>
      <x:c r="I77" s="12" t="inlineStr">
        <x:is>
          <x:t xml:space="preserve">Tier C</x:t>
        </x:is>
      </x:c>
      <x:c r="J77" s="13" t="inlineStr">
        <x:is>
          <x:t xml:space="preserve">Selected under frozen function/scale/EA/structure rules; compensation did not determine selection.</x:t>
        </x:is>
      </x:c>
      <x:c r="K77" s="12" t="inlineStr">
        <x:is>
          <x:t xml:space="preserve">not collected</x:t>
        </x:is>
      </x:c>
      <x:c r="L77" s="16" t="inlineStr">
        <x:is>
          <x:t xml:space="preserve">https://forum.effectivealtruism.org/topics/organizations-and-projects-in-effective-altruism</x:t>
        </x:is>
      </x:c>
    </x:row>
    <x:row r="78">
      <x:c r="A78" s="12" t="inlineStr">
        <x:is>
          <x:t xml:space="preserve">EXP-143</x:t>
        </x:is>
      </x:c>
      <x:c r="B78" s="12" t="inlineStr">
        <x:is>
          <x:t xml:space="preserve">Public Library of Science</x:t>
        </x:is>
      </x:c>
      <x:c r="C78" s="12" t="inlineStr">
        <x:is>
          <x:t xml:space="preserve">previous_160_frozen</x:t>
        </x:is>
      </x:c>
      <x:c r="D78" s="13" t="inlineStr">
        <x:is>
          <x:t xml:space="preserve">Research, evaluation, philanthropy infrastructure, and policy</x:t>
        </x:is>
      </x:c>
      <x:c r="E78" s="12" t="inlineStr">
        <x:is>
          <x:t xml:space="preserve">functional-only</x:t>
        </x:is>
      </x:c>
      <x:c r="F78" s="12" t="inlineStr">
        <x:is>
          <x:t xml:space="preserve">independent nonprofit</x:t>
        </x:is>
      </x:c>
      <x:c r="G78" s="12" t="inlineStr">
        <x:is>
          <x:t xml:space="preserve">no</x:t>
        </x:is>
      </x:c>
      <x:c r="H78" s="12" t="inlineStr">
        <x:is>
          <x:t xml:space="preserve">included</x:t>
        </x:is>
      </x:c>
      <x:c r="I78" s="12" t="inlineStr">
        <x:is>
          <x:t xml:space="preserve">Tier C</x:t>
        </x:is>
      </x:c>
      <x:c r="J78" s="13" t="inlineStr">
        <x:is>
          <x:t xml:space="preserve">Selected under frozen function/scale/EA/structure rules; compensation did not determine selection.</x:t>
        </x:is>
      </x:c>
      <x:c r="K78" s="12" t="inlineStr">
        <x:is>
          <x:t xml:space="preserve">not collected</x:t>
        </x:is>
      </x:c>
      <x:c r="L78" s="17" t="inlineStr">
        <x:is>
          <x:t xml:space="preserve">https://projects.propublica.org/nonprofits/</x:t>
        </x:is>
      </x:c>
    </x:row>
    <x:row r="79">
      <x:c r="A79" s="12" t="inlineStr">
        <x:is>
          <x:t xml:space="preserve">EXP-082</x:t>
        </x:is>
      </x:c>
      <x:c r="B79" s="12" t="inlineStr">
        <x:is>
          <x:t xml:space="preserve">Sentience Institute</x:t>
        </x:is>
      </x:c>
      <x:c r="C79" s="12" t="inlineStr">
        <x:is>
          <x:t xml:space="preserve">previous_160_frozen</x:t>
        </x:is>
      </x:c>
      <x:c r="D79" s="12" t="inlineStr">
        <x:is>
          <x:t xml:space="preserve">Animal welfare and food systems</x:t>
        </x:is>
      </x:c>
      <x:c r="E79" s="12" t="inlineStr">
        <x:is>
          <x:t xml:space="preserve">EA-adjacent</x:t>
        </x:is>
      </x:c>
      <x:c r="F79" s="12" t="inlineStr">
        <x:is>
          <x:t xml:space="preserve">independent nonprofit</x:t>
        </x:is>
      </x:c>
      <x:c r="G79" s="12" t="inlineStr">
        <x:is>
          <x:t xml:space="preserve">no</x:t>
        </x:is>
      </x:c>
      <x:c r="H79" s="12" t="inlineStr">
        <x:is>
          <x:t xml:space="preserve">included</x:t>
        </x:is>
      </x:c>
      <x:c r="I79" s="12" t="inlineStr">
        <x:is>
          <x:t xml:space="preserve">Tier C</x:t>
        </x:is>
      </x:c>
      <x:c r="J79" s="13" t="inlineStr">
        <x:is>
          <x:t xml:space="preserve">Selected under frozen function/scale/EA/structure rules; compensation did not determine selection.</x:t>
        </x:is>
      </x:c>
      <x:c r="K79" s="12" t="inlineStr">
        <x:is>
          <x:t xml:space="preserve">not collected</x:t>
        </x:is>
      </x:c>
      <x:c r="L79" s="16" t="inlineStr">
        <x:is>
          <x:t xml:space="preserve">https://forum.effectivealtruism.org/topics/organizations-and-projects-in-effective-altruism</x:t>
        </x:is>
      </x:c>
    </x:row>
    <x:row r="80">
      <x:c r="A80" s="12" t="inlineStr">
        <x:is>
          <x:t xml:space="preserve">EXP-094</x:t>
        </x:is>
      </x:c>
      <x:c r="B80" s="12" t="inlineStr">
        <x:is>
          <x:t xml:space="preserve">Center for AI Policy</x:t>
        </x:is>
      </x:c>
      <x:c r="C80" s="12" t="inlineStr">
        <x:is>
          <x:t xml:space="preserve">previous_160_frozen</x:t>
        </x:is>
      </x:c>
      <x:c r="D80" s="13" t="inlineStr">
        <x:is>
          <x:t xml:space="preserve">AI, catastrophic risk, biosecurity, and technology policy</x:t>
        </x:is>
      </x:c>
      <x:c r="E80" s="12" t="inlineStr">
        <x:is>
          <x:t xml:space="preserve">EA-adjacent</x:t>
        </x:is>
      </x:c>
      <x:c r="F80" s="12" t="inlineStr">
        <x:is>
          <x:t xml:space="preserve">independent nonprofit</x:t>
        </x:is>
      </x:c>
      <x:c r="G80" s="12" t="inlineStr">
        <x:is>
          <x:t xml:space="preserve">no</x:t>
        </x:is>
      </x:c>
      <x:c r="H80" s="12" t="inlineStr">
        <x:is>
          <x:t xml:space="preserve">included</x:t>
        </x:is>
      </x:c>
      <x:c r="I80" s="12" t="inlineStr">
        <x:is>
          <x:t xml:space="preserve">Tier C</x:t>
        </x:is>
      </x:c>
      <x:c r="J80" s="13" t="inlineStr">
        <x:is>
          <x:t xml:space="preserve">Selected under frozen function/scale/EA/structure rules; compensation did not determine selection.</x:t>
        </x:is>
      </x:c>
      <x:c r="K80" s="12" t="inlineStr">
        <x:is>
          <x:t xml:space="preserve">not collected</x:t>
        </x:is>
      </x:c>
      <x:c r="L80" s="16" t="inlineStr">
        <x:is>
          <x:t xml:space="preserve">https://80000hours.org/topic/top-recommended-organisations/</x:t>
        </x:is>
      </x:c>
    </x:row>
    <x:row r="81">
      <x:c r="A81" s="12" t="inlineStr">
        <x:is>
          <x:t xml:space="preserve">EXP-010</x:t>
        </x:is>
      </x:c>
      <x:c r="B81" s="12" t="inlineStr">
        <x:is>
          <x:t xml:space="preserve">High Impact Athletes</x:t>
        </x:is>
      </x:c>
      <x:c r="C81" s="12" t="inlineStr">
        <x:is>
          <x:t xml:space="preserve">previous_160_frozen</x:t>
        </x:is>
      </x:c>
      <x:c r="D81" s="12" t="inlineStr">
        <x:is>
          <x:t xml:space="preserve">EA infrastructure and effective giving</x:t>
        </x:is>
      </x:c>
      <x:c r="E81" s="12" t="inlineStr">
        <x:is>
          <x:t xml:space="preserve">EA-core</x:t>
        </x:is>
      </x:c>
      <x:c r="F81" s="12" t="inlineStr">
        <x:is>
          <x:t xml:space="preserve">nonprofit or fiscally sponsored</x:t>
        </x:is>
      </x:c>
      <x:c r="G81" s="12" t="inlineStr">
        <x:is>
          <x:t xml:space="preserve">no</x:t>
        </x:is>
      </x:c>
      <x:c r="H81" s="12" t="inlineStr">
        <x:is>
          <x:t xml:space="preserve">included</x:t>
        </x:is>
      </x:c>
      <x:c r="I81" s="12" t="inlineStr">
        <x:is>
          <x:t xml:space="preserve">Tier C</x:t>
        </x:is>
      </x:c>
      <x:c r="J81" s="13" t="inlineStr">
        <x:is>
          <x:t xml:space="preserve">Selected under frozen function/scale/EA/structure rules; compensation did not determine selection.</x:t>
        </x:is>
      </x:c>
      <x:c r="K81" s="12" t="inlineStr">
        <x:is>
          <x:t xml:space="preserve">not collected</x:t>
        </x:is>
      </x:c>
      <x:c r="L81" s="16" t="inlineStr">
        <x:is>
          <x:t xml:space="preserve">https://forum.effectivealtruism.org/posts/dm2uawLLeLbY8WNKM/updates-on-the-effective-giving-ecosystem-mcf-2025-memo</x:t>
        </x:is>
      </x:c>
    </x:row>
    <x:row r="82">
      <x:c r="A82" s="12" t="inlineStr">
        <x:is>
          <x:t xml:space="preserve">EXP-030</x:t>
        </x:is>
      </x:c>
      <x:c r="B82" s="12" t="inlineStr">
        <x:is>
          <x:t xml:space="preserve">Open Philanthropy / Coefficient Giving</x:t>
        </x:is>
      </x:c>
      <x:c r="C82" s="12" t="inlineStr">
        <x:is>
          <x:t xml:space="preserve">previous_160_frozen</x:t>
        </x:is>
      </x:c>
      <x:c r="D82" s="12" t="inlineStr">
        <x:is>
          <x:t xml:space="preserve">EA infrastructure and effective giving</x:t>
        </x:is>
      </x:c>
      <x:c r="E82" s="12" t="inlineStr">
        <x:is>
          <x:t xml:space="preserve">EA-core</x:t>
        </x:is>
      </x:c>
      <x:c r="F82" s="12" t="inlineStr">
        <x:is>
          <x:t xml:space="preserve">philanthropic organization / related entities</x:t>
        </x:is>
      </x:c>
      <x:c r="G82" s="12" t="inlineStr">
        <x:is>
          <x:t xml:space="preserve">no</x:t>
        </x:is>
      </x:c>
      <x:c r="H82" s="12" t="inlineStr">
        <x:is>
          <x:t xml:space="preserve">frozen_candidate_not_selected</x:t>
        </x:is>
      </x:c>
      <x:c r="I82" s="12" t="inlineStr">
        <x:is>
          <x:t xml:space="preserve">not selected</x:t>
        </x:is>
      </x:c>
      <x:c r="J82" s="13" t="inlineStr">
        <x:is>
          <x:t xml:space="preserve">Frozen candidate; not promoted into the 144-organization quantitative reference set during this pass.</x:t>
        </x:is>
      </x:c>
      <x:c r="K82" s="12" t="inlineStr">
        <x:is>
          <x:t xml:space="preserve">not collected</x:t>
        </x:is>
      </x:c>
      <x:c r="L82" s="16" t="inlineStr">
        <x:is>
          <x:t xml:space="preserve">https://forum.effectivealtruism.org/posts/dm2uawLLeLbY8WNKM/updates-on-the-effective-giving-ecosystem-mcf-2025-memo</x:t>
        </x:is>
      </x:c>
    </x:row>
    <x:row r="83">
      <x:c r="A83" s="12" t="inlineStr">
        <x:is>
          <x:t xml:space="preserve">EXP-036</x:t>
        </x:is>
      </x:c>
      <x:c r="B83" s="12" t="inlineStr">
        <x:is>
          <x:t xml:space="preserve">Center for Global Development</x:t>
        </x:is>
      </x:c>
      <x:c r="C83" s="12" t="inlineStr">
        <x:is>
          <x:t xml:space="preserve">previous_160_frozen</x:t>
        </x:is>
      </x:c>
      <x:c r="D83" s="12" t="inlineStr">
        <x:is>
          <x:t xml:space="preserve">Global health, development, and evidence</x:t>
        </x:is>
      </x:c>
      <x:c r="E83" s="12" t="inlineStr">
        <x:is>
          <x:t xml:space="preserve">EA-adjacent</x:t>
        </x:is>
      </x:c>
      <x:c r="F83" s="12" t="inlineStr">
        <x:is>
          <x:t xml:space="preserve">independent nonprofit</x:t>
        </x:is>
      </x:c>
      <x:c r="G83" s="12" t="inlineStr">
        <x:is>
          <x:t xml:space="preserve">no</x:t>
        </x:is>
      </x:c>
      <x:c r="H83" s="12" t="inlineStr">
        <x:is>
          <x:t xml:space="preserve">frozen_candidate_not_selected</x:t>
        </x:is>
      </x:c>
      <x:c r="I83" s="12" t="inlineStr">
        <x:is>
          <x:t xml:space="preserve">not selected</x:t>
        </x:is>
      </x:c>
      <x:c r="J83" s="13" t="inlineStr">
        <x:is>
          <x:t xml:space="preserve">Frozen candidate; not promoted into the 144-organization quantitative reference set during this pass.</x:t>
        </x:is>
      </x:c>
      <x:c r="K83" s="12" t="inlineStr">
        <x:is>
          <x:t xml:space="preserve">not collected</x:t>
        </x:is>
      </x:c>
      <x:c r="L83" s="16" t="inlineStr">
        <x:is>
          <x:t xml:space="preserve">https://forum.effectivealtruism.org/topics/organizations-and-projects-in-effective-altruism</x:t>
        </x:is>
      </x:c>
    </x:row>
    <x:row r="84">
      <x:c r="A84" s="12" t="inlineStr">
        <x:is>
          <x:t xml:space="preserve">EXP-099</x:t>
        </x:is>
      </x:c>
      <x:c r="B84" s="12" t="inlineStr">
        <x:is>
          <x:t xml:space="preserve">Alignment Research Center</x:t>
        </x:is>
      </x:c>
      <x:c r="C84" s="12" t="inlineStr">
        <x:is>
          <x:t xml:space="preserve">previous_160_frozen</x:t>
        </x:is>
      </x:c>
      <x:c r="D84" s="13" t="inlineStr">
        <x:is>
          <x:t xml:space="preserve">AI, catastrophic risk, biosecurity, and technology policy</x:t>
        </x:is>
      </x:c>
      <x:c r="E84" s="12" t="inlineStr">
        <x:is>
          <x:t xml:space="preserve">EA-adjacent</x:t>
        </x:is>
      </x:c>
      <x:c r="F84" s="12" t="inlineStr">
        <x:is>
          <x:t xml:space="preserve">independent nonprofit</x:t>
        </x:is>
      </x:c>
      <x:c r="G84" s="12" t="inlineStr">
        <x:is>
          <x:t xml:space="preserve">no</x:t>
        </x:is>
      </x:c>
      <x:c r="H84" s="12" t="inlineStr">
        <x:is>
          <x:t xml:space="preserve">frozen_candidate_not_selected</x:t>
        </x:is>
      </x:c>
      <x:c r="I84" s="12" t="inlineStr">
        <x:is>
          <x:t xml:space="preserve">not selected</x:t>
        </x:is>
      </x:c>
      <x:c r="J84" s="13" t="inlineStr">
        <x:is>
          <x:t xml:space="preserve">Frozen candidate; not promoted into the 144-organization quantitative reference set during this pass.</x:t>
        </x:is>
      </x:c>
      <x:c r="K84" s="12" t="inlineStr">
        <x:is>
          <x:t xml:space="preserve">not collected</x:t>
        </x:is>
      </x:c>
      <x:c r="L84" s="16" t="inlineStr">
        <x:is>
          <x:t xml:space="preserve">https://80000hours.org/topic/top-recommended-organisations/</x:t>
        </x:is>
      </x:c>
    </x:row>
    <x:row r="85">
      <x:c r="A85" s="12" t="inlineStr">
        <x:is>
          <x:t xml:space="preserve">EXP-091</x:t>
        </x:is>
      </x:c>
      <x:c r="B85" s="12" t="inlineStr">
        <x:is>
          <x:t xml:space="preserve">Machine Intelligence Research Institute</x:t>
        </x:is>
      </x:c>
      <x:c r="C85" s="12" t="inlineStr">
        <x:is>
          <x:t xml:space="preserve">previous_160_frozen</x:t>
        </x:is>
      </x:c>
      <x:c r="D85" s="13" t="inlineStr">
        <x:is>
          <x:t xml:space="preserve">AI, catastrophic risk, biosecurity, and technology policy</x:t>
        </x:is>
      </x:c>
      <x:c r="E85" s="12" t="inlineStr">
        <x:is>
          <x:t xml:space="preserve">EA-adjacent</x:t>
        </x:is>
      </x:c>
      <x:c r="F85" s="12" t="inlineStr">
        <x:is>
          <x:t xml:space="preserve">independent nonprofit</x:t>
        </x:is>
      </x:c>
      <x:c r="G85" s="12" t="inlineStr">
        <x:is>
          <x:t xml:space="preserve">no</x:t>
        </x:is>
      </x:c>
      <x:c r="H85" s="12" t="inlineStr">
        <x:is>
          <x:t xml:space="preserve">frozen_candidate_not_selected</x:t>
        </x:is>
      </x:c>
      <x:c r="I85" s="12" t="inlineStr">
        <x:is>
          <x:t xml:space="preserve">not selected</x:t>
        </x:is>
      </x:c>
      <x:c r="J85" s="13" t="inlineStr">
        <x:is>
          <x:t xml:space="preserve">Frozen candidate; not promoted into the 144-organization quantitative reference set during this pass.</x:t>
        </x:is>
      </x:c>
      <x:c r="K85" s="12" t="inlineStr">
        <x:is>
          <x:t xml:space="preserve">not collected</x:t>
        </x:is>
      </x:c>
      <x:c r="L85" s="16" t="inlineStr">
        <x:is>
          <x:t xml:space="preserve">https://80000hours.org/topic/top-recommended-organisations/</x:t>
        </x:is>
      </x:c>
    </x:row>
    <x:row r="86">
      <x:c r="A86" s="12" t="inlineStr">
        <x:is>
          <x:t xml:space="preserve">EXP-092</x:t>
        </x:is>
      </x:c>
      <x:c r="B86" s="12" t="inlineStr">
        <x:is>
          <x:t xml:space="preserve">Future of Life Institute</x:t>
        </x:is>
      </x:c>
      <x:c r="C86" s="12" t="inlineStr">
        <x:is>
          <x:t xml:space="preserve">previous_160_frozen</x:t>
        </x:is>
      </x:c>
      <x:c r="D86" s="13" t="inlineStr">
        <x:is>
          <x:t xml:space="preserve">AI, catastrophic risk, biosecurity, and technology policy</x:t>
        </x:is>
      </x:c>
      <x:c r="E86" s="12" t="inlineStr">
        <x:is>
          <x:t xml:space="preserve">EA-adjacent</x:t>
        </x:is>
      </x:c>
      <x:c r="F86" s="12" t="inlineStr">
        <x:is>
          <x:t xml:space="preserve">independent nonprofit</x:t>
        </x:is>
      </x:c>
      <x:c r="G86" s="12" t="inlineStr">
        <x:is>
          <x:t xml:space="preserve">no</x:t>
        </x:is>
      </x:c>
      <x:c r="H86" s="12" t="inlineStr">
        <x:is>
          <x:t xml:space="preserve">frozen_candidate_not_selected</x:t>
        </x:is>
      </x:c>
      <x:c r="I86" s="12" t="inlineStr">
        <x:is>
          <x:t xml:space="preserve">not selected</x:t>
        </x:is>
      </x:c>
      <x:c r="J86" s="13" t="inlineStr">
        <x:is>
          <x:t xml:space="preserve">Frozen candidate; not promoted into the 144-organization quantitative reference set during this pass.</x:t>
        </x:is>
      </x:c>
      <x:c r="K86" s="12" t="inlineStr">
        <x:is>
          <x:t xml:space="preserve">not collected</x:t>
        </x:is>
      </x:c>
      <x:c r="L86" s="16" t="inlineStr">
        <x:is>
          <x:t xml:space="preserve">https://80000hours.org/topic/top-recommended-organisations/</x:t>
        </x:is>
      </x:c>
    </x:row>
    <x:row r="87">
      <x:c r="A87" s="12" t="inlineStr">
        <x:is>
          <x:t xml:space="preserve">EXP-118</x:t>
        </x:is>
      </x:c>
      <x:c r="B87" s="12" t="inlineStr">
        <x:is>
          <x:t xml:space="preserve">SecureBio</x:t>
        </x:is>
      </x:c>
      <x:c r="C87" s="12" t="inlineStr">
        <x:is>
          <x:t xml:space="preserve">previous_160_frozen</x:t>
        </x:is>
      </x:c>
      <x:c r="D87" s="13" t="inlineStr">
        <x:is>
          <x:t xml:space="preserve">AI, catastrophic risk, biosecurity, and technology policy</x:t>
        </x:is>
      </x:c>
      <x:c r="E87" s="12" t="inlineStr">
        <x:is>
          <x:t xml:space="preserve">EA-adjacent</x:t>
        </x:is>
      </x:c>
      <x:c r="F87" s="12" t="inlineStr">
        <x:is>
          <x:t xml:space="preserve">nonprofit/project</x:t>
        </x:is>
      </x:c>
      <x:c r="G87" s="12" t="inlineStr">
        <x:is>
          <x:t xml:space="preserve">no</x:t>
        </x:is>
      </x:c>
      <x:c r="H87" s="12" t="inlineStr">
        <x:is>
          <x:t xml:space="preserve">frozen_candidate_not_selected</x:t>
        </x:is>
      </x:c>
      <x:c r="I87" s="12" t="inlineStr">
        <x:is>
          <x:t xml:space="preserve">not selected</x:t>
        </x:is>
      </x:c>
      <x:c r="J87" s="13" t="inlineStr">
        <x:is>
          <x:t xml:space="preserve">Frozen candidate; not promoted into the 144-organization quantitative reference set during this pass.</x:t>
        </x:is>
      </x:c>
      <x:c r="K87" s="12" t="inlineStr">
        <x:is>
          <x:t xml:space="preserve">not collected</x:t>
        </x:is>
      </x:c>
      <x:c r="L87" s="16" t="inlineStr">
        <x:is>
          <x:t xml:space="preserve">https://80000hours.org/topic/top-recommended-organisations/</x:t>
        </x:is>
      </x:c>
    </x:row>
    <x:row r="88">
      <x:c r="A88" s="12" t="inlineStr">
        <x:is>
          <x:t xml:space="preserve">EXP-103</x:t>
        </x:is>
      </x:c>
      <x:c r="B88" s="12" t="inlineStr">
        <x:is>
          <x:t xml:space="preserve">Center for Security and Emerging Technology</x:t>
        </x:is>
      </x:c>
      <x:c r="C88" s="12" t="inlineStr">
        <x:is>
          <x:t xml:space="preserve">previous_160_frozen</x:t>
        </x:is>
      </x:c>
      <x:c r="D88" s="13" t="inlineStr">
        <x:is>
          <x:t xml:space="preserve">AI, catastrophic risk, biosecurity, and technology policy</x:t>
        </x:is>
      </x:c>
      <x:c r="E88" s="12" t="inlineStr">
        <x:is>
          <x:t xml:space="preserve">EA-adjacent</x:t>
        </x:is>
      </x:c>
      <x:c r="F88" s="12" t="inlineStr">
        <x:is>
          <x:t xml:space="preserve">university center</x:t>
        </x:is>
      </x:c>
      <x:c r="G88" s="12" t="inlineStr">
        <x:is>
          <x:t xml:space="preserve">no</x:t>
        </x:is>
      </x:c>
      <x:c r="H88" s="12" t="inlineStr">
        <x:is>
          <x:t xml:space="preserve">frozen_candidate_not_selected</x:t>
        </x:is>
      </x:c>
      <x:c r="I88" s="12" t="inlineStr">
        <x:is>
          <x:t xml:space="preserve">not selected</x:t>
        </x:is>
      </x:c>
      <x:c r="J88" s="13" t="inlineStr">
        <x:is>
          <x:t xml:space="preserve">Frozen candidate; not promoted into the 144-organization quantitative reference set during this pass.</x:t>
        </x:is>
      </x:c>
      <x:c r="K88" s="12" t="inlineStr">
        <x:is>
          <x:t xml:space="preserve">not collected</x:t>
        </x:is>
      </x:c>
      <x:c r="L88" s="16" t="inlineStr">
        <x:is>
          <x:t xml:space="preserve">https://80000hours.org/topic/top-recommended-organisations/</x:t>
        </x:is>
      </x:c>
    </x:row>
    <x:row r="89">
      <x:c r="A89" s="12" t="inlineStr">
        <x:is>
          <x:t xml:space="preserve">EXP-120</x:t>
        </x:is>
      </x:c>
      <x:c r="B89" s="12" t="inlineStr">
        <x:is>
          <x:t xml:space="preserve">AI Now Institute</x:t>
        </x:is>
      </x:c>
      <x:c r="C89" s="12" t="inlineStr">
        <x:is>
          <x:t xml:space="preserve">previous_160_frozen</x:t>
        </x:is>
      </x:c>
      <x:c r="D89" s="13" t="inlineStr">
        <x:is>
          <x:t xml:space="preserve">AI, catastrophic risk, biosecurity, and technology policy</x:t>
        </x:is>
      </x:c>
      <x:c r="E89" s="12" t="inlineStr">
        <x:is>
          <x:t xml:space="preserve">EA-adjacent</x:t>
        </x:is>
      </x:c>
      <x:c r="F89" s="12" t="inlineStr">
        <x:is>
          <x:t xml:space="preserve">independent nonprofit</x:t>
        </x:is>
      </x:c>
      <x:c r="G89" s="12" t="inlineStr">
        <x:is>
          <x:t xml:space="preserve">no</x:t>
        </x:is>
      </x:c>
      <x:c r="H89" s="12" t="inlineStr">
        <x:is>
          <x:t xml:space="preserve">frozen_candidate_not_selected</x:t>
        </x:is>
      </x:c>
      <x:c r="I89" s="12" t="inlineStr">
        <x:is>
          <x:t xml:space="preserve">not selected</x:t>
        </x:is>
      </x:c>
      <x:c r="J89" s="13" t="inlineStr">
        <x:is>
          <x:t xml:space="preserve">Frozen candidate; not promoted into the 144-organization quantitative reference set during this pass.</x:t>
        </x:is>
      </x:c>
      <x:c r="K89" s="12" t="inlineStr">
        <x:is>
          <x:t xml:space="preserve">not collected</x:t>
        </x:is>
      </x:c>
      <x:c r="L89" s="16" t="inlineStr">
        <x:is>
          <x:t xml:space="preserve">https://80000hours.org/topic/top-recommended-organisations/</x:t>
        </x:is>
      </x:c>
    </x:row>
    <x:row r="90">
      <x:c r="A90" s="12" t="inlineStr">
        <x:is>
          <x:t xml:space="preserve">EXP-108</x:t>
        </x:is>
      </x:c>
      <x:c r="B90" s="12" t="inlineStr">
        <x:is>
          <x:t xml:space="preserve">Global Catastrophic Risk Institute</x:t>
        </x:is>
      </x:c>
      <x:c r="C90" s="12" t="inlineStr">
        <x:is>
          <x:t xml:space="preserve">previous_160_frozen</x:t>
        </x:is>
      </x:c>
      <x:c r="D90" s="13" t="inlineStr">
        <x:is>
          <x:t xml:space="preserve">AI, catastrophic risk, biosecurity, and technology policy</x:t>
        </x:is>
      </x:c>
      <x:c r="E90" s="12" t="inlineStr">
        <x:is>
          <x:t xml:space="preserve">EA-adjacent</x:t>
        </x:is>
      </x:c>
      <x:c r="F90" s="12" t="inlineStr">
        <x:is>
          <x:t xml:space="preserve">independent nonprofit</x:t>
        </x:is>
      </x:c>
      <x:c r="G90" s="12" t="inlineStr">
        <x:is>
          <x:t xml:space="preserve">no</x:t>
        </x:is>
      </x:c>
      <x:c r="H90" s="12" t="inlineStr">
        <x:is>
          <x:t xml:space="preserve">frozen_candidate_not_selected</x:t>
        </x:is>
      </x:c>
      <x:c r="I90" s="12" t="inlineStr">
        <x:is>
          <x:t xml:space="preserve">not selected</x:t>
        </x:is>
      </x:c>
      <x:c r="J90" s="13" t="inlineStr">
        <x:is>
          <x:t xml:space="preserve">Frozen candidate; not promoted into the 144-organization quantitative reference set during this pass.</x:t>
        </x:is>
      </x:c>
      <x:c r="K90" s="12" t="inlineStr">
        <x:is>
          <x:t xml:space="preserve">not collected</x:t>
        </x:is>
      </x:c>
      <x:c r="L90" s="16" t="inlineStr">
        <x:is>
          <x:t xml:space="preserve">https://80000hours.org/topic/top-recommended-organisations/</x:t>
        </x:is>
      </x:c>
    </x:row>
    <x:row r="91">
      <x:c r="A91" s="12" t="inlineStr">
        <x:is>
          <x:t xml:space="preserve">EXP-007</x:t>
        </x:is>
      </x:c>
      <x:c r="B91" s="12" t="inlineStr">
        <x:is>
          <x:t xml:space="preserve">Founders Pledge</x:t>
        </x:is>
      </x:c>
      <x:c r="C91" s="12" t="inlineStr">
        <x:is>
          <x:t xml:space="preserve">previous_160_frozen</x:t>
        </x:is>
      </x:c>
      <x:c r="D91" s="12" t="inlineStr">
        <x:is>
          <x:t xml:space="preserve">EA infrastructure and effective giving</x:t>
        </x:is>
      </x:c>
      <x:c r="E91" s="12" t="inlineStr">
        <x:is>
          <x:t xml:space="preserve">EA-core</x:t>
        </x:is>
      </x:c>
      <x:c r="F91" s="12" t="inlineStr">
        <x:is>
          <x:t xml:space="preserve">international nonprofit group</x:t>
        </x:is>
      </x:c>
      <x:c r="G91" s="12" t="inlineStr">
        <x:is>
          <x:t xml:space="preserve">no</x:t>
        </x:is>
      </x:c>
      <x:c r="H91" s="12" t="inlineStr">
        <x:is>
          <x:t xml:space="preserve">frozen_candidate_not_selected</x:t>
        </x:is>
      </x:c>
      <x:c r="I91" s="12" t="inlineStr">
        <x:is>
          <x:t xml:space="preserve">not selected</x:t>
        </x:is>
      </x:c>
      <x:c r="J91" s="13" t="inlineStr">
        <x:is>
          <x:t xml:space="preserve">Frozen candidate; not promoted into the 144-organization quantitative reference set during this pass.</x:t>
        </x:is>
      </x:c>
      <x:c r="K91" s="12" t="inlineStr">
        <x:is>
          <x:t xml:space="preserve">not collected</x:t>
        </x:is>
      </x:c>
      <x:c r="L91" s="16" t="inlineStr">
        <x:is>
          <x:t xml:space="preserve">https://forum.effectivealtruism.org/posts/dm2uawLLeLbY8WNKM/updates-on-the-effective-giving-ecosystem-mcf-2025-memo</x:t>
        </x:is>
      </x:c>
    </x:row>
    <x:row r="92">
      <x:c r="A92" s="12" t="inlineStr">
        <x:is>
          <x:t xml:space="preserve">EXP-095</x:t>
        </x:is>
      </x:c>
      <x:c r="B92" s="12" t="inlineStr">
        <x:is>
          <x:t xml:space="preserve">Institute for AI Policy and Strategy</x:t>
        </x:is>
      </x:c>
      <x:c r="C92" s="12" t="inlineStr">
        <x:is>
          <x:t xml:space="preserve">previous_160_frozen</x:t>
        </x:is>
      </x:c>
      <x:c r="D92" s="13" t="inlineStr">
        <x:is>
          <x:t xml:space="preserve">AI, catastrophic risk, biosecurity, and technology policy</x:t>
        </x:is>
      </x:c>
      <x:c r="E92" s="12" t="inlineStr">
        <x:is>
          <x:t xml:space="preserve">EA-adjacent</x:t>
        </x:is>
      </x:c>
      <x:c r="F92" s="12" t="inlineStr">
        <x:is>
          <x:t xml:space="preserve">independent nonprofit</x:t>
        </x:is>
      </x:c>
      <x:c r="G92" s="12" t="inlineStr">
        <x:is>
          <x:t xml:space="preserve">no</x:t>
        </x:is>
      </x:c>
      <x:c r="H92" s="12" t="inlineStr">
        <x:is>
          <x:t xml:space="preserve">frozen_candidate_not_selected</x:t>
        </x:is>
      </x:c>
      <x:c r="I92" s="12" t="inlineStr">
        <x:is>
          <x:t xml:space="preserve">not selected</x:t>
        </x:is>
      </x:c>
      <x:c r="J92" s="13" t="inlineStr">
        <x:is>
          <x:t xml:space="preserve">Frozen candidate; not promoted into the 144-organization quantitative reference set during this pass.</x:t>
        </x:is>
      </x:c>
      <x:c r="K92" s="12" t="inlineStr">
        <x:is>
          <x:t xml:space="preserve">not collected</x:t>
        </x:is>
      </x:c>
      <x:c r="L92" s="16" t="inlineStr">
        <x:is>
          <x:t xml:space="preserve">https://80000hours.org/topic/top-recommended-organisations/</x:t>
        </x:is>
      </x:c>
    </x:row>
    <x:row r="93">
      <x:c r="A93" s="12" t="inlineStr">
        <x:is>
          <x:t xml:space="preserve">EXP-061</x:t>
        </x:is>
      </x:c>
      <x:c r="B93" s="12" t="inlineStr">
        <x:is>
          <x:t xml:space="preserve">Animal Charity Evaluators</x:t>
        </x:is>
      </x:c>
      <x:c r="C93" s="12" t="inlineStr">
        <x:is>
          <x:t xml:space="preserve">previous_160_frozen</x:t>
        </x:is>
      </x:c>
      <x:c r="D93" s="12" t="inlineStr">
        <x:is>
          <x:t xml:space="preserve">Animal welfare and food systems</x:t>
        </x:is>
      </x:c>
      <x:c r="E93" s="12" t="inlineStr">
        <x:is>
          <x:t xml:space="preserve">EA-adjacent</x:t>
        </x:is>
      </x:c>
      <x:c r="F93" s="12" t="inlineStr">
        <x:is>
          <x:t xml:space="preserve">independent nonprofit</x:t>
        </x:is>
      </x:c>
      <x:c r="G93" s="12" t="inlineStr">
        <x:is>
          <x:t xml:space="preserve">no</x:t>
        </x:is>
      </x:c>
      <x:c r="H93" s="12" t="inlineStr">
        <x:is>
          <x:t xml:space="preserve">frozen_candidate_not_selected</x:t>
        </x:is>
      </x:c>
      <x:c r="I93" s="12" t="inlineStr">
        <x:is>
          <x:t xml:space="preserve">not selected</x:t>
        </x:is>
      </x:c>
      <x:c r="J93" s="13" t="inlineStr">
        <x:is>
          <x:t xml:space="preserve">Frozen candidate; not promoted into the 144-organization quantitative reference set during this pass.</x:t>
        </x:is>
      </x:c>
      <x:c r="K93" s="12" t="inlineStr">
        <x:is>
          <x:t xml:space="preserve">not collected</x:t>
        </x:is>
      </x:c>
      <x:c r="L93" s="16" t="inlineStr">
        <x:is>
          <x:t xml:space="preserve">https://forum.effectivealtruism.org/topics/organizations-and-projects-in-effective-altruism</x:t>
        </x:is>
      </x:c>
    </x:row>
    <x:row r="94">
      <x:c r="A94" s="12" t="inlineStr">
        <x:is>
          <x:t xml:space="preserve">EXP-102</x:t>
        </x:is>
      </x:c>
      <x:c r="B94" s="12" t="inlineStr">
        <x:is>
          <x:t xml:space="preserve">Center for Human-Compatible AI</x:t>
        </x:is>
      </x:c>
      <x:c r="C94" s="12" t="inlineStr">
        <x:is>
          <x:t xml:space="preserve">previous_160_frozen</x:t>
        </x:is>
      </x:c>
      <x:c r="D94" s="13" t="inlineStr">
        <x:is>
          <x:t xml:space="preserve">AI, catastrophic risk, biosecurity, and technology policy</x:t>
        </x:is>
      </x:c>
      <x:c r="E94" s="12" t="inlineStr">
        <x:is>
          <x:t xml:space="preserve">EA-adjacent</x:t>
        </x:is>
      </x:c>
      <x:c r="F94" s="12" t="inlineStr">
        <x:is>
          <x:t xml:space="preserve">university center</x:t>
        </x:is>
      </x:c>
      <x:c r="G94" s="12" t="inlineStr">
        <x:is>
          <x:t xml:space="preserve">no</x:t>
        </x:is>
      </x:c>
      <x:c r="H94" s="12" t="inlineStr">
        <x:is>
          <x:t xml:space="preserve">frozen_candidate_not_selected</x:t>
        </x:is>
      </x:c>
      <x:c r="I94" s="12" t="inlineStr">
        <x:is>
          <x:t xml:space="preserve">not selected</x:t>
        </x:is>
      </x:c>
      <x:c r="J94" s="13" t="inlineStr">
        <x:is>
          <x:t xml:space="preserve">Frozen candidate; not promoted into the 144-organization quantitative reference set during this pass.</x:t>
        </x:is>
      </x:c>
      <x:c r="K94" s="12" t="inlineStr">
        <x:is>
          <x:t xml:space="preserve">not collected</x:t>
        </x:is>
      </x:c>
      <x:c r="L94" s="16" t="inlineStr">
        <x:is>
          <x:t xml:space="preserve">https://80000hours.org/topic/top-recommended-organisations/</x:t>
        </x:is>
      </x:c>
    </x:row>
    <x:row r="95">
      <x:c r="A95" s="12" t="inlineStr">
        <x:is>
          <x:t xml:space="preserve">EXP-112</x:t>
        </x:is>
      </x:c>
      <x:c r="B95" s="12" t="inlineStr">
        <x:is>
          <x:t xml:space="preserve">Center on Long-Term Risk</x:t>
        </x:is>
      </x:c>
      <x:c r="C95" s="12" t="inlineStr">
        <x:is>
          <x:t xml:space="preserve">previous_160_frozen</x:t>
        </x:is>
      </x:c>
      <x:c r="D95" s="13" t="inlineStr">
        <x:is>
          <x:t xml:space="preserve">AI, catastrophic risk, biosecurity, and technology policy</x:t>
        </x:is>
      </x:c>
      <x:c r="E95" s="12" t="inlineStr">
        <x:is>
          <x:t xml:space="preserve">EA-adjacent</x:t>
        </x:is>
      </x:c>
      <x:c r="F95" s="12" t="inlineStr">
        <x:is>
          <x:t xml:space="preserve">independent nonprofit</x:t>
        </x:is>
      </x:c>
      <x:c r="G95" s="12" t="inlineStr">
        <x:is>
          <x:t xml:space="preserve">no</x:t>
        </x:is>
      </x:c>
      <x:c r="H95" s="12" t="inlineStr">
        <x:is>
          <x:t xml:space="preserve">frozen_candidate_not_selected</x:t>
        </x:is>
      </x:c>
      <x:c r="I95" s="12" t="inlineStr">
        <x:is>
          <x:t xml:space="preserve">not selected</x:t>
        </x:is>
      </x:c>
      <x:c r="J95" s="13" t="inlineStr">
        <x:is>
          <x:t xml:space="preserve">Frozen candidate; not promoted into the 144-organization quantitative reference set during this pass.</x:t>
        </x:is>
      </x:c>
      <x:c r="K95" s="12" t="inlineStr">
        <x:is>
          <x:t xml:space="preserve">not collected</x:t>
        </x:is>
      </x:c>
      <x:c r="L95" s="16" t="inlineStr">
        <x:is>
          <x:t xml:space="preserve">https://80000hours.org/topic/top-recommended-organisations/</x:t>
        </x:is>
      </x:c>
    </x:row>
    <x:row r="96">
      <x:c r="A96" s="12" t="inlineStr">
        <x:is>
          <x:t xml:space="preserve">EXP-104</x:t>
        </x:is>
      </x:c>
      <x:c r="B96" s="12" t="inlineStr">
        <x:is>
          <x:t xml:space="preserve">Centre for the Governance of AI</x:t>
        </x:is>
      </x:c>
      <x:c r="C96" s="12" t="inlineStr">
        <x:is>
          <x:t xml:space="preserve">previous_160_frozen</x:t>
        </x:is>
      </x:c>
      <x:c r="D96" s="13" t="inlineStr">
        <x:is>
          <x:t xml:space="preserve">AI, catastrophic risk, biosecurity, and technology policy</x:t>
        </x:is>
      </x:c>
      <x:c r="E96" s="12" t="inlineStr">
        <x:is>
          <x:t xml:space="preserve">EA-adjacent</x:t>
        </x:is>
      </x:c>
      <x:c r="F96" s="12" t="inlineStr">
        <x:is>
          <x:t xml:space="preserve">independent charity</x:t>
        </x:is>
      </x:c>
      <x:c r="G96" s="12" t="inlineStr">
        <x:is>
          <x:t xml:space="preserve">no</x:t>
        </x:is>
      </x:c>
      <x:c r="H96" s="12" t="inlineStr">
        <x:is>
          <x:t xml:space="preserve">frozen_candidate_not_selected</x:t>
        </x:is>
      </x:c>
      <x:c r="I96" s="12" t="inlineStr">
        <x:is>
          <x:t xml:space="preserve">not selected</x:t>
        </x:is>
      </x:c>
      <x:c r="J96" s="13" t="inlineStr">
        <x:is>
          <x:t xml:space="preserve">Frozen candidate; not promoted into the 144-organization quantitative reference set during this pass.</x:t>
        </x:is>
      </x:c>
      <x:c r="K96" s="12" t="inlineStr">
        <x:is>
          <x:t xml:space="preserve">not collected</x:t>
        </x:is>
      </x:c>
      <x:c r="L96" s="16" t="inlineStr">
        <x:is>
          <x:t xml:space="preserve">https://80000hours.org/topic/top-recommended-organisations/</x:t>
        </x:is>
      </x:c>
    </x:row>
    <x:row r="97">
      <x:c r="A97" s="12" t="inlineStr">
        <x:is>
          <x:t xml:space="preserve">EXP-107</x:t>
        </x:is>
      </x:c>
      <x:c r="B97" s="12" t="inlineStr">
        <x:is>
          <x:t xml:space="preserve">Existential Risk Alliance</x:t>
        </x:is>
      </x:c>
      <x:c r="C97" s="12" t="inlineStr">
        <x:is>
          <x:t xml:space="preserve">previous_160_frozen</x:t>
        </x:is>
      </x:c>
      <x:c r="D97" s="13" t="inlineStr">
        <x:is>
          <x:t xml:space="preserve">AI, catastrophic risk, biosecurity, and technology policy</x:t>
        </x:is>
      </x:c>
      <x:c r="E97" s="12" t="inlineStr">
        <x:is>
          <x:t xml:space="preserve">EA-adjacent</x:t>
        </x:is>
      </x:c>
      <x:c r="F97" s="12" t="inlineStr">
        <x:is>
          <x:t xml:space="preserve">nonprofit/project</x:t>
        </x:is>
      </x:c>
      <x:c r="G97" s="12" t="inlineStr">
        <x:is>
          <x:t xml:space="preserve">no</x:t>
        </x:is>
      </x:c>
      <x:c r="H97" s="12" t="inlineStr">
        <x:is>
          <x:t xml:space="preserve">frozen_candidate_not_selected</x:t>
        </x:is>
      </x:c>
      <x:c r="I97" s="12" t="inlineStr">
        <x:is>
          <x:t xml:space="preserve">not selected</x:t>
        </x:is>
      </x:c>
      <x:c r="J97" s="13" t="inlineStr">
        <x:is>
          <x:t xml:space="preserve">Frozen candidate; not promoted into the 144-organization quantitative reference set during this pass.</x:t>
        </x:is>
      </x:c>
      <x:c r="K97" s="12" t="inlineStr">
        <x:is>
          <x:t xml:space="preserve">not collected</x:t>
        </x:is>
      </x:c>
      <x:c r="L97" s="16" t="inlineStr">
        <x:is>
          <x:t xml:space="preserve">https://80000hours.org/topic/top-recommended-organisations/</x:t>
        </x:is>
      </x:c>
    </x:row>
    <x:row r="98">
      <x:c r="A98" s="12" t="inlineStr">
        <x:is>
          <x:t xml:space="preserve">EXP-105</x:t>
        </x:is>
      </x:c>
      <x:c r="B98" s="12" t="inlineStr">
        <x:is>
          <x:t xml:space="preserve">Apollo Research</x:t>
        </x:is>
      </x:c>
      <x:c r="C98" s="12" t="inlineStr">
        <x:is>
          <x:t xml:space="preserve">previous_160_frozen</x:t>
        </x:is>
      </x:c>
      <x:c r="D98" s="13" t="inlineStr">
        <x:is>
          <x:t xml:space="preserve">AI, catastrophic risk, biosecurity, and technology policy</x:t>
        </x:is>
      </x:c>
      <x:c r="E98" s="12" t="inlineStr">
        <x:is>
          <x:t xml:space="preserve">EA-adjacent</x:t>
        </x:is>
      </x:c>
      <x:c r="F98" s="12" t="inlineStr">
        <x:is>
          <x:t xml:space="preserve">independent nonprofit</x:t>
        </x:is>
      </x:c>
      <x:c r="G98" s="12" t="inlineStr">
        <x:is>
          <x:t xml:space="preserve">no</x:t>
        </x:is>
      </x:c>
      <x:c r="H98" s="12" t="inlineStr">
        <x:is>
          <x:t xml:space="preserve">frozen_candidate_not_selected</x:t>
        </x:is>
      </x:c>
      <x:c r="I98" s="12" t="inlineStr">
        <x:is>
          <x:t xml:space="preserve">not selected</x:t>
        </x:is>
      </x:c>
      <x:c r="J98" s="13" t="inlineStr">
        <x:is>
          <x:t xml:space="preserve">Frozen candidate; not promoted into the 144-organization quantitative reference set during this pass.</x:t>
        </x:is>
      </x:c>
      <x:c r="K98" s="12" t="inlineStr">
        <x:is>
          <x:t xml:space="preserve">not collected</x:t>
        </x:is>
      </x:c>
      <x:c r="L98" s="16" t="inlineStr">
        <x:is>
          <x:t xml:space="preserve">https://80000hours.org/topic/top-recommended-organisations/</x:t>
        </x:is>
      </x:c>
    </x:row>
    <x:row r="99">
      <x:c r="A99" s="12" t="inlineStr">
        <x:is>
          <x:t xml:space="preserve">EXP-117</x:t>
        </x:is>
      </x:c>
      <x:c r="B99" s="13" t="inlineStr">
        <x:is>
          <x:t xml:space="preserve">International Biosecurity and Biosafety Initiative for Science</x:t>
        </x:is>
      </x:c>
      <x:c r="C99" s="12" t="inlineStr">
        <x:is>
          <x:t xml:space="preserve">previous_160_frozen</x:t>
        </x:is>
      </x:c>
      <x:c r="D99" s="13" t="inlineStr">
        <x:is>
          <x:t xml:space="preserve">AI, catastrophic risk, biosecurity, and technology policy</x:t>
        </x:is>
      </x:c>
      <x:c r="E99" s="12" t="inlineStr">
        <x:is>
          <x:t xml:space="preserve">EA-adjacent</x:t>
        </x:is>
      </x:c>
      <x:c r="F99" s="12" t="inlineStr">
        <x:is>
          <x:t xml:space="preserve">independent nonprofit</x:t>
        </x:is>
      </x:c>
      <x:c r="G99" s="12" t="inlineStr">
        <x:is>
          <x:t xml:space="preserve">no</x:t>
        </x:is>
      </x:c>
      <x:c r="H99" s="12" t="inlineStr">
        <x:is>
          <x:t xml:space="preserve">frozen_candidate_not_selected</x:t>
        </x:is>
      </x:c>
      <x:c r="I99" s="12" t="inlineStr">
        <x:is>
          <x:t xml:space="preserve">not selected</x:t>
        </x:is>
      </x:c>
      <x:c r="J99" s="13" t="inlineStr">
        <x:is>
          <x:t xml:space="preserve">Frozen candidate; not promoted into the 144-organization quantitative reference set during this pass.</x:t>
        </x:is>
      </x:c>
      <x:c r="K99" s="12" t="inlineStr">
        <x:is>
          <x:t xml:space="preserve">not collected</x:t>
        </x:is>
      </x:c>
      <x:c r="L99" s="16" t="inlineStr">
        <x:is>
          <x:t xml:space="preserve">https://80000hours.org/topic/top-recommended-organisations/</x:t>
        </x:is>
      </x:c>
    </x:row>
    <x:row r="100">
      <x:c r="A100" s="12" t="inlineStr">
        <x:is>
          <x:t xml:space="preserve">EXP-121</x:t>
        </x:is>
      </x:c>
      <x:c r="B100" s="12" t="inlineStr">
        <x:is>
          <x:t xml:space="preserve">Data &amp; Society Research Institute</x:t>
        </x:is>
      </x:c>
      <x:c r="C100" s="12" t="inlineStr">
        <x:is>
          <x:t xml:space="preserve">previous_160_frozen</x:t>
        </x:is>
      </x:c>
      <x:c r="D100" s="13" t="inlineStr">
        <x:is>
          <x:t xml:space="preserve">AI, catastrophic risk, biosecurity, and technology policy</x:t>
        </x:is>
      </x:c>
      <x:c r="E100" s="12" t="inlineStr">
        <x:is>
          <x:t xml:space="preserve">EA-adjacent</x:t>
        </x:is>
      </x:c>
      <x:c r="F100" s="12" t="inlineStr">
        <x:is>
          <x:t xml:space="preserve">independent nonprofit</x:t>
        </x:is>
      </x:c>
      <x:c r="G100" s="12" t="inlineStr">
        <x:is>
          <x:t xml:space="preserve">no</x:t>
        </x:is>
      </x:c>
      <x:c r="H100" s="12" t="inlineStr">
        <x:is>
          <x:t xml:space="preserve">frozen_candidate_not_selected</x:t>
        </x:is>
      </x:c>
      <x:c r="I100" s="12" t="inlineStr">
        <x:is>
          <x:t xml:space="preserve">not selected</x:t>
        </x:is>
      </x:c>
      <x:c r="J100" s="13" t="inlineStr">
        <x:is>
          <x:t xml:space="preserve">Frozen candidate; not promoted into the 144-organization quantitative reference set during this pass.</x:t>
        </x:is>
      </x:c>
      <x:c r="K100" s="12" t="inlineStr">
        <x:is>
          <x:t xml:space="preserve">not collected</x:t>
        </x:is>
      </x:c>
      <x:c r="L100" s="16" t="inlineStr">
        <x:is>
          <x:t xml:space="preserve">https://80000hours.org/topic/top-recommended-organisations/</x:t>
        </x:is>
      </x:c>
    </x:row>
    <x:row r="101">
      <x:c r="A101" s="12" t="inlineStr">
        <x:is>
          <x:t xml:space="preserve">EXP-012</x:t>
        </x:is>
      </x:c>
      <x:c r="B101" s="12" t="inlineStr">
        <x:is>
          <x:t xml:space="preserve">Longview Philanthropy</x:t>
        </x:is>
      </x:c>
      <x:c r="C101" s="12" t="inlineStr">
        <x:is>
          <x:t xml:space="preserve">previous_160_frozen</x:t>
        </x:is>
      </x:c>
      <x:c r="D101" s="12" t="inlineStr">
        <x:is>
          <x:t xml:space="preserve">EA infrastructure and effective giving</x:t>
        </x:is>
      </x:c>
      <x:c r="E101" s="12" t="inlineStr">
        <x:is>
          <x:t xml:space="preserve">EA-core</x:t>
        </x:is>
      </x:c>
      <x:c r="F101" s="12" t="inlineStr">
        <x:is>
          <x:t xml:space="preserve">international nonprofit/advisory</x:t>
        </x:is>
      </x:c>
      <x:c r="G101" s="12" t="inlineStr">
        <x:is>
          <x:t xml:space="preserve">no</x:t>
        </x:is>
      </x:c>
      <x:c r="H101" s="12" t="inlineStr">
        <x:is>
          <x:t xml:space="preserve">frozen_candidate_not_selected</x:t>
        </x:is>
      </x:c>
      <x:c r="I101" s="12" t="inlineStr">
        <x:is>
          <x:t xml:space="preserve">not selected</x:t>
        </x:is>
      </x:c>
      <x:c r="J101" s="13" t="inlineStr">
        <x:is>
          <x:t xml:space="preserve">Frozen candidate; not promoted into the 144-organization quantitative reference set during this pass.</x:t>
        </x:is>
      </x:c>
      <x:c r="K101" s="12" t="inlineStr">
        <x:is>
          <x:t xml:space="preserve">not collected</x:t>
        </x:is>
      </x:c>
      <x:c r="L101" s="16" t="inlineStr">
        <x:is>
          <x:t xml:space="preserve">https://forum.effectivealtruism.org/posts/dm2uawLLeLbY8WNKM/updates-on-the-effective-giving-ecosystem-mcf-2025-memo</x:t>
        </x:is>
      </x:c>
    </x:row>
    <x:row r="102">
      <x:c r="A102" s="12" t="inlineStr">
        <x:is>
          <x:t xml:space="preserve">EXP-008</x:t>
        </x:is>
      </x:c>
      <x:c r="B102" s="12" t="inlineStr">
        <x:is>
          <x:t xml:space="preserve">The Life You Can Save</x:t>
        </x:is>
      </x:c>
      <x:c r="C102" s="12" t="inlineStr">
        <x:is>
          <x:t xml:space="preserve">previous_160_frozen</x:t>
        </x:is>
      </x:c>
      <x:c r="D102" s="12" t="inlineStr">
        <x:is>
          <x:t xml:space="preserve">EA infrastructure and effective giving</x:t>
        </x:is>
      </x:c>
      <x:c r="E102" s="12" t="inlineStr">
        <x:is>
          <x:t xml:space="preserve">EA-core</x:t>
        </x:is>
      </x:c>
      <x:c r="F102" s="12" t="inlineStr">
        <x:is>
          <x:t xml:space="preserve">international nonprofit</x:t>
        </x:is>
      </x:c>
      <x:c r="G102" s="12" t="inlineStr">
        <x:is>
          <x:t xml:space="preserve">no</x:t>
        </x:is>
      </x:c>
      <x:c r="H102" s="12" t="inlineStr">
        <x:is>
          <x:t xml:space="preserve">frozen_candidate_not_selected</x:t>
        </x:is>
      </x:c>
      <x:c r="I102" s="12" t="inlineStr">
        <x:is>
          <x:t xml:space="preserve">not selected</x:t>
        </x:is>
      </x:c>
      <x:c r="J102" s="13" t="inlineStr">
        <x:is>
          <x:t xml:space="preserve">Frozen candidate; not promoted into the 144-organization quantitative reference set during this pass.</x:t>
        </x:is>
      </x:c>
      <x:c r="K102" s="12" t="inlineStr">
        <x:is>
          <x:t xml:space="preserve">not collected</x:t>
        </x:is>
      </x:c>
      <x:c r="L102" s="16" t="inlineStr">
        <x:is>
          <x:t xml:space="preserve">https://forum.effectivealtruism.org/posts/dm2uawLLeLbY8WNKM/updates-on-the-effective-giving-ecosystem-mcf-2025-memo</x:t>
        </x:is>
      </x:c>
    </x:row>
    <x:row r="103">
      <x:c r="A103" s="12" t="inlineStr">
        <x:is>
          <x:t xml:space="preserve">EXP-038</x:t>
        </x:is>
      </x:c>
      <x:c r="B103" s="12" t="inlineStr">
        <x:is>
          <x:t xml:space="preserve">Development Media International</x:t>
        </x:is>
      </x:c>
      <x:c r="C103" s="12" t="inlineStr">
        <x:is>
          <x:t xml:space="preserve">previous_160_frozen</x:t>
        </x:is>
      </x:c>
      <x:c r="D103" s="12" t="inlineStr">
        <x:is>
          <x:t xml:space="preserve">Global health, development, and evidence</x:t>
        </x:is>
      </x:c>
      <x:c r="E103" s="12" t="inlineStr">
        <x:is>
          <x:t xml:space="preserve">EA-adjacent</x:t>
        </x:is>
      </x:c>
      <x:c r="F103" s="12" t="inlineStr">
        <x:is>
          <x:t xml:space="preserve">international charity</x:t>
        </x:is>
      </x:c>
      <x:c r="G103" s="12" t="inlineStr">
        <x:is>
          <x:t xml:space="preserve">no</x:t>
        </x:is>
      </x:c>
      <x:c r="H103" s="12" t="inlineStr">
        <x:is>
          <x:t xml:space="preserve">frozen_candidate_not_selected</x:t>
        </x:is>
      </x:c>
      <x:c r="I103" s="12" t="inlineStr">
        <x:is>
          <x:t xml:space="preserve">not selected</x:t>
        </x:is>
      </x:c>
      <x:c r="J103" s="13" t="inlineStr">
        <x:is>
          <x:t xml:space="preserve">Frozen candidate; not promoted into the 144-organization quantitative reference set during this pass.</x:t>
        </x:is>
      </x:c>
      <x:c r="K103" s="12" t="inlineStr">
        <x:is>
          <x:t xml:space="preserve">not collected</x:t>
        </x:is>
      </x:c>
      <x:c r="L103" s="16" t="inlineStr">
        <x:is>
          <x:t xml:space="preserve">https://forum.effectivealtruism.org/topics/organizations-and-projects-in-effective-altruism</x:t>
        </x:is>
      </x:c>
    </x:row>
    <x:row r="104">
      <x:c r="A104" s="12" t="inlineStr">
        <x:is>
          <x:t xml:space="preserve">EXP-006</x:t>
        </x:is>
      </x:c>
      <x:c r="B104" s="12" t="inlineStr">
        <x:is>
          <x:t xml:space="preserve">GiveWell / The Clear Fund</x:t>
        </x:is>
      </x:c>
      <x:c r="C104" s="12" t="inlineStr">
        <x:is>
          <x:t xml:space="preserve">previous_160_frozen</x:t>
        </x:is>
      </x:c>
      <x:c r="D104" s="12" t="inlineStr">
        <x:is>
          <x:t xml:space="preserve">EA infrastructure and effective giving</x:t>
        </x:is>
      </x:c>
      <x:c r="E104" s="12" t="inlineStr">
        <x:is>
          <x:t xml:space="preserve">EA-core</x:t>
        </x:is>
      </x:c>
      <x:c r="F104" s="12" t="inlineStr">
        <x:is>
          <x:t xml:space="preserve">independent nonprofit</x:t>
        </x:is>
      </x:c>
      <x:c r="G104" s="12" t="inlineStr">
        <x:is>
          <x:t xml:space="preserve">no</x:t>
        </x:is>
      </x:c>
      <x:c r="H104" s="12" t="inlineStr">
        <x:is>
          <x:t xml:space="preserve">frozen_candidate_not_selected</x:t>
        </x:is>
      </x:c>
      <x:c r="I104" s="12" t="inlineStr">
        <x:is>
          <x:t xml:space="preserve">not selected</x:t>
        </x:is>
      </x:c>
      <x:c r="J104" s="13" t="inlineStr">
        <x:is>
          <x:t xml:space="preserve">Frozen candidate; not promoted into the 144-organization quantitative reference set during this pass.</x:t>
        </x:is>
      </x:c>
      <x:c r="K104" s="12" t="inlineStr">
        <x:is>
          <x:t xml:space="preserve">not collected</x:t>
        </x:is>
      </x:c>
      <x:c r="L104" s="16" t="inlineStr">
        <x:is>
          <x:t xml:space="preserve">https://forum.effectivealtruism.org/posts/dm2uawLLeLbY8WNKM/updates-on-the-effective-giving-ecosystem-mcf-2025-memo</x:t>
        </x:is>
      </x:c>
    </x:row>
    <x:row r="105">
      <x:c r="A105" s="12" t="inlineStr">
        <x:is>
          <x:t xml:space="preserve">EXP-040</x:t>
        </x:is>
      </x:c>
      <x:c r="B105" s="12" t="inlineStr">
        <x:is>
          <x:t xml:space="preserve">Malaria Consortium</x:t>
        </x:is>
      </x:c>
      <x:c r="C105" s="12" t="inlineStr">
        <x:is>
          <x:t xml:space="preserve">previous_160_frozen</x:t>
        </x:is>
      </x:c>
      <x:c r="D105" s="12" t="inlineStr">
        <x:is>
          <x:t xml:space="preserve">Global health, development, and evidence</x:t>
        </x:is>
      </x:c>
      <x:c r="E105" s="12" t="inlineStr">
        <x:is>
          <x:t xml:space="preserve">EA-adjacent</x:t>
        </x:is>
      </x:c>
      <x:c r="F105" s="12" t="inlineStr">
        <x:is>
          <x:t xml:space="preserve">international charity</x:t>
        </x:is>
      </x:c>
      <x:c r="G105" s="12" t="inlineStr">
        <x:is>
          <x:t xml:space="preserve">no</x:t>
        </x:is>
      </x:c>
      <x:c r="H105" s="12" t="inlineStr">
        <x:is>
          <x:t xml:space="preserve">frozen_candidate_not_selected</x:t>
        </x:is>
      </x:c>
      <x:c r="I105" s="12" t="inlineStr">
        <x:is>
          <x:t xml:space="preserve">not selected</x:t>
        </x:is>
      </x:c>
      <x:c r="J105" s="13" t="inlineStr">
        <x:is>
          <x:t xml:space="preserve">Frozen candidate; not promoted into the 144-organization quantitative reference set during this pass.</x:t>
        </x:is>
      </x:c>
      <x:c r="K105" s="12" t="inlineStr">
        <x:is>
          <x:t xml:space="preserve">not collected</x:t>
        </x:is>
      </x:c>
      <x:c r="L105" s="16" t="inlineStr">
        <x:is>
          <x:t xml:space="preserve">https://forum.effectivealtruism.org/topics/organizations-and-projects-in-effective-altruism</x:t>
        </x:is>
      </x:c>
    </x:row>
    <x:row r="106">
      <x:c r="A106" s="12" t="inlineStr">
        <x:is>
          <x:t xml:space="preserve">EXP-106</x:t>
        </x:is>
      </x:c>
      <x:c r="B106" s="12" t="inlineStr">
        <x:is>
          <x:t xml:space="preserve">Centre for Long-Term Resilience</x:t>
        </x:is>
      </x:c>
      <x:c r="C106" s="12" t="inlineStr">
        <x:is>
          <x:t xml:space="preserve">previous_160_frozen</x:t>
        </x:is>
      </x:c>
      <x:c r="D106" s="13" t="inlineStr">
        <x:is>
          <x:t xml:space="preserve">AI, catastrophic risk, biosecurity, and technology policy</x:t>
        </x:is>
      </x:c>
      <x:c r="E106" s="12" t="inlineStr">
        <x:is>
          <x:t xml:space="preserve">EA-adjacent</x:t>
        </x:is>
      </x:c>
      <x:c r="F106" s="12" t="inlineStr">
        <x:is>
          <x:t xml:space="preserve">independent charity</x:t>
        </x:is>
      </x:c>
      <x:c r="G106" s="12" t="inlineStr">
        <x:is>
          <x:t xml:space="preserve">no</x:t>
        </x:is>
      </x:c>
      <x:c r="H106" s="12" t="inlineStr">
        <x:is>
          <x:t xml:space="preserve">frozen_candidate_not_selected</x:t>
        </x:is>
      </x:c>
      <x:c r="I106" s="12" t="inlineStr">
        <x:is>
          <x:t xml:space="preserve">not selected</x:t>
        </x:is>
      </x:c>
      <x:c r="J106" s="13" t="inlineStr">
        <x:is>
          <x:t xml:space="preserve">Frozen candidate; not promoted into the 144-organization quantitative reference set during this pass.</x:t>
        </x:is>
      </x:c>
      <x:c r="K106" s="12" t="inlineStr">
        <x:is>
          <x:t xml:space="preserve">not collected</x:t>
        </x:is>
      </x:c>
      <x:c r="L106" s="16" t="inlineStr">
        <x:is>
          <x:t xml:space="preserve">https://80000hours.org/topic/top-recommended-organisations/</x:t>
        </x:is>
      </x:c>
    </x:row>
    <x:row r="107">
      <x:c r="A107" s="12" t="inlineStr">
        <x:is>
          <x:t xml:space="preserve">EXP-144</x:t>
        </x:is>
      </x:c>
      <x:c r="B107" s="12" t="inlineStr">
        <x:is>
          <x:t xml:space="preserve">eLife Sciences Publications</x:t>
        </x:is>
      </x:c>
      <x:c r="C107" s="12" t="inlineStr">
        <x:is>
          <x:t xml:space="preserve">previous_160_frozen</x:t>
        </x:is>
      </x:c>
      <x:c r="D107" s="13" t="inlineStr">
        <x:is>
          <x:t xml:space="preserve">Research, evaluation, philanthropy infrastructure, and policy</x:t>
        </x:is>
      </x:c>
      <x:c r="E107" s="12" t="inlineStr">
        <x:is>
          <x:t xml:space="preserve">functional-only</x:t>
        </x:is>
      </x:c>
      <x:c r="F107" s="12" t="inlineStr">
        <x:is>
          <x:t xml:space="preserve">international nonprofit</x:t>
        </x:is>
      </x:c>
      <x:c r="G107" s="12" t="inlineStr">
        <x:is>
          <x:t xml:space="preserve">no</x:t>
        </x:is>
      </x:c>
      <x:c r="H107" s="12" t="inlineStr">
        <x:is>
          <x:t xml:space="preserve">frozen_candidate_not_selected</x:t>
        </x:is>
      </x:c>
      <x:c r="I107" s="12" t="inlineStr">
        <x:is>
          <x:t xml:space="preserve">not selected</x:t>
        </x:is>
      </x:c>
      <x:c r="J107" s="13" t="inlineStr">
        <x:is>
          <x:t xml:space="preserve">Frozen candidate; not promoted into the 144-organization quantitative reference set during this pass.</x:t>
        </x:is>
      </x:c>
      <x:c r="K107" s="12" t="inlineStr">
        <x:is>
          <x:t xml:space="preserve">not collected</x:t>
        </x:is>
      </x:c>
      <x:c r="L107" s="17" t="inlineStr">
        <x:is>
          <x:t xml:space="preserve">https://projects.propublica.org/nonprofits/</x:t>
        </x:is>
      </x:c>
    </x:row>
    <x:row r="108">
      <x:c r="A108" s="12" t="inlineStr">
        <x:is>
          <x:t xml:space="preserve">EXP-149</x:t>
        </x:is>
      </x:c>
      <x:c r="B108" s="12" t="inlineStr">
        <x:is>
          <x:t xml:space="preserve">Pew Research Center</x:t>
        </x:is>
      </x:c>
      <x:c r="C108" s="12" t="inlineStr">
        <x:is>
          <x:t xml:space="preserve">previous_160_frozen</x:t>
        </x:is>
      </x:c>
      <x:c r="D108" s="13" t="inlineStr">
        <x:is>
          <x:t xml:space="preserve">Research, evaluation, philanthropy infrastructure, and policy</x:t>
        </x:is>
      </x:c>
      <x:c r="E108" s="12" t="inlineStr">
        <x:is>
          <x:t xml:space="preserve">functional-only</x:t>
        </x:is>
      </x:c>
      <x:c r="F108" s="12" t="inlineStr">
        <x:is>
          <x:t xml:space="preserve">independent nonprofit</x:t>
        </x:is>
      </x:c>
      <x:c r="G108" s="12" t="inlineStr">
        <x:is>
          <x:t xml:space="preserve">no</x:t>
        </x:is>
      </x:c>
      <x:c r="H108" s="12" t="inlineStr">
        <x:is>
          <x:t xml:space="preserve">frozen_candidate_not_selected</x:t>
        </x:is>
      </x:c>
      <x:c r="I108" s="12" t="inlineStr">
        <x:is>
          <x:t xml:space="preserve">not selected</x:t>
        </x:is>
      </x:c>
      <x:c r="J108" s="13" t="inlineStr">
        <x:is>
          <x:t xml:space="preserve">Frozen candidate; not promoted into the 144-organization quantitative reference set during this pass.</x:t>
        </x:is>
      </x:c>
      <x:c r="K108" s="12" t="inlineStr">
        <x:is>
          <x:t xml:space="preserve">not collected</x:t>
        </x:is>
      </x:c>
      <x:c r="L108" s="17" t="inlineStr">
        <x:is>
          <x:t xml:space="preserve">https://projects.propublica.org/nonprofits/</x:t>
        </x:is>
      </x:c>
    </x:row>
    <x:row r="109">
      <x:c r="A109" s="12" t="inlineStr">
        <x:is>
          <x:t xml:space="preserve">EXP-013</x:t>
        </x:is>
      </x:c>
      <x:c r="B109" s="12" t="inlineStr">
        <x:is>
          <x:t xml:space="preserve">Navigation Fund</x:t>
        </x:is>
      </x:c>
      <x:c r="C109" s="12" t="inlineStr">
        <x:is>
          <x:t xml:space="preserve">previous_160_frozen</x:t>
        </x:is>
      </x:c>
      <x:c r="D109" s="12" t="inlineStr">
        <x:is>
          <x:t xml:space="preserve">EA infrastructure and effective giving</x:t>
        </x:is>
      </x:c>
      <x:c r="E109" s="12" t="inlineStr">
        <x:is>
          <x:t xml:space="preserve">EA-core</x:t>
        </x:is>
      </x:c>
      <x:c r="F109" s="12" t="inlineStr">
        <x:is>
          <x:t xml:space="preserve">nonprofit funder</x:t>
        </x:is>
      </x:c>
      <x:c r="G109" s="12" t="inlineStr">
        <x:is>
          <x:t xml:space="preserve">no</x:t>
        </x:is>
      </x:c>
      <x:c r="H109" s="12" t="inlineStr">
        <x:is>
          <x:t xml:space="preserve">frozen_candidate_not_selected</x:t>
        </x:is>
      </x:c>
      <x:c r="I109" s="12" t="inlineStr">
        <x:is>
          <x:t xml:space="preserve">not selected</x:t>
        </x:is>
      </x:c>
      <x:c r="J109" s="13" t="inlineStr">
        <x:is>
          <x:t xml:space="preserve">Frozen candidate; not promoted into the 144-organization quantitative reference set during this pass.</x:t>
        </x:is>
      </x:c>
      <x:c r="K109" s="12" t="inlineStr">
        <x:is>
          <x:t xml:space="preserve">not collected</x:t>
        </x:is>
      </x:c>
      <x:c r="L109" s="16" t="inlineStr">
        <x:is>
          <x:t xml:space="preserve">https://forum.effectivealtruism.org/posts/dm2uawLLeLbY8WNKM/updates-on-the-effective-giving-ecosystem-mcf-2025-memo</x:t>
        </x:is>
      </x:c>
    </x:row>
    <x:row r="110">
      <x:c r="A110" s="12" t="inlineStr">
        <x:is>
          <x:t xml:space="preserve">EXP-101</x:t>
        </x:is>
      </x:c>
      <x:c r="B110" s="12" t="inlineStr">
        <x:is>
          <x:t xml:space="preserve">Epoch AI</x:t>
        </x:is>
      </x:c>
      <x:c r="C110" s="12" t="inlineStr">
        <x:is>
          <x:t xml:space="preserve">previous_160_frozen</x:t>
        </x:is>
      </x:c>
      <x:c r="D110" s="13" t="inlineStr">
        <x:is>
          <x:t xml:space="preserve">AI, catastrophic risk, biosecurity, and technology policy</x:t>
        </x:is>
      </x:c>
      <x:c r="E110" s="12" t="inlineStr">
        <x:is>
          <x:t xml:space="preserve">EA-adjacent</x:t>
        </x:is>
      </x:c>
      <x:c r="F110" s="12" t="inlineStr">
        <x:is>
          <x:t xml:space="preserve">nonprofit or fiscally sponsored</x:t>
        </x:is>
      </x:c>
      <x:c r="G110" s="12" t="inlineStr">
        <x:is>
          <x:t xml:space="preserve">no</x:t>
        </x:is>
      </x:c>
      <x:c r="H110" s="12" t="inlineStr">
        <x:is>
          <x:t xml:space="preserve">frozen_candidate_not_selected</x:t>
        </x:is>
      </x:c>
      <x:c r="I110" s="12" t="inlineStr">
        <x:is>
          <x:t xml:space="preserve">not selected</x:t>
        </x:is>
      </x:c>
      <x:c r="J110" s="13" t="inlineStr">
        <x:is>
          <x:t xml:space="preserve">Frozen candidate; not promoted into the 144-organization quantitative reference set during this pass.</x:t>
        </x:is>
      </x:c>
      <x:c r="K110" s="12" t="inlineStr">
        <x:is>
          <x:t xml:space="preserve">not collected</x:t>
        </x:is>
      </x:c>
      <x:c r="L110" s="16" t="inlineStr">
        <x:is>
          <x:t xml:space="preserve">https://80000hours.org/topic/top-recommended-organisations/</x:t>
        </x:is>
      </x:c>
    </x:row>
    <x:row r="111">
      <x:c r="A111" s="12" t="inlineStr">
        <x:is>
          <x:t xml:space="preserve">EXP-069</x:t>
        </x:is>
      </x:c>
      <x:c r="B111" s="12" t="inlineStr">
        <x:is>
          <x:t xml:space="preserve">Animal Outlook</x:t>
        </x:is>
      </x:c>
      <x:c r="C111" s="12" t="inlineStr">
        <x:is>
          <x:t xml:space="preserve">previous_160_frozen</x:t>
        </x:is>
      </x:c>
      <x:c r="D111" s="12" t="inlineStr">
        <x:is>
          <x:t xml:space="preserve">Animal welfare and food systems</x:t>
        </x:is>
      </x:c>
      <x:c r="E111" s="12" t="inlineStr">
        <x:is>
          <x:t xml:space="preserve">EA-adjacent</x:t>
        </x:is>
      </x:c>
      <x:c r="F111" s="12" t="inlineStr">
        <x:is>
          <x:t xml:space="preserve">independent nonprofit</x:t>
        </x:is>
      </x:c>
      <x:c r="G111" s="12" t="inlineStr">
        <x:is>
          <x:t xml:space="preserve">no</x:t>
        </x:is>
      </x:c>
      <x:c r="H111" s="12" t="inlineStr">
        <x:is>
          <x:t xml:space="preserve">frozen_candidate_not_selected</x:t>
        </x:is>
      </x:c>
      <x:c r="I111" s="12" t="inlineStr">
        <x:is>
          <x:t xml:space="preserve">not selected</x:t>
        </x:is>
      </x:c>
      <x:c r="J111" s="13" t="inlineStr">
        <x:is>
          <x:t xml:space="preserve">Frozen candidate; not promoted into the 144-organization quantitative reference set during this pass.</x:t>
        </x:is>
      </x:c>
      <x:c r="K111" s="12" t="inlineStr">
        <x:is>
          <x:t xml:space="preserve">not collected</x:t>
        </x:is>
      </x:c>
      <x:c r="L111" s="16" t="inlineStr">
        <x:is>
          <x:t xml:space="preserve">https://forum.effectivealtruism.org/topics/organizations-and-projects-in-effective-altruism</x:t>
        </x:is>
      </x:c>
    </x:row>
    <x:row r="112">
      <x:c r="A112" s="12" t="inlineStr">
        <x:is>
          <x:t xml:space="preserve">EXP-051</x:t>
        </x:is>
      </x:c>
      <x:c r="B112" s="12" t="inlineStr">
        <x:is>
          <x:t xml:space="preserve">The END Fund</x:t>
        </x:is>
      </x:c>
      <x:c r="C112" s="12" t="inlineStr">
        <x:is>
          <x:t xml:space="preserve">previous_160_frozen</x:t>
        </x:is>
      </x:c>
      <x:c r="D112" s="12" t="inlineStr">
        <x:is>
          <x:t xml:space="preserve">Global health, development, and evidence</x:t>
        </x:is>
      </x:c>
      <x:c r="E112" s="12" t="inlineStr">
        <x:is>
          <x:t xml:space="preserve">EA-adjacent</x:t>
        </x:is>
      </x:c>
      <x:c r="F112" s="12" t="inlineStr">
        <x:is>
          <x:t xml:space="preserve">independent nonprofit</x:t>
        </x:is>
      </x:c>
      <x:c r="G112" s="12" t="inlineStr">
        <x:is>
          <x:t xml:space="preserve">no</x:t>
        </x:is>
      </x:c>
      <x:c r="H112" s="12" t="inlineStr">
        <x:is>
          <x:t xml:space="preserve">frozen_candidate_not_selected</x:t>
        </x:is>
      </x:c>
      <x:c r="I112" s="12" t="inlineStr">
        <x:is>
          <x:t xml:space="preserve">not selected</x:t>
        </x:is>
      </x:c>
      <x:c r="J112" s="13" t="inlineStr">
        <x:is>
          <x:t xml:space="preserve">Frozen candidate; not promoted into the 144-organization quantitative reference set during this pass.</x:t>
        </x:is>
      </x:c>
      <x:c r="K112" s="12" t="inlineStr">
        <x:is>
          <x:t xml:space="preserve">not collected</x:t>
        </x:is>
      </x:c>
      <x:c r="L112" s="16" t="inlineStr">
        <x:is>
          <x:t xml:space="preserve">https://forum.effectivealtruism.org/topics/organizations-and-projects-in-effective-altruism</x:t>
        </x:is>
      </x:c>
    </x:row>
    <x:row r="113">
      <x:c r="A113" s="12" t="inlineStr">
        <x:is>
          <x:t xml:space="preserve">EXP-039</x:t>
        </x:is>
      </x:c>
      <x:c r="B113" s="12" t="inlineStr">
        <x:is>
          <x:t xml:space="preserve">Against Malaria Foundation</x:t>
        </x:is>
      </x:c>
      <x:c r="C113" s="12" t="inlineStr">
        <x:is>
          <x:t xml:space="preserve">previous_160_frozen</x:t>
        </x:is>
      </x:c>
      <x:c r="D113" s="12" t="inlineStr">
        <x:is>
          <x:t xml:space="preserve">Global health, development, and evidence</x:t>
        </x:is>
      </x:c>
      <x:c r="E113" s="12" t="inlineStr">
        <x:is>
          <x:t xml:space="preserve">EA-adjacent</x:t>
        </x:is>
      </x:c>
      <x:c r="F113" s="12" t="inlineStr">
        <x:is>
          <x:t xml:space="preserve">international charity</x:t>
        </x:is>
      </x:c>
      <x:c r="G113" s="12" t="inlineStr">
        <x:is>
          <x:t xml:space="preserve">no</x:t>
        </x:is>
      </x:c>
      <x:c r="H113" s="12" t="inlineStr">
        <x:is>
          <x:t xml:space="preserve">frozen_candidate_not_selected</x:t>
        </x:is>
      </x:c>
      <x:c r="I113" s="12" t="inlineStr">
        <x:is>
          <x:t xml:space="preserve">not selected</x:t>
        </x:is>
      </x:c>
      <x:c r="J113" s="13" t="inlineStr">
        <x:is>
          <x:t xml:space="preserve">Frozen candidate; not promoted into the 144-organization quantitative reference set during this pass.</x:t>
        </x:is>
      </x:c>
      <x:c r="K113" s="12" t="inlineStr">
        <x:is>
          <x:t xml:space="preserve">not collected</x:t>
        </x:is>
      </x:c>
      <x:c r="L113" s="16" t="inlineStr">
        <x:is>
          <x:t xml:space="preserve">https://forum.effectivealtruism.org/topics/organizations-and-projects-in-effective-altruism</x:t>
        </x:is>
      </x:c>
    </x:row>
    <x:row r="114">
      <x:c r="A114" s="12" t="inlineStr">
        <x:is>
          <x:t xml:space="preserve">EXP-032</x:t>
        </x:is>
      </x:c>
      <x:c r="B114" s="12" t="inlineStr">
        <x:is>
          <x:t xml:space="preserve">GiveDirectly</x:t>
        </x:is>
      </x:c>
      <x:c r="C114" s="12" t="inlineStr">
        <x:is>
          <x:t xml:space="preserve">previous_160_frozen</x:t>
        </x:is>
      </x:c>
      <x:c r="D114" s="12" t="inlineStr">
        <x:is>
          <x:t xml:space="preserve">Global health, development, and evidence</x:t>
        </x:is>
      </x:c>
      <x:c r="E114" s="12" t="inlineStr">
        <x:is>
          <x:t xml:space="preserve">EA-adjacent</x:t>
        </x:is>
      </x:c>
      <x:c r="F114" s="12" t="inlineStr">
        <x:is>
          <x:t xml:space="preserve">independent nonprofit</x:t>
        </x:is>
      </x:c>
      <x:c r="G114" s="12" t="inlineStr">
        <x:is>
          <x:t xml:space="preserve">no</x:t>
        </x:is>
      </x:c>
      <x:c r="H114" s="12" t="inlineStr">
        <x:is>
          <x:t xml:space="preserve">frozen_candidate_not_selected</x:t>
        </x:is>
      </x:c>
      <x:c r="I114" s="12" t="inlineStr">
        <x:is>
          <x:t xml:space="preserve">not selected</x:t>
        </x:is>
      </x:c>
      <x:c r="J114" s="13" t="inlineStr">
        <x:is>
          <x:t xml:space="preserve">Frozen candidate; not promoted into the 144-organization quantitative reference set during this pass.</x:t>
        </x:is>
      </x:c>
      <x:c r="K114" s="12" t="inlineStr">
        <x:is>
          <x:t xml:space="preserve">not collected</x:t>
        </x:is>
      </x:c>
      <x:c r="L114" s="16" t="inlineStr">
        <x:is>
          <x:t xml:space="preserve">https://forum.effectivealtruism.org/topics/organizations-and-projects-in-effective-altruism</x:t>
        </x:is>
      </x:c>
    </x:row>
    <x:row r="115">
      <x:c r="A115" s="12" t="inlineStr">
        <x:is>
          <x:t xml:space="preserve">EXP-089</x:t>
        </x:is>
      </x:c>
      <x:c r="B115" s="12" t="inlineStr">
        <x:is>
          <x:t xml:space="preserve">Global Animal Partnership</x:t>
        </x:is>
      </x:c>
      <x:c r="C115" s="12" t="inlineStr">
        <x:is>
          <x:t xml:space="preserve">previous_160_frozen</x:t>
        </x:is>
      </x:c>
      <x:c r="D115" s="12" t="inlineStr">
        <x:is>
          <x:t xml:space="preserve">Animal welfare and food systems</x:t>
        </x:is>
      </x:c>
      <x:c r="E115" s="12" t="inlineStr">
        <x:is>
          <x:t xml:space="preserve">EA-adjacent</x:t>
        </x:is>
      </x:c>
      <x:c r="F115" s="12" t="inlineStr">
        <x:is>
          <x:t xml:space="preserve">independent nonprofit</x:t>
        </x:is>
      </x:c>
      <x:c r="G115" s="12" t="inlineStr">
        <x:is>
          <x:t xml:space="preserve">no</x:t>
        </x:is>
      </x:c>
      <x:c r="H115" s="12" t="inlineStr">
        <x:is>
          <x:t xml:space="preserve">frozen_candidate_not_selected</x:t>
        </x:is>
      </x:c>
      <x:c r="I115" s="12" t="inlineStr">
        <x:is>
          <x:t xml:space="preserve">not selected</x:t>
        </x:is>
      </x:c>
      <x:c r="J115" s="13" t="inlineStr">
        <x:is>
          <x:t xml:space="preserve">Frozen candidate; not promoted into the 144-organization quantitative reference set during this pass.</x:t>
        </x:is>
      </x:c>
      <x:c r="K115" s="12" t="inlineStr">
        <x:is>
          <x:t xml:space="preserve">not collected</x:t>
        </x:is>
      </x:c>
      <x:c r="L115" s="16" t="inlineStr">
        <x:is>
          <x:t xml:space="preserve">https://forum.effectivealtruism.org/topics/organizations-and-projects-in-effective-altruism</x:t>
        </x:is>
      </x:c>
    </x:row>
    <x:row r="116">
      <x:c r="A116" s="12" t="inlineStr">
        <x:is>
          <x:t xml:space="preserve">EXP-141</x:t>
        </x:is>
      </x:c>
      <x:c r="B116" s="12" t="inlineStr">
        <x:is>
          <x:t xml:space="preserve">Science Philanthropy Alliance</x:t>
        </x:is>
      </x:c>
      <x:c r="C116" s="12" t="inlineStr">
        <x:is>
          <x:t xml:space="preserve">previous_160_frozen</x:t>
        </x:is>
      </x:c>
      <x:c r="D116" s="13" t="inlineStr">
        <x:is>
          <x:t xml:space="preserve">Research, evaluation, philanthropy infrastructure, and policy</x:t>
        </x:is>
      </x:c>
      <x:c r="E116" s="12" t="inlineStr">
        <x:is>
          <x:t xml:space="preserve">functional-only</x:t>
        </x:is>
      </x:c>
      <x:c r="F116" s="12" t="inlineStr">
        <x:is>
          <x:t xml:space="preserve">independent nonprofit</x:t>
        </x:is>
      </x:c>
      <x:c r="G116" s="12" t="inlineStr">
        <x:is>
          <x:t xml:space="preserve">no</x:t>
        </x:is>
      </x:c>
      <x:c r="H116" s="12" t="inlineStr">
        <x:is>
          <x:t xml:space="preserve">frozen_candidate_not_selected</x:t>
        </x:is>
      </x:c>
      <x:c r="I116" s="12" t="inlineStr">
        <x:is>
          <x:t xml:space="preserve">not selected</x:t>
        </x:is>
      </x:c>
      <x:c r="J116" s="13" t="inlineStr">
        <x:is>
          <x:t xml:space="preserve">Frozen candidate; not promoted into the 144-organization quantitative reference set during this pass.</x:t>
        </x:is>
      </x:c>
      <x:c r="K116" s="12" t="inlineStr">
        <x:is>
          <x:t xml:space="preserve">not collected</x:t>
        </x:is>
      </x:c>
      <x:c r="L116" s="17" t="inlineStr">
        <x:is>
          <x:t xml:space="preserve">https://projects.propublica.org/nonprofits/</x:t>
        </x:is>
      </x:c>
    </x:row>
    <x:row r="117">
      <x:c r="A117" s="12" t="inlineStr">
        <x:is>
          <x:t xml:space="preserve">EXP-042</x:t>
        </x:is>
      </x:c>
      <x:c r="B117" s="12" t="inlineStr">
        <x:is>
          <x:t xml:space="preserve">Helen Keller Intl</x:t>
        </x:is>
      </x:c>
      <x:c r="C117" s="12" t="inlineStr">
        <x:is>
          <x:t xml:space="preserve">previous_160_frozen</x:t>
        </x:is>
      </x:c>
      <x:c r="D117" s="12" t="inlineStr">
        <x:is>
          <x:t xml:space="preserve">Global health, development, and evidence</x:t>
        </x:is>
      </x:c>
      <x:c r="E117" s="12" t="inlineStr">
        <x:is>
          <x:t xml:space="preserve">EA-adjacent</x:t>
        </x:is>
      </x:c>
      <x:c r="F117" s="12" t="inlineStr">
        <x:is>
          <x:t xml:space="preserve">independent nonprofit</x:t>
        </x:is>
      </x:c>
      <x:c r="G117" s="12" t="inlineStr">
        <x:is>
          <x:t xml:space="preserve">no</x:t>
        </x:is>
      </x:c>
      <x:c r="H117" s="12" t="inlineStr">
        <x:is>
          <x:t xml:space="preserve">frozen_candidate_not_selected</x:t>
        </x:is>
      </x:c>
      <x:c r="I117" s="12" t="inlineStr">
        <x:is>
          <x:t xml:space="preserve">not selected</x:t>
        </x:is>
      </x:c>
      <x:c r="J117" s="13" t="inlineStr">
        <x:is>
          <x:t xml:space="preserve">Frozen candidate; not promoted into the 144-organization quantitative reference set during this pass.</x:t>
        </x:is>
      </x:c>
      <x:c r="K117" s="12" t="inlineStr">
        <x:is>
          <x:t xml:space="preserve">not collected</x:t>
        </x:is>
      </x:c>
      <x:c r="L117" s="16" t="inlineStr">
        <x:is>
          <x:t xml:space="preserve">https://forum.effectivealtruism.org/topics/organizations-and-projects-in-effective-altruism</x:t>
        </x:is>
      </x:c>
    </x:row>
    <x:row r="118">
      <x:c r="A118" s="12" t="inlineStr">
        <x:is>
          <x:t xml:space="preserve">EXP-029</x:t>
        </x:is>
      </x:c>
      <x:c r="B118" s="12" t="inlineStr">
        <x:is>
          <x:t xml:space="preserve">Good Ventures Foundation</x:t>
        </x:is>
      </x:c>
      <x:c r="C118" s="12" t="inlineStr">
        <x:is>
          <x:t xml:space="preserve">previous_160_frozen</x:t>
        </x:is>
      </x:c>
      <x:c r="D118" s="12" t="inlineStr">
        <x:is>
          <x:t xml:space="preserve">EA infrastructure and effective giving</x:t>
        </x:is>
      </x:c>
      <x:c r="E118" s="12" t="inlineStr">
        <x:is>
          <x:t xml:space="preserve">EA-core</x:t>
        </x:is>
      </x:c>
      <x:c r="F118" s="12" t="inlineStr">
        <x:is>
          <x:t xml:space="preserve">private foundation</x:t>
        </x:is>
      </x:c>
      <x:c r="G118" s="12" t="inlineStr">
        <x:is>
          <x:t xml:space="preserve">no</x:t>
        </x:is>
      </x:c>
      <x:c r="H118" s="12" t="inlineStr">
        <x:is>
          <x:t xml:space="preserve">frozen_candidate_not_selected</x:t>
        </x:is>
      </x:c>
      <x:c r="I118" s="12" t="inlineStr">
        <x:is>
          <x:t xml:space="preserve">not selected</x:t>
        </x:is>
      </x:c>
      <x:c r="J118" s="13" t="inlineStr">
        <x:is>
          <x:t xml:space="preserve">Frozen candidate; not promoted into the 144-organization quantitative reference set during this pass.</x:t>
        </x:is>
      </x:c>
      <x:c r="K118" s="12" t="inlineStr">
        <x:is>
          <x:t xml:space="preserve">not collected</x:t>
        </x:is>
      </x:c>
      <x:c r="L118" s="16" t="inlineStr">
        <x:is>
          <x:t xml:space="preserve">https://forum.effectivealtruism.org/posts/dm2uawLLeLbY8WNKM/updates-on-the-effective-giving-ecosystem-mcf-2025-memo</x:t>
        </x:is>
      </x:c>
    </x:row>
    <x:row r="119">
      <x:c r="A119" s="12" t="inlineStr">
        <x:is>
          <x:t xml:space="preserve">EXP-154</x:t>
        </x:is>
      </x:c>
      <x:c r="B119" s="12" t="inlineStr">
        <x:is>
          <x:t xml:space="preserve">Federal Funds Information for States</x:t>
        </x:is>
      </x:c>
      <x:c r="C119" s="12" t="inlineStr">
        <x:is>
          <x:t xml:space="preserve">previous_160_frozen</x:t>
        </x:is>
      </x:c>
      <x:c r="D119" s="13" t="inlineStr">
        <x:is>
          <x:t xml:space="preserve">Research, evaluation, philanthropy infrastructure, and policy</x:t>
        </x:is>
      </x:c>
      <x:c r="E119" s="12" t="inlineStr">
        <x:is>
          <x:t xml:space="preserve">functional-only</x:t>
        </x:is>
      </x:c>
      <x:c r="F119" s="12" t="inlineStr">
        <x:is>
          <x:t xml:space="preserve">independent nonprofit</x:t>
        </x:is>
      </x:c>
      <x:c r="G119" s="12" t="inlineStr">
        <x:is>
          <x:t xml:space="preserve">no</x:t>
        </x:is>
      </x:c>
      <x:c r="H119" s="12" t="inlineStr">
        <x:is>
          <x:t xml:space="preserve">frozen_candidate_not_selected</x:t>
        </x:is>
      </x:c>
      <x:c r="I119" s="12" t="inlineStr">
        <x:is>
          <x:t xml:space="preserve">not selected</x:t>
        </x:is>
      </x:c>
      <x:c r="J119" s="13" t="inlineStr">
        <x:is>
          <x:t xml:space="preserve">Frozen candidate; not promoted into the 144-organization quantitative reference set during this pass.</x:t>
        </x:is>
      </x:c>
      <x:c r="K119" s="12" t="inlineStr">
        <x:is>
          <x:t xml:space="preserve">not collected</x:t>
        </x:is>
      </x:c>
      <x:c r="L119" s="17" t="inlineStr">
        <x:is>
          <x:t xml:space="preserve">https://projects.propublica.org/nonprofits/</x:t>
        </x:is>
      </x:c>
    </x:row>
    <x:row r="120">
      <x:c r="A120" s="12" t="inlineStr">
        <x:is>
          <x:t xml:space="preserve">EXP-057</x:t>
        </x:is>
      </x:c>
      <x:c r="B120" s="12" t="inlineStr">
        <x:is>
          <x:t xml:space="preserve">Copenhagen Consensus Center USA</x:t>
        </x:is>
      </x:c>
      <x:c r="C120" s="12" t="inlineStr">
        <x:is>
          <x:t xml:space="preserve">previous_160_frozen</x:t>
        </x:is>
      </x:c>
      <x:c r="D120" s="12" t="inlineStr">
        <x:is>
          <x:t xml:space="preserve">Global health, development, and evidence</x:t>
        </x:is>
      </x:c>
      <x:c r="E120" s="12" t="inlineStr">
        <x:is>
          <x:t xml:space="preserve">EA-adjacent</x:t>
        </x:is>
      </x:c>
      <x:c r="F120" s="12" t="inlineStr">
        <x:is>
          <x:t xml:space="preserve">independent nonprofit</x:t>
        </x:is>
      </x:c>
      <x:c r="G120" s="12" t="inlineStr">
        <x:is>
          <x:t xml:space="preserve">no</x:t>
        </x:is>
      </x:c>
      <x:c r="H120" s="12" t="inlineStr">
        <x:is>
          <x:t xml:space="preserve">frozen_candidate_not_selected</x:t>
        </x:is>
      </x:c>
      <x:c r="I120" s="12" t="inlineStr">
        <x:is>
          <x:t xml:space="preserve">not selected</x:t>
        </x:is>
      </x:c>
      <x:c r="J120" s="13" t="inlineStr">
        <x:is>
          <x:t xml:space="preserve">Frozen candidate; not promoted into the 144-organization quantitative reference set during this pass.</x:t>
        </x:is>
      </x:c>
      <x:c r="K120" s="12" t="inlineStr">
        <x:is>
          <x:t xml:space="preserve">not collected</x:t>
        </x:is>
      </x:c>
      <x:c r="L120" s="16" t="inlineStr">
        <x:is>
          <x:t xml:space="preserve">https://forum.effectivealtruism.org/topics/organizations-and-projects-in-effective-altruism</x:t>
        </x:is>
      </x:c>
    </x:row>
    <x:row r="121">
      <x:c r="A121" s="12" t="inlineStr">
        <x:is>
          <x:t xml:space="preserve">EXP-077</x:t>
        </x:is>
      </x:c>
      <x:c r="B121" s="12" t="inlineStr">
        <x:is>
          <x:t xml:space="preserve">Fish Welfare Initiative</x:t>
        </x:is>
      </x:c>
      <x:c r="C121" s="12" t="inlineStr">
        <x:is>
          <x:t xml:space="preserve">previous_160_frozen</x:t>
        </x:is>
      </x:c>
      <x:c r="D121" s="12" t="inlineStr">
        <x:is>
          <x:t xml:space="preserve">Animal welfare and food systems</x:t>
        </x:is>
      </x:c>
      <x:c r="E121" s="12" t="inlineStr">
        <x:is>
          <x:t xml:space="preserve">EA-adjacent</x:t>
        </x:is>
      </x:c>
      <x:c r="F121" s="12" t="inlineStr">
        <x:is>
          <x:t xml:space="preserve">independent nonprofit</x:t>
        </x:is>
      </x:c>
      <x:c r="G121" s="12" t="inlineStr">
        <x:is>
          <x:t xml:space="preserve">no</x:t>
        </x:is>
      </x:c>
      <x:c r="H121" s="12" t="inlineStr">
        <x:is>
          <x:t xml:space="preserve">frozen_candidate_not_selected</x:t>
        </x:is>
      </x:c>
      <x:c r="I121" s="12" t="inlineStr">
        <x:is>
          <x:t xml:space="preserve">not selected</x:t>
        </x:is>
      </x:c>
      <x:c r="J121" s="13" t="inlineStr">
        <x:is>
          <x:t xml:space="preserve">Frozen candidate; not promoted into the 144-organization quantitative reference set during this pass.</x:t>
        </x:is>
      </x:c>
      <x:c r="K121" s="12" t="inlineStr">
        <x:is>
          <x:t xml:space="preserve">not collected</x:t>
        </x:is>
      </x:c>
      <x:c r="L121" s="16" t="inlineStr">
        <x:is>
          <x:t xml:space="preserve">https://forum.effectivealtruism.org/topics/organizations-and-projects-in-effective-altruism</x:t>
        </x:is>
      </x:c>
    </x:row>
    <x:row r="122">
      <x:c r="A122" s="12" t="inlineStr">
        <x:is>
          <x:t xml:space="preserve">EXP-157</x:t>
        </x:is>
      </x:c>
      <x:c r="B122" s="12" t="inlineStr">
        <x:is>
          <x:t xml:space="preserve">National Academy of Social Insurance</x:t>
        </x:is>
      </x:c>
      <x:c r="C122" s="12" t="inlineStr">
        <x:is>
          <x:t xml:space="preserve">previous_160_frozen</x:t>
        </x:is>
      </x:c>
      <x:c r="D122" s="13" t="inlineStr">
        <x:is>
          <x:t xml:space="preserve">Research, evaluation, philanthropy infrastructure, and policy</x:t>
        </x:is>
      </x:c>
      <x:c r="E122" s="12" t="inlineStr">
        <x:is>
          <x:t xml:space="preserve">functional-only</x:t>
        </x:is>
      </x:c>
      <x:c r="F122" s="12" t="inlineStr">
        <x:is>
          <x:t xml:space="preserve">independent nonprofit</x:t>
        </x:is>
      </x:c>
      <x:c r="G122" s="12" t="inlineStr">
        <x:is>
          <x:t xml:space="preserve">no</x:t>
        </x:is>
      </x:c>
      <x:c r="H122" s="12" t="inlineStr">
        <x:is>
          <x:t xml:space="preserve">frozen_candidate_not_selected</x:t>
        </x:is>
      </x:c>
      <x:c r="I122" s="12" t="inlineStr">
        <x:is>
          <x:t xml:space="preserve">not selected</x:t>
        </x:is>
      </x:c>
      <x:c r="J122" s="13" t="inlineStr">
        <x:is>
          <x:t xml:space="preserve">Frozen candidate; not promoted into the 144-organization quantitative reference set during this pass.</x:t>
        </x:is>
      </x:c>
      <x:c r="K122" s="12" t="inlineStr">
        <x:is>
          <x:t xml:space="preserve">not collected</x:t>
        </x:is>
      </x:c>
      <x:c r="L122" s="17" t="inlineStr">
        <x:is>
          <x:t xml:space="preserve">https://projects.propublica.org/nonprofits/</x:t>
        </x:is>
      </x:c>
    </x:row>
    <x:row r="123">
      <x:c r="A123" s="12" t="inlineStr">
        <x:is>
          <x:t xml:space="preserve">EXP-147</x:t>
        </x:is>
      </x:c>
      <x:c r="B123" s="12" t="inlineStr">
        <x:is>
          <x:t xml:space="preserve">MDRC</x:t>
        </x:is>
      </x:c>
      <x:c r="C123" s="12" t="inlineStr">
        <x:is>
          <x:t xml:space="preserve">previous_160_frozen</x:t>
        </x:is>
      </x:c>
      <x:c r="D123" s="13" t="inlineStr">
        <x:is>
          <x:t xml:space="preserve">Research, evaluation, philanthropy infrastructure, and policy</x:t>
        </x:is>
      </x:c>
      <x:c r="E123" s="12" t="inlineStr">
        <x:is>
          <x:t xml:space="preserve">functional-only</x:t>
        </x:is>
      </x:c>
      <x:c r="F123" s="12" t="inlineStr">
        <x:is>
          <x:t xml:space="preserve">independent nonprofit</x:t>
        </x:is>
      </x:c>
      <x:c r="G123" s="12" t="inlineStr">
        <x:is>
          <x:t xml:space="preserve">no</x:t>
        </x:is>
      </x:c>
      <x:c r="H123" s="12" t="inlineStr">
        <x:is>
          <x:t xml:space="preserve">frozen_candidate_not_selected</x:t>
        </x:is>
      </x:c>
      <x:c r="I123" s="12" t="inlineStr">
        <x:is>
          <x:t xml:space="preserve">not selected</x:t>
        </x:is>
      </x:c>
      <x:c r="J123" s="13" t="inlineStr">
        <x:is>
          <x:t xml:space="preserve">Frozen candidate; not promoted into the 144-organization quantitative reference set during this pass.</x:t>
        </x:is>
      </x:c>
      <x:c r="K123" s="12" t="inlineStr">
        <x:is>
          <x:t xml:space="preserve">not collected</x:t>
        </x:is>
      </x:c>
      <x:c r="L123" s="17" t="inlineStr">
        <x:is>
          <x:t xml:space="preserve">https://projects.propublica.org/nonprofits/</x:t>
        </x:is>
      </x:c>
    </x:row>
    <x:row r="124">
      <x:c r="A124" s="12" t="inlineStr">
        <x:is>
          <x:t xml:space="preserve">EXP-146</x:t>
        </x:is>
      </x:c>
      <x:c r="B124" s="12" t="inlineStr">
        <x:is>
          <x:t xml:space="preserve">Center for Scientific Integrity</x:t>
        </x:is>
      </x:c>
      <x:c r="C124" s="12" t="inlineStr">
        <x:is>
          <x:t xml:space="preserve">previous_160_frozen</x:t>
        </x:is>
      </x:c>
      <x:c r="D124" s="13" t="inlineStr">
        <x:is>
          <x:t xml:space="preserve">Research, evaluation, philanthropy infrastructure, and policy</x:t>
        </x:is>
      </x:c>
      <x:c r="E124" s="12" t="inlineStr">
        <x:is>
          <x:t xml:space="preserve">functional-only</x:t>
        </x:is>
      </x:c>
      <x:c r="F124" s="12" t="inlineStr">
        <x:is>
          <x:t xml:space="preserve">independent nonprofit</x:t>
        </x:is>
      </x:c>
      <x:c r="G124" s="12" t="inlineStr">
        <x:is>
          <x:t xml:space="preserve">no</x:t>
        </x:is>
      </x:c>
      <x:c r="H124" s="12" t="inlineStr">
        <x:is>
          <x:t xml:space="preserve">frozen_candidate_not_selected</x:t>
        </x:is>
      </x:c>
      <x:c r="I124" s="12" t="inlineStr">
        <x:is>
          <x:t xml:space="preserve">not selected</x:t>
        </x:is>
      </x:c>
      <x:c r="J124" s="13" t="inlineStr">
        <x:is>
          <x:t xml:space="preserve">Frozen candidate; not promoted into the 144-organization quantitative reference set during this pass.</x:t>
        </x:is>
      </x:c>
      <x:c r="K124" s="12" t="inlineStr">
        <x:is>
          <x:t xml:space="preserve">not collected</x:t>
        </x:is>
      </x:c>
      <x:c r="L124" s="17" t="inlineStr">
        <x:is>
          <x:t xml:space="preserve">https://projects.propublica.org/nonprofits/</x:t>
        </x:is>
      </x:c>
    </x:row>
    <x:row r="125">
      <x:c r="A125" s="12" t="inlineStr">
        <x:is>
          <x:t xml:space="preserve">EXP-148</x:t>
        </x:is>
      </x:c>
      <x:c r="B125" s="12" t="inlineStr">
        <x:is>
          <x:t xml:space="preserve">Urban Institute</x:t>
        </x:is>
      </x:c>
      <x:c r="C125" s="12" t="inlineStr">
        <x:is>
          <x:t xml:space="preserve">previous_160_frozen</x:t>
        </x:is>
      </x:c>
      <x:c r="D125" s="13" t="inlineStr">
        <x:is>
          <x:t xml:space="preserve">Research, evaluation, philanthropy infrastructure, and policy</x:t>
        </x:is>
      </x:c>
      <x:c r="E125" s="12" t="inlineStr">
        <x:is>
          <x:t xml:space="preserve">functional-only</x:t>
        </x:is>
      </x:c>
      <x:c r="F125" s="12" t="inlineStr">
        <x:is>
          <x:t xml:space="preserve">independent nonprofit</x:t>
        </x:is>
      </x:c>
      <x:c r="G125" s="12" t="inlineStr">
        <x:is>
          <x:t xml:space="preserve">no</x:t>
        </x:is>
      </x:c>
      <x:c r="H125" s="12" t="inlineStr">
        <x:is>
          <x:t xml:space="preserve">frozen_candidate_not_selected</x:t>
        </x:is>
      </x:c>
      <x:c r="I125" s="12" t="inlineStr">
        <x:is>
          <x:t xml:space="preserve">not selected</x:t>
        </x:is>
      </x:c>
      <x:c r="J125" s="13" t="inlineStr">
        <x:is>
          <x:t xml:space="preserve">Frozen candidate; not promoted into the 144-organization quantitative reference set during this pass.</x:t>
        </x:is>
      </x:c>
      <x:c r="K125" s="12" t="inlineStr">
        <x:is>
          <x:t xml:space="preserve">not collected</x:t>
        </x:is>
      </x:c>
      <x:c r="L125" s="17" t="inlineStr">
        <x:is>
          <x:t xml:space="preserve">https://projects.propublica.org/nonprofits/</x:t>
        </x:is>
      </x:c>
    </x:row>
    <x:row r="126">
      <x:c r="A126" s="12" t="inlineStr">
        <x:is>
          <x:t xml:space="preserve">EXP-003</x:t>
        </x:is>
      </x:c>
      <x:c r="B126" s="12" t="inlineStr">
        <x:is>
          <x:t xml:space="preserve">80,000 Hours</x:t>
        </x:is>
      </x:c>
      <x:c r="C126" s="12" t="inlineStr">
        <x:is>
          <x:t xml:space="preserve">previous_160_frozen</x:t>
        </x:is>
      </x:c>
      <x:c r="D126" s="12" t="inlineStr">
        <x:is>
          <x:t xml:space="preserve">EA infrastructure and effective giving</x:t>
        </x:is>
      </x:c>
      <x:c r="E126" s="12" t="inlineStr">
        <x:is>
          <x:t xml:space="preserve">EA-core</x:t>
        </x:is>
      </x:c>
      <x:c r="F126" s="12" t="inlineStr">
        <x:is>
          <x:t xml:space="preserve">project within Effective Ventures</x:t>
        </x:is>
      </x:c>
      <x:c r="G126" s="12" t="inlineStr">
        <x:is>
          <x:t xml:space="preserve">no</x:t>
        </x:is>
      </x:c>
      <x:c r="H126" s="12" t="inlineStr">
        <x:is>
          <x:t xml:space="preserve">frozen_candidate_not_selected</x:t>
        </x:is>
      </x:c>
      <x:c r="I126" s="12" t="inlineStr">
        <x:is>
          <x:t xml:space="preserve">not selected</x:t>
        </x:is>
      </x:c>
      <x:c r="J126" s="13" t="inlineStr">
        <x:is>
          <x:t xml:space="preserve">Frozen candidate; not promoted into the 144-organization quantitative reference set during this pass.</x:t>
        </x:is>
      </x:c>
      <x:c r="K126" s="12" t="inlineStr">
        <x:is>
          <x:t xml:space="preserve">not collected</x:t>
        </x:is>
      </x:c>
      <x:c r="L126" s="16" t="inlineStr">
        <x:is>
          <x:t xml:space="preserve">https://forum.effectivealtruism.org/posts/dm2uawLLeLbY8WNKM/updates-on-the-effective-giving-ecosystem-mcf-2025-memo</x:t>
        </x:is>
      </x:c>
    </x:row>
    <x:row r="127">
      <x:c r="A127" s="12" t="inlineStr">
        <x:is>
          <x:t xml:space="preserve">EXP-037</x:t>
        </x:is>
      </x:c>
      <x:c r="B127" s="12" t="inlineStr">
        <x:is>
          <x:t xml:space="preserve">Abdul Latif Jameel Poverty Action Lab</x:t>
        </x:is>
      </x:c>
      <x:c r="C127" s="12" t="inlineStr">
        <x:is>
          <x:t xml:space="preserve">previous_160_frozen</x:t>
        </x:is>
      </x:c>
      <x:c r="D127" s="12" t="inlineStr">
        <x:is>
          <x:t xml:space="preserve">Global health, development, and evidence</x:t>
        </x:is>
      </x:c>
      <x:c r="E127" s="12" t="inlineStr">
        <x:is>
          <x:t xml:space="preserve">EA-adjacent</x:t>
        </x:is>
      </x:c>
      <x:c r="F127" s="12" t="inlineStr">
        <x:is>
          <x:t xml:space="preserve">university center</x:t>
        </x:is>
      </x:c>
      <x:c r="G127" s="12" t="inlineStr">
        <x:is>
          <x:t xml:space="preserve">no</x:t>
        </x:is>
      </x:c>
      <x:c r="H127" s="12" t="inlineStr">
        <x:is>
          <x:t xml:space="preserve">frozen_candidate_not_selected</x:t>
        </x:is>
      </x:c>
      <x:c r="I127" s="12" t="inlineStr">
        <x:is>
          <x:t xml:space="preserve">not selected</x:t>
        </x:is>
      </x:c>
      <x:c r="J127" s="13" t="inlineStr">
        <x:is>
          <x:t xml:space="preserve">Frozen candidate; not promoted into the 144-organization quantitative reference set during this pass.</x:t>
        </x:is>
      </x:c>
      <x:c r="K127" s="12" t="inlineStr">
        <x:is>
          <x:t xml:space="preserve">not collected</x:t>
        </x:is>
      </x:c>
      <x:c r="L127" s="16" t="inlineStr">
        <x:is>
          <x:t xml:space="preserve">https://forum.effectivealtruism.org/topics/organizations-and-projects-in-effective-altruism</x:t>
        </x:is>
      </x:c>
    </x:row>
    <x:row r="128">
      <x:c r="A128" s="12" t="inlineStr">
        <x:is>
          <x:t xml:space="preserve">EXP-127</x:t>
        </x:is>
      </x:c>
      <x:c r="B128" s="12" t="inlineStr">
        <x:is>
          <x:t xml:space="preserve">Algorithmic Justice League</x:t>
        </x:is>
      </x:c>
      <x:c r="C128" s="12" t="inlineStr">
        <x:is>
          <x:t xml:space="preserve">previous_160_frozen</x:t>
        </x:is>
      </x:c>
      <x:c r="D128" s="13" t="inlineStr">
        <x:is>
          <x:t xml:space="preserve">AI, catastrophic risk, biosecurity, and technology policy</x:t>
        </x:is>
      </x:c>
      <x:c r="E128" s="12" t="inlineStr">
        <x:is>
          <x:t xml:space="preserve">EA-adjacent</x:t>
        </x:is>
      </x:c>
      <x:c r="F128" s="12" t="inlineStr">
        <x:is>
          <x:t xml:space="preserve">independent nonprofit</x:t>
        </x:is>
      </x:c>
      <x:c r="G128" s="12" t="inlineStr">
        <x:is>
          <x:t xml:space="preserve">no</x:t>
        </x:is>
      </x:c>
      <x:c r="H128" s="12" t="inlineStr">
        <x:is>
          <x:t xml:space="preserve">frozen_candidate_not_selected</x:t>
        </x:is>
      </x:c>
      <x:c r="I128" s="12" t="inlineStr">
        <x:is>
          <x:t xml:space="preserve">not selected</x:t>
        </x:is>
      </x:c>
      <x:c r="J128" s="13" t="inlineStr">
        <x:is>
          <x:t xml:space="preserve">Frozen candidate; not promoted into the 144-organization quantitative reference set during this pass.</x:t>
        </x:is>
      </x:c>
      <x:c r="K128" s="12" t="inlineStr">
        <x:is>
          <x:t xml:space="preserve">not collected</x:t>
        </x:is>
      </x:c>
      <x:c r="L128" s="16" t="inlineStr">
        <x:is>
          <x:t xml:space="preserve">https://80000hours.org/topic/top-recommended-organisations/</x:t>
        </x:is>
      </x:c>
    </x:row>
    <x:row r="129">
      <x:c r="A129" s="12" t="inlineStr">
        <x:is>
          <x:t xml:space="preserve">EXP-016</x:t>
        </x:is>
      </x:c>
      <x:c r="B129" s="13" t="inlineStr">
        <x:is>
          <x:t xml:space="preserve">Ambitious Impact (formerly Charity Entrepreneurship)</x:t>
        </x:is>
      </x:c>
      <x:c r="C129" s="12" t="inlineStr">
        <x:is>
          <x:t xml:space="preserve">previous_160_frozen</x:t>
        </x:is>
      </x:c>
      <x:c r="D129" s="12" t="inlineStr">
        <x:is>
          <x:t xml:space="preserve">EA infrastructure and effective giving</x:t>
        </x:is>
      </x:c>
      <x:c r="E129" s="12" t="inlineStr">
        <x:is>
          <x:t xml:space="preserve">EA-core</x:t>
        </x:is>
      </x:c>
      <x:c r="F129" s="12" t="inlineStr">
        <x:is>
          <x:t xml:space="preserve">independent charity</x:t>
        </x:is>
      </x:c>
      <x:c r="G129" s="12" t="inlineStr">
        <x:is>
          <x:t xml:space="preserve">no</x:t>
        </x:is>
      </x:c>
      <x:c r="H129" s="12" t="inlineStr">
        <x:is>
          <x:t xml:space="preserve">frozen_candidate_not_selected</x:t>
        </x:is>
      </x:c>
      <x:c r="I129" s="12" t="inlineStr">
        <x:is>
          <x:t xml:space="preserve">not selected</x:t>
        </x:is>
      </x:c>
      <x:c r="J129" s="13" t="inlineStr">
        <x:is>
          <x:t xml:space="preserve">Frozen candidate; not promoted into the 144-organization quantitative reference set during this pass.</x:t>
        </x:is>
      </x:c>
      <x:c r="K129" s="12" t="inlineStr">
        <x:is>
          <x:t xml:space="preserve">not collected</x:t>
        </x:is>
      </x:c>
      <x:c r="L129" s="16" t="inlineStr">
        <x:is>
          <x:t xml:space="preserve">https://forum.effectivealtruism.org/posts/dm2uawLLeLbY8WNKM/updates-on-the-effective-giving-ecosystem-mcf-2025-memo</x:t>
        </x:is>
      </x:c>
    </x:row>
    <x:row r="130">
      <x:c r="A130" s="12" t="inlineStr">
        <x:is>
          <x:t xml:space="preserve">EXP-081</x:t>
        </x:is>
      </x:c>
      <x:c r="B130" s="12" t="inlineStr">
        <x:is>
          <x:t xml:space="preserve">Animal Advocacy Careers</x:t>
        </x:is>
      </x:c>
      <x:c r="C130" s="12" t="inlineStr">
        <x:is>
          <x:t xml:space="preserve">previous_160_frozen</x:t>
        </x:is>
      </x:c>
      <x:c r="D130" s="12" t="inlineStr">
        <x:is>
          <x:t xml:space="preserve">Animal welfare and food systems</x:t>
        </x:is>
      </x:c>
      <x:c r="E130" s="12" t="inlineStr">
        <x:is>
          <x:t xml:space="preserve">EA-adjacent</x:t>
        </x:is>
      </x:c>
      <x:c r="F130" s="12" t="inlineStr">
        <x:is>
          <x:t xml:space="preserve">nonprofit/project</x:t>
        </x:is>
      </x:c>
      <x:c r="G130" s="12" t="inlineStr">
        <x:is>
          <x:t xml:space="preserve">no</x:t>
        </x:is>
      </x:c>
      <x:c r="H130" s="12" t="inlineStr">
        <x:is>
          <x:t xml:space="preserve">frozen_candidate_not_selected</x:t>
        </x:is>
      </x:c>
      <x:c r="I130" s="12" t="inlineStr">
        <x:is>
          <x:t xml:space="preserve">not selected</x:t>
        </x:is>
      </x:c>
      <x:c r="J130" s="13" t="inlineStr">
        <x:is>
          <x:t xml:space="preserve">Frozen candidate; not promoted into the 144-organization quantitative reference set during this pass.</x:t>
        </x:is>
      </x:c>
      <x:c r="K130" s="12" t="inlineStr">
        <x:is>
          <x:t xml:space="preserve">not collected</x:t>
        </x:is>
      </x:c>
      <x:c r="L130" s="16" t="inlineStr">
        <x:is>
          <x:t xml:space="preserve">https://forum.effectivealtruism.org/topics/organizations-and-projects-in-effective-altruism</x:t>
        </x:is>
      </x:c>
    </x:row>
    <x:row r="131">
      <x:c r="A131" s="12" t="inlineStr">
        <x:is>
          <x:t xml:space="preserve">EXP-080</x:t>
        </x:is>
      </x:c>
      <x:c r="B131" s="12" t="inlineStr">
        <x:is>
          <x:t xml:space="preserve">Animal Ask</x:t>
        </x:is>
      </x:c>
      <x:c r="C131" s="12" t="inlineStr">
        <x:is>
          <x:t xml:space="preserve">previous_160_frozen</x:t>
        </x:is>
      </x:c>
      <x:c r="D131" s="12" t="inlineStr">
        <x:is>
          <x:t xml:space="preserve">Animal welfare and food systems</x:t>
        </x:is>
      </x:c>
      <x:c r="E131" s="12" t="inlineStr">
        <x:is>
          <x:t xml:space="preserve">EA-adjacent</x:t>
        </x:is>
      </x:c>
      <x:c r="F131" s="12" t="inlineStr">
        <x:is>
          <x:t xml:space="preserve">nonprofit/project</x:t>
        </x:is>
      </x:c>
      <x:c r="G131" s="12" t="inlineStr">
        <x:is>
          <x:t xml:space="preserve">no</x:t>
        </x:is>
      </x:c>
      <x:c r="H131" s="12" t="inlineStr">
        <x:is>
          <x:t xml:space="preserve">frozen_candidate_not_selected</x:t>
        </x:is>
      </x:c>
      <x:c r="I131" s="12" t="inlineStr">
        <x:is>
          <x:t xml:space="preserve">not selected</x:t>
        </x:is>
      </x:c>
      <x:c r="J131" s="13" t="inlineStr">
        <x:is>
          <x:t xml:space="preserve">Frozen candidate; not promoted into the 144-organization quantitative reference set during this pass.</x:t>
        </x:is>
      </x:c>
      <x:c r="K131" s="12" t="inlineStr">
        <x:is>
          <x:t xml:space="preserve">not collected</x:t>
        </x:is>
      </x:c>
      <x:c r="L131" s="16" t="inlineStr">
        <x:is>
          <x:t xml:space="preserve">https://forum.effectivealtruism.org/topics/organizations-and-projects-in-effective-altruism</x:t>
        </x:is>
      </x:c>
    </x:row>
    <x:row r="132">
      <x:c r="A132" s="12" t="inlineStr">
        <x:is>
          <x:t xml:space="preserve">EXP-020</x:t>
        </x:is>
      </x:c>
      <x:c r="B132" s="12" t="inlineStr">
        <x:is>
          <x:t xml:space="preserve">Ayuda Efectiva</x:t>
        </x:is>
      </x:c>
      <x:c r="C132" s="12" t="inlineStr">
        <x:is>
          <x:t xml:space="preserve">previous_160_frozen</x:t>
        </x:is>
      </x:c>
      <x:c r="D132" s="12" t="inlineStr">
        <x:is>
          <x:t xml:space="preserve">EA infrastructure and effective giving</x:t>
        </x:is>
      </x:c>
      <x:c r="E132" s="12" t="inlineStr">
        <x:is>
          <x:t xml:space="preserve">EA-core</x:t>
        </x:is>
      </x:c>
      <x:c r="F132" s="12" t="inlineStr">
        <x:is>
          <x:t xml:space="preserve">independent nonprofit</x:t>
        </x:is>
      </x:c>
      <x:c r="G132" s="12" t="inlineStr">
        <x:is>
          <x:t xml:space="preserve">no</x:t>
        </x:is>
      </x:c>
      <x:c r="H132" s="12" t="inlineStr">
        <x:is>
          <x:t xml:space="preserve">frozen_candidate_not_selected</x:t>
        </x:is>
      </x:c>
      <x:c r="I132" s="12" t="inlineStr">
        <x:is>
          <x:t xml:space="preserve">not selected</x:t>
        </x:is>
      </x:c>
      <x:c r="J132" s="13" t="inlineStr">
        <x:is>
          <x:t xml:space="preserve">Frozen candidate; not promoted into the 144-organization quantitative reference set during this pass.</x:t>
        </x:is>
      </x:c>
      <x:c r="K132" s="12" t="inlineStr">
        <x:is>
          <x:t xml:space="preserve">not collected</x:t>
        </x:is>
      </x:c>
      <x:c r="L132" s="16" t="inlineStr">
        <x:is>
          <x:t xml:space="preserve">https://forum.effectivealtruism.org/posts/dm2uawLLeLbY8WNKM/updates-on-the-effective-giving-ecosystem-mcf-2025-memo</x:t>
        </x:is>
      </x:c>
    </x:row>
    <x:row r="133">
      <x:c r="A133" s="12" t="inlineStr">
        <x:is>
          <x:t xml:space="preserve">EXP-084</x:t>
        </x:is>
      </x:c>
      <x:c r="B133" s="12" t="inlineStr">
        <x:is>
          <x:t xml:space="preserve">Cellular Agriculture Society</x:t>
        </x:is>
      </x:c>
      <x:c r="C133" s="12" t="inlineStr">
        <x:is>
          <x:t xml:space="preserve">previous_160_frozen</x:t>
        </x:is>
      </x:c>
      <x:c r="D133" s="12" t="inlineStr">
        <x:is>
          <x:t xml:space="preserve">Animal welfare and food systems</x:t>
        </x:is>
      </x:c>
      <x:c r="E133" s="12" t="inlineStr">
        <x:is>
          <x:t xml:space="preserve">EA-adjacent</x:t>
        </x:is>
      </x:c>
      <x:c r="F133" s="12" t="inlineStr">
        <x:is>
          <x:t xml:space="preserve">independent nonprofit</x:t>
        </x:is>
      </x:c>
      <x:c r="G133" s="12" t="inlineStr">
        <x:is>
          <x:t xml:space="preserve">no</x:t>
        </x:is>
      </x:c>
      <x:c r="H133" s="12" t="inlineStr">
        <x:is>
          <x:t xml:space="preserve">frozen_candidate_not_selected</x:t>
        </x:is>
      </x:c>
      <x:c r="I133" s="12" t="inlineStr">
        <x:is>
          <x:t xml:space="preserve">not selected</x:t>
        </x:is>
      </x:c>
      <x:c r="J133" s="13" t="inlineStr">
        <x:is>
          <x:t xml:space="preserve">Frozen candidate; not promoted into the 144-organization quantitative reference set during this pass.</x:t>
        </x:is>
      </x:c>
      <x:c r="K133" s="12" t="inlineStr">
        <x:is>
          <x:t xml:space="preserve">not collected</x:t>
        </x:is>
      </x:c>
      <x:c r="L133" s="16" t="inlineStr">
        <x:is>
          <x:t xml:space="preserve">https://forum.effectivealtruism.org/topics/organizations-and-projects-in-effective-altruism</x:t>
        </x:is>
      </x:c>
    </x:row>
    <x:row r="134">
      <x:c r="A134" s="12" t="inlineStr">
        <x:is>
          <x:t xml:space="preserve">EXP-002</x:t>
        </x:is>
      </x:c>
      <x:c r="B134" s="12" t="inlineStr">
        <x:is>
          <x:t xml:space="preserve">Centre for Effective Altruism</x:t>
        </x:is>
      </x:c>
      <x:c r="C134" s="12" t="inlineStr">
        <x:is>
          <x:t xml:space="preserve">previous_160_frozen</x:t>
        </x:is>
      </x:c>
      <x:c r="D134" s="12" t="inlineStr">
        <x:is>
          <x:t xml:space="preserve">EA infrastructure and effective giving</x:t>
        </x:is>
      </x:c>
      <x:c r="E134" s="12" t="inlineStr">
        <x:is>
          <x:t xml:space="preserve">EA-core</x:t>
        </x:is>
      </x:c>
      <x:c r="F134" s="12" t="inlineStr">
        <x:is>
          <x:t xml:space="preserve">project within Effective Ventures</x:t>
        </x:is>
      </x:c>
      <x:c r="G134" s="12" t="inlineStr">
        <x:is>
          <x:t xml:space="preserve">no</x:t>
        </x:is>
      </x:c>
      <x:c r="H134" s="12" t="inlineStr">
        <x:is>
          <x:t xml:space="preserve">frozen_candidate_not_selected</x:t>
        </x:is>
      </x:c>
      <x:c r="I134" s="12" t="inlineStr">
        <x:is>
          <x:t xml:space="preserve">not selected</x:t>
        </x:is>
      </x:c>
      <x:c r="J134" s="13" t="inlineStr">
        <x:is>
          <x:t xml:space="preserve">Frozen candidate; not promoted into the 144-organization quantitative reference set during this pass.</x:t>
        </x:is>
      </x:c>
      <x:c r="K134" s="12" t="inlineStr">
        <x:is>
          <x:t xml:space="preserve">not collected</x:t>
        </x:is>
      </x:c>
      <x:c r="L134" s="16" t="inlineStr">
        <x:is>
          <x:t xml:space="preserve">https://forum.effectivealtruism.org/posts/dm2uawLLeLbY8WNKM/updates-on-the-effective-giving-ecosystem-mcf-2025-memo</x:t>
        </x:is>
      </x:c>
    </x:row>
    <x:row r="135">
      <x:c r="A135" s="12" t="inlineStr">
        <x:is>
          <x:t xml:space="preserve">EXP-017</x:t>
        </x:is>
      </x:c>
      <x:c r="B135" s="12" t="inlineStr">
        <x:is>
          <x:t xml:space="preserve">Charity Science Foundation</x:t>
        </x:is>
      </x:c>
      <x:c r="C135" s="12" t="inlineStr">
        <x:is>
          <x:t xml:space="preserve">previous_160_frozen</x:t>
        </x:is>
      </x:c>
      <x:c r="D135" s="12" t="inlineStr">
        <x:is>
          <x:t xml:space="preserve">EA infrastructure and effective giving</x:t>
        </x:is>
      </x:c>
      <x:c r="E135" s="12" t="inlineStr">
        <x:is>
          <x:t xml:space="preserve">EA-core</x:t>
        </x:is>
      </x:c>
      <x:c r="F135" s="12" t="inlineStr">
        <x:is>
          <x:t xml:space="preserve">independent charity</x:t>
        </x:is>
      </x:c>
      <x:c r="G135" s="12" t="inlineStr">
        <x:is>
          <x:t xml:space="preserve">no</x:t>
        </x:is>
      </x:c>
      <x:c r="H135" s="12" t="inlineStr">
        <x:is>
          <x:t xml:space="preserve">frozen_candidate_not_selected</x:t>
        </x:is>
      </x:c>
      <x:c r="I135" s="12" t="inlineStr">
        <x:is>
          <x:t xml:space="preserve">not selected</x:t>
        </x:is>
      </x:c>
      <x:c r="J135" s="13" t="inlineStr">
        <x:is>
          <x:t xml:space="preserve">Frozen candidate; not promoted into the 144-organization quantitative reference set during this pass.</x:t>
        </x:is>
      </x:c>
      <x:c r="K135" s="12" t="inlineStr">
        <x:is>
          <x:t xml:space="preserve">not collected</x:t>
        </x:is>
      </x:c>
      <x:c r="L135" s="16" t="inlineStr">
        <x:is>
          <x:t xml:space="preserve">https://forum.effectivealtruism.org/posts/dm2uawLLeLbY8WNKM/updates-on-the-effective-giving-ecosystem-mcf-2025-memo</x:t>
        </x:is>
      </x:c>
    </x:row>
    <x:row r="136">
      <x:c r="A136" s="12" t="inlineStr">
        <x:is>
          <x:t xml:space="preserve">EXP-079</x:t>
        </x:is>
      </x:c>
      <x:c r="B136" s="12" t="inlineStr">
        <x:is>
          <x:t xml:space="preserve">Crustacean Compassion</x:t>
        </x:is>
      </x:c>
      <x:c r="C136" s="12" t="inlineStr">
        <x:is>
          <x:t xml:space="preserve">previous_160_frozen</x:t>
        </x:is>
      </x:c>
      <x:c r="D136" s="12" t="inlineStr">
        <x:is>
          <x:t xml:space="preserve">Animal welfare and food systems</x:t>
        </x:is>
      </x:c>
      <x:c r="E136" s="12" t="inlineStr">
        <x:is>
          <x:t xml:space="preserve">EA-adjacent</x:t>
        </x:is>
      </x:c>
      <x:c r="F136" s="12" t="inlineStr">
        <x:is>
          <x:t xml:space="preserve">independent charity</x:t>
        </x:is>
      </x:c>
      <x:c r="G136" s="12" t="inlineStr">
        <x:is>
          <x:t xml:space="preserve">no</x:t>
        </x:is>
      </x:c>
      <x:c r="H136" s="12" t="inlineStr">
        <x:is>
          <x:t xml:space="preserve">frozen_candidate_not_selected</x:t>
        </x:is>
      </x:c>
      <x:c r="I136" s="12" t="inlineStr">
        <x:is>
          <x:t xml:space="preserve">not selected</x:t>
        </x:is>
      </x:c>
      <x:c r="J136" s="13" t="inlineStr">
        <x:is>
          <x:t xml:space="preserve">Frozen candidate; not promoted into the 144-organization quantitative reference set during this pass.</x:t>
        </x:is>
      </x:c>
      <x:c r="K136" s="12" t="inlineStr">
        <x:is>
          <x:t xml:space="preserve">not collected</x:t>
        </x:is>
      </x:c>
      <x:c r="L136" s="16" t="inlineStr">
        <x:is>
          <x:t xml:space="preserve">https://forum.effectivealtruism.org/topics/organizations-and-projects-in-effective-altruism</x:t>
        </x:is>
      </x:c>
    </x:row>
    <x:row r="137">
      <x:c r="A137" s="12" t="inlineStr">
        <x:is>
          <x:t xml:space="preserve">EXP-021</x:t>
        </x:is>
      </x:c>
      <x:c r="B137" s="12" t="inlineStr">
        <x:is>
          <x:t xml:space="preserve">Doebem</x:t>
        </x:is>
      </x:c>
      <x:c r="C137" s="12" t="inlineStr">
        <x:is>
          <x:t xml:space="preserve">previous_160_frozen</x:t>
        </x:is>
      </x:c>
      <x:c r="D137" s="12" t="inlineStr">
        <x:is>
          <x:t xml:space="preserve">EA infrastructure and effective giving</x:t>
        </x:is>
      </x:c>
      <x:c r="E137" s="12" t="inlineStr">
        <x:is>
          <x:t xml:space="preserve">EA-core</x:t>
        </x:is>
      </x:c>
      <x:c r="F137" s="12" t="inlineStr">
        <x:is>
          <x:t xml:space="preserve">independent nonprofit</x:t>
        </x:is>
      </x:c>
      <x:c r="G137" s="12" t="inlineStr">
        <x:is>
          <x:t xml:space="preserve">no</x:t>
        </x:is>
      </x:c>
      <x:c r="H137" s="12" t="inlineStr">
        <x:is>
          <x:t xml:space="preserve">frozen_candidate_not_selected</x:t>
        </x:is>
      </x:c>
      <x:c r="I137" s="12" t="inlineStr">
        <x:is>
          <x:t xml:space="preserve">not selected</x:t>
        </x:is>
      </x:c>
      <x:c r="J137" s="13" t="inlineStr">
        <x:is>
          <x:t xml:space="preserve">Frozen candidate; not promoted into the 144-organization quantitative reference set during this pass.</x:t>
        </x:is>
      </x:c>
      <x:c r="K137" s="12" t="inlineStr">
        <x:is>
          <x:t xml:space="preserve">not collected</x:t>
        </x:is>
      </x:c>
      <x:c r="L137" s="16" t="inlineStr">
        <x:is>
          <x:t xml:space="preserve">https://forum.effectivealtruism.org/posts/dm2uawLLeLbY8WNKM/updates-on-the-effective-giving-ecosystem-mcf-2025-memo</x:t>
        </x:is>
      </x:c>
    </x:row>
    <x:row r="138">
      <x:c r="A138" s="12" t="inlineStr">
        <x:is>
          <x:t xml:space="preserve">EXP-024</x:t>
        </x:is>
      </x:c>
      <x:c r="B138" s="12" t="inlineStr">
        <x:is>
          <x:t xml:space="preserve">Effective Altruism Australia</x:t>
        </x:is>
      </x:c>
      <x:c r="C138" s="12" t="inlineStr">
        <x:is>
          <x:t xml:space="preserve">previous_160_frozen</x:t>
        </x:is>
      </x:c>
      <x:c r="D138" s="12" t="inlineStr">
        <x:is>
          <x:t xml:space="preserve">EA infrastructure and effective giving</x:t>
        </x:is>
      </x:c>
      <x:c r="E138" s="12" t="inlineStr">
        <x:is>
          <x:t xml:space="preserve">EA-core</x:t>
        </x:is>
      </x:c>
      <x:c r="F138" s="12" t="inlineStr">
        <x:is>
          <x:t xml:space="preserve">independent charity</x:t>
        </x:is>
      </x:c>
      <x:c r="G138" s="12" t="inlineStr">
        <x:is>
          <x:t xml:space="preserve">no</x:t>
        </x:is>
      </x:c>
      <x:c r="H138" s="12" t="inlineStr">
        <x:is>
          <x:t xml:space="preserve">frozen_candidate_not_selected</x:t>
        </x:is>
      </x:c>
      <x:c r="I138" s="12" t="inlineStr">
        <x:is>
          <x:t xml:space="preserve">not selected</x:t>
        </x:is>
      </x:c>
      <x:c r="J138" s="13" t="inlineStr">
        <x:is>
          <x:t xml:space="preserve">Frozen candidate; not promoted into the 144-organization quantitative reference set during this pass.</x:t>
        </x:is>
      </x:c>
      <x:c r="K138" s="12" t="inlineStr">
        <x:is>
          <x:t xml:space="preserve">not collected</x:t>
        </x:is>
      </x:c>
      <x:c r="L138" s="16" t="inlineStr">
        <x:is>
          <x:t xml:space="preserve">https://forum.effectivealtruism.org/posts/dm2uawLLeLbY8WNKM/updates-on-the-effective-giving-ecosystem-mcf-2025-memo</x:t>
        </x:is>
      </x:c>
    </x:row>
    <x:row r="139">
      <x:c r="A139" s="12" t="inlineStr">
        <x:is>
          <x:t xml:space="preserve">EXP-027</x:t>
        </x:is>
      </x:c>
      <x:c r="B139" s="12" t="inlineStr">
        <x:is>
          <x:t xml:space="preserve">Effective Altruism France</x:t>
        </x:is>
      </x:c>
      <x:c r="C139" s="12" t="inlineStr">
        <x:is>
          <x:t xml:space="preserve">previous_160_frozen</x:t>
        </x:is>
      </x:c>
      <x:c r="D139" s="12" t="inlineStr">
        <x:is>
          <x:t xml:space="preserve">EA infrastructure and effective giving</x:t>
        </x:is>
      </x:c>
      <x:c r="E139" s="12" t="inlineStr">
        <x:is>
          <x:t xml:space="preserve">EA-core</x:t>
        </x:is>
      </x:c>
      <x:c r="F139" s="12" t="inlineStr">
        <x:is>
          <x:t xml:space="preserve">independent nonprofit</x:t>
        </x:is>
      </x:c>
      <x:c r="G139" s="12" t="inlineStr">
        <x:is>
          <x:t xml:space="preserve">no</x:t>
        </x:is>
      </x:c>
      <x:c r="H139" s="12" t="inlineStr">
        <x:is>
          <x:t xml:space="preserve">frozen_candidate_not_selected</x:t>
        </x:is>
      </x:c>
      <x:c r="I139" s="12" t="inlineStr">
        <x:is>
          <x:t xml:space="preserve">not selected</x:t>
        </x:is>
      </x:c>
      <x:c r="J139" s="13" t="inlineStr">
        <x:is>
          <x:t xml:space="preserve">Frozen candidate; not promoted into the 144-organization quantitative reference set during this pass.</x:t>
        </x:is>
      </x:c>
      <x:c r="K139" s="12" t="inlineStr">
        <x:is>
          <x:t xml:space="preserve">not collected</x:t>
        </x:is>
      </x:c>
      <x:c r="L139" s="16" t="inlineStr">
        <x:is>
          <x:t xml:space="preserve">https://forum.effectivealtruism.org/posts/dm2uawLLeLbY8WNKM/updates-on-the-effective-giving-ecosystem-mcf-2025-memo</x:t>
        </x:is>
      </x:c>
    </x:row>
    <x:row r="140">
      <x:c r="A140" s="12" t="inlineStr">
        <x:is>
          <x:t xml:space="preserve">EXP-005</x:t>
        </x:is>
      </x:c>
      <x:c r="B140" s="12" t="inlineStr">
        <x:is>
          <x:t xml:space="preserve">Effective Altruism Funds</x:t>
        </x:is>
      </x:c>
      <x:c r="C140" s="12" t="inlineStr">
        <x:is>
          <x:t xml:space="preserve">previous_160_frozen</x:t>
        </x:is>
      </x:c>
      <x:c r="D140" s="12" t="inlineStr">
        <x:is>
          <x:t xml:space="preserve">EA infrastructure and effective giving</x:t>
        </x:is>
      </x:c>
      <x:c r="E140" s="12" t="inlineStr">
        <x:is>
          <x:t xml:space="preserve">EA-core</x:t>
        </x:is>
      </x:c>
      <x:c r="F140" s="12" t="inlineStr">
        <x:is>
          <x:t xml:space="preserve">project within Effective Ventures</x:t>
        </x:is>
      </x:c>
      <x:c r="G140" s="12" t="inlineStr">
        <x:is>
          <x:t xml:space="preserve">no</x:t>
        </x:is>
      </x:c>
      <x:c r="H140" s="12" t="inlineStr">
        <x:is>
          <x:t xml:space="preserve">frozen_candidate_not_selected</x:t>
        </x:is>
      </x:c>
      <x:c r="I140" s="12" t="inlineStr">
        <x:is>
          <x:t xml:space="preserve">not selected</x:t>
        </x:is>
      </x:c>
      <x:c r="J140" s="13" t="inlineStr">
        <x:is>
          <x:t xml:space="preserve">Frozen candidate; not promoted into the 144-organization quantitative reference set during this pass.</x:t>
        </x:is>
      </x:c>
      <x:c r="K140" s="12" t="inlineStr">
        <x:is>
          <x:t xml:space="preserve">not collected</x:t>
        </x:is>
      </x:c>
      <x:c r="L140" s="16" t="inlineStr">
        <x:is>
          <x:t xml:space="preserve">https://forum.effectivealtruism.org/posts/dm2uawLLeLbY8WNKM/updates-on-the-effective-giving-ecosystem-mcf-2025-memo</x:t>
        </x:is>
      </x:c>
    </x:row>
    <x:row r="141">
      <x:c r="A141" s="12" t="inlineStr">
        <x:is>
          <x:t xml:space="preserve">EXP-025</x:t>
        </x:is>
      </x:c>
      <x:c r="B141" s="12" t="inlineStr">
        <x:is>
          <x:t xml:space="preserve">Effective Altruism Germany</x:t>
        </x:is>
      </x:c>
      <x:c r="C141" s="12" t="inlineStr">
        <x:is>
          <x:t xml:space="preserve">previous_160_frozen</x:t>
        </x:is>
      </x:c>
      <x:c r="D141" s="12" t="inlineStr">
        <x:is>
          <x:t xml:space="preserve">EA infrastructure and effective giving</x:t>
        </x:is>
      </x:c>
      <x:c r="E141" s="12" t="inlineStr">
        <x:is>
          <x:t xml:space="preserve">EA-core</x:t>
        </x:is>
      </x:c>
      <x:c r="F141" s="12" t="inlineStr">
        <x:is>
          <x:t xml:space="preserve">independent nonprofit</x:t>
        </x:is>
      </x:c>
      <x:c r="G141" s="12" t="inlineStr">
        <x:is>
          <x:t xml:space="preserve">no</x:t>
        </x:is>
      </x:c>
      <x:c r="H141" s="12" t="inlineStr">
        <x:is>
          <x:t xml:space="preserve">frozen_candidate_not_selected</x:t>
        </x:is>
      </x:c>
      <x:c r="I141" s="12" t="inlineStr">
        <x:is>
          <x:t xml:space="preserve">not selected</x:t>
        </x:is>
      </x:c>
      <x:c r="J141" s="13" t="inlineStr">
        <x:is>
          <x:t xml:space="preserve">Frozen candidate; not promoted into the 144-organization quantitative reference set during this pass.</x:t>
        </x:is>
      </x:c>
      <x:c r="K141" s="12" t="inlineStr">
        <x:is>
          <x:t xml:space="preserve">not collected</x:t>
        </x:is>
      </x:c>
      <x:c r="L141" s="16" t="inlineStr">
        <x:is>
          <x:t xml:space="preserve">https://forum.effectivealtruism.org/posts/dm2uawLLeLbY8WNKM/updates-on-the-effective-giving-ecosystem-mcf-2025-memo</x:t>
        </x:is>
      </x:c>
    </x:row>
    <x:row r="142">
      <x:c r="A142" s="12" t="inlineStr">
        <x:is>
          <x:t xml:space="preserve">EXP-026</x:t>
        </x:is>
      </x:c>
      <x:c r="B142" s="12" t="inlineStr">
        <x:is>
          <x:t xml:space="preserve">Effective Altruism Netherlands</x:t>
        </x:is>
      </x:c>
      <x:c r="C142" s="12" t="inlineStr">
        <x:is>
          <x:t xml:space="preserve">previous_160_frozen</x:t>
        </x:is>
      </x:c>
      <x:c r="D142" s="12" t="inlineStr">
        <x:is>
          <x:t xml:space="preserve">EA infrastructure and effective giving</x:t>
        </x:is>
      </x:c>
      <x:c r="E142" s="12" t="inlineStr">
        <x:is>
          <x:t xml:space="preserve">EA-core</x:t>
        </x:is>
      </x:c>
      <x:c r="F142" s="12" t="inlineStr">
        <x:is>
          <x:t xml:space="preserve">independent nonprofit</x:t>
        </x:is>
      </x:c>
      <x:c r="G142" s="12" t="inlineStr">
        <x:is>
          <x:t xml:space="preserve">no</x:t>
        </x:is>
      </x:c>
      <x:c r="H142" s="12" t="inlineStr">
        <x:is>
          <x:t xml:space="preserve">frozen_candidate_not_selected</x:t>
        </x:is>
      </x:c>
      <x:c r="I142" s="12" t="inlineStr">
        <x:is>
          <x:t xml:space="preserve">not selected</x:t>
        </x:is>
      </x:c>
      <x:c r="J142" s="13" t="inlineStr">
        <x:is>
          <x:t xml:space="preserve">Frozen candidate; not promoted into the 144-organization quantitative reference set during this pass.</x:t>
        </x:is>
      </x:c>
      <x:c r="K142" s="12" t="inlineStr">
        <x:is>
          <x:t xml:space="preserve">not collected</x:t>
        </x:is>
      </x:c>
      <x:c r="L142" s="16" t="inlineStr">
        <x:is>
          <x:t xml:space="preserve">https://forum.effectivealtruism.org/posts/dm2uawLLeLbY8WNKM/updates-on-the-effective-giving-ecosystem-mcf-2025-memo</x:t>
        </x:is>
      </x:c>
    </x:row>
    <x:row r="143">
      <x:c r="A143" s="12" t="inlineStr">
        <x:is>
          <x:t xml:space="preserve">EXP-018</x:t>
        </x:is>
      </x:c>
      <x:c r="B143" s="12" t="inlineStr">
        <x:is>
          <x:t xml:space="preserve">Effective Thesis</x:t>
        </x:is>
      </x:c>
      <x:c r="C143" s="12" t="inlineStr">
        <x:is>
          <x:t xml:space="preserve">previous_160_frozen</x:t>
        </x:is>
      </x:c>
      <x:c r="D143" s="12" t="inlineStr">
        <x:is>
          <x:t xml:space="preserve">EA infrastructure and effective giving</x:t>
        </x:is>
      </x:c>
      <x:c r="E143" s="12" t="inlineStr">
        <x:is>
          <x:t xml:space="preserve">EA-core</x:t>
        </x:is>
      </x:c>
      <x:c r="F143" s="12" t="inlineStr">
        <x:is>
          <x:t xml:space="preserve">nonprofit/project</x:t>
        </x:is>
      </x:c>
      <x:c r="G143" s="12" t="inlineStr">
        <x:is>
          <x:t xml:space="preserve">no</x:t>
        </x:is>
      </x:c>
      <x:c r="H143" s="12" t="inlineStr">
        <x:is>
          <x:t xml:space="preserve">frozen_candidate_not_selected</x:t>
        </x:is>
      </x:c>
      <x:c r="I143" s="12" t="inlineStr">
        <x:is>
          <x:t xml:space="preserve">not selected</x:t>
        </x:is>
      </x:c>
      <x:c r="J143" s="13" t="inlineStr">
        <x:is>
          <x:t xml:space="preserve">Frozen candidate; not promoted into the 144-organization quantitative reference set during this pass.</x:t>
        </x:is>
      </x:c>
      <x:c r="K143" s="12" t="inlineStr">
        <x:is>
          <x:t xml:space="preserve">not collected</x:t>
        </x:is>
      </x:c>
      <x:c r="L143" s="16" t="inlineStr">
        <x:is>
          <x:t xml:space="preserve">https://forum.effectivealtruism.org/posts/dm2uawLLeLbY8WNKM/updates-on-the-effective-giving-ecosystem-mcf-2025-memo</x:t>
        </x:is>
      </x:c>
    </x:row>
    <x:row r="144">
      <x:c r="A144" s="12" t="inlineStr">
        <x:is>
          <x:t xml:space="preserve">EXP-001</x:t>
        </x:is>
      </x:c>
      <x:c r="B144" s="12" t="inlineStr">
        <x:is>
          <x:t xml:space="preserve">Effective Ventures Foundation USA</x:t>
        </x:is>
      </x:c>
      <x:c r="C144" s="12" t="inlineStr">
        <x:is>
          <x:t xml:space="preserve">previous_160_frozen</x:t>
        </x:is>
      </x:c>
      <x:c r="D144" s="12" t="inlineStr">
        <x:is>
          <x:t xml:space="preserve">EA infrastructure and effective giving</x:t>
        </x:is>
      </x:c>
      <x:c r="E144" s="12" t="inlineStr">
        <x:is>
          <x:t xml:space="preserve">EA-core</x:t>
        </x:is>
      </x:c>
      <x:c r="F144" s="12" t="inlineStr">
        <x:is>
          <x:t xml:space="preserve">umbrella nonprofit</x:t>
        </x:is>
      </x:c>
      <x:c r="G144" s="12" t="inlineStr">
        <x:is>
          <x:t xml:space="preserve">no</x:t>
        </x:is>
      </x:c>
      <x:c r="H144" s="12" t="inlineStr">
        <x:is>
          <x:t xml:space="preserve">frozen_candidate_not_selected</x:t>
        </x:is>
      </x:c>
      <x:c r="I144" s="12" t="inlineStr">
        <x:is>
          <x:t xml:space="preserve">not selected</x:t>
        </x:is>
      </x:c>
      <x:c r="J144" s="13" t="inlineStr">
        <x:is>
          <x:t xml:space="preserve">Frozen candidate; not promoted into the 144-organization quantitative reference set during this pass.</x:t>
        </x:is>
      </x:c>
      <x:c r="K144" s="12" t="inlineStr">
        <x:is>
          <x:t xml:space="preserve">not collected</x:t>
        </x:is>
      </x:c>
      <x:c r="L144" s="16" t="inlineStr">
        <x:is>
          <x:t xml:space="preserve">https://forum.effectivealtruism.org/posts/dm2uawLLeLbY8WNKM/updates-on-the-effective-giving-ecosystem-mcf-2025-memo</x:t>
        </x:is>
      </x:c>
    </x:row>
    <x:row r="145">
      <x:c r="A145" s="12" t="inlineStr">
        <x:is>
          <x:t xml:space="preserve">EXP-022</x:t>
        </x:is>
      </x:c>
      <x:c r="B145" s="12" t="inlineStr">
        <x:is>
          <x:t xml:space="preserve">Effektiv Spenden</x:t>
        </x:is>
      </x:c>
      <x:c r="C145" s="12" t="inlineStr">
        <x:is>
          <x:t xml:space="preserve">previous_160_frozen</x:t>
        </x:is>
      </x:c>
      <x:c r="D145" s="12" t="inlineStr">
        <x:is>
          <x:t xml:space="preserve">EA infrastructure and effective giving</x:t>
        </x:is>
      </x:c>
      <x:c r="E145" s="12" t="inlineStr">
        <x:is>
          <x:t xml:space="preserve">EA-core</x:t>
        </x:is>
      </x:c>
      <x:c r="F145" s="12" t="inlineStr">
        <x:is>
          <x:t xml:space="preserve">independent nonprofit</x:t>
        </x:is>
      </x:c>
      <x:c r="G145" s="12" t="inlineStr">
        <x:is>
          <x:t xml:space="preserve">no</x:t>
        </x:is>
      </x:c>
      <x:c r="H145" s="12" t="inlineStr">
        <x:is>
          <x:t xml:space="preserve">frozen_candidate_not_selected</x:t>
        </x:is>
      </x:c>
      <x:c r="I145" s="12" t="inlineStr">
        <x:is>
          <x:t xml:space="preserve">not selected</x:t>
        </x:is>
      </x:c>
      <x:c r="J145" s="13" t="inlineStr">
        <x:is>
          <x:t xml:space="preserve">Frozen candidate; not promoted into the 144-organization quantitative reference set during this pass.</x:t>
        </x:is>
      </x:c>
      <x:c r="K145" s="12" t="inlineStr">
        <x:is>
          <x:t xml:space="preserve">not collected</x:t>
        </x:is>
      </x:c>
      <x:c r="L145" s="16" t="inlineStr">
        <x:is>
          <x:t xml:space="preserve">https://forum.effectivealtruism.org/posts/dm2uawLLeLbY8WNKM/updates-on-the-effective-giving-ecosystem-mcf-2025-memo</x:t>
        </x:is>
      </x:c>
    </x:row>
    <x:row r="146">
      <x:c r="A146" s="12" t="inlineStr">
        <x:is>
          <x:t xml:space="preserve">EXP-128</x:t>
        </x:is>
      </x:c>
      <x:c r="B146" s="12" t="inlineStr">
        <x:is>
          <x:t xml:space="preserve">Encode Justice</x:t>
        </x:is>
      </x:c>
      <x:c r="C146" s="12" t="inlineStr">
        <x:is>
          <x:t xml:space="preserve">previous_160_frozen</x:t>
        </x:is>
      </x:c>
      <x:c r="D146" s="13" t="inlineStr">
        <x:is>
          <x:t xml:space="preserve">AI, catastrophic risk, biosecurity, and technology policy</x:t>
        </x:is>
      </x:c>
      <x:c r="E146" s="12" t="inlineStr">
        <x:is>
          <x:t xml:space="preserve">EA-adjacent</x:t>
        </x:is>
      </x:c>
      <x:c r="F146" s="12" t="inlineStr">
        <x:is>
          <x:t xml:space="preserve">independent nonprofit</x:t>
        </x:is>
      </x:c>
      <x:c r="G146" s="12" t="inlineStr">
        <x:is>
          <x:t xml:space="preserve">no</x:t>
        </x:is>
      </x:c>
      <x:c r="H146" s="12" t="inlineStr">
        <x:is>
          <x:t xml:space="preserve">frozen_candidate_not_selected</x:t>
        </x:is>
      </x:c>
      <x:c r="I146" s="12" t="inlineStr">
        <x:is>
          <x:t xml:space="preserve">not selected</x:t>
        </x:is>
      </x:c>
      <x:c r="J146" s="13" t="inlineStr">
        <x:is>
          <x:t xml:space="preserve">Frozen candidate; not promoted into the 144-organization quantitative reference set during this pass.</x:t>
        </x:is>
      </x:c>
      <x:c r="K146" s="12" t="inlineStr">
        <x:is>
          <x:t xml:space="preserve">not collected</x:t>
        </x:is>
      </x:c>
      <x:c r="L146" s="16" t="inlineStr">
        <x:is>
          <x:t xml:space="preserve">https://80000hours.org/topic/top-recommended-organisations/</x:t>
        </x:is>
      </x:c>
    </x:row>
    <x:row r="147">
      <x:c r="A147" s="12" t="inlineStr">
        <x:is>
          <x:t xml:space="preserve">EXP-028</x:t>
        </x:is>
      </x:c>
      <x:c r="B147" s="12" t="inlineStr">
        <x:is>
          <x:t xml:space="preserve">FarmKind</x:t>
        </x:is>
      </x:c>
      <x:c r="C147" s="12" t="inlineStr">
        <x:is>
          <x:t xml:space="preserve">previous_160_frozen</x:t>
        </x:is>
      </x:c>
      <x:c r="D147" s="12" t="inlineStr">
        <x:is>
          <x:t xml:space="preserve">EA infrastructure and effective giving</x:t>
        </x:is>
      </x:c>
      <x:c r="E147" s="12" t="inlineStr">
        <x:is>
          <x:t xml:space="preserve">EA-core</x:t>
        </x:is>
      </x:c>
      <x:c r="F147" s="12" t="inlineStr">
        <x:is>
          <x:t xml:space="preserve">nonprofit/project</x:t>
        </x:is>
      </x:c>
      <x:c r="G147" s="12" t="inlineStr">
        <x:is>
          <x:t xml:space="preserve">no</x:t>
        </x:is>
      </x:c>
      <x:c r="H147" s="12" t="inlineStr">
        <x:is>
          <x:t xml:space="preserve">frozen_candidate_not_selected</x:t>
        </x:is>
      </x:c>
      <x:c r="I147" s="12" t="inlineStr">
        <x:is>
          <x:t xml:space="preserve">not selected</x:t>
        </x:is>
      </x:c>
      <x:c r="J147" s="13" t="inlineStr">
        <x:is>
          <x:t xml:space="preserve">Frozen candidate; not promoted into the 144-organization quantitative reference set during this pass.</x:t>
        </x:is>
      </x:c>
      <x:c r="K147" s="12" t="inlineStr">
        <x:is>
          <x:t xml:space="preserve">not collected</x:t>
        </x:is>
      </x:c>
      <x:c r="L147" s="16" t="inlineStr">
        <x:is>
          <x:t xml:space="preserve">https://forum.effectivealtruism.org/posts/dm2uawLLeLbY8WNKM/updates-on-the-effective-giving-ecosystem-mcf-2025-memo</x:t>
        </x:is>
      </x:c>
    </x:row>
    <x:row r="148">
      <x:c r="A148" s="12" t="inlineStr">
        <x:is>
          <x:t xml:space="preserve">EXP-050</x:t>
        </x:is>
      </x:c>
      <x:c r="B148" s="12" t="inlineStr">
        <x:is>
          <x:t xml:space="preserve">Food Fortification Initiative</x:t>
        </x:is>
      </x:c>
      <x:c r="C148" s="12" t="inlineStr">
        <x:is>
          <x:t xml:space="preserve">previous_160_frozen</x:t>
        </x:is>
      </x:c>
      <x:c r="D148" s="12" t="inlineStr">
        <x:is>
          <x:t xml:space="preserve">Global health, development, and evidence</x:t>
        </x:is>
      </x:c>
      <x:c r="E148" s="12" t="inlineStr">
        <x:is>
          <x:t xml:space="preserve">EA-adjacent</x:t>
        </x:is>
      </x:c>
      <x:c r="F148" s="12" t="inlineStr">
        <x:is>
          <x:t xml:space="preserve">independent nonprofit</x:t>
        </x:is>
      </x:c>
      <x:c r="G148" s="12" t="inlineStr">
        <x:is>
          <x:t xml:space="preserve">no</x:t>
        </x:is>
      </x:c>
      <x:c r="H148" s="12" t="inlineStr">
        <x:is>
          <x:t xml:space="preserve">frozen_candidate_not_selected</x:t>
        </x:is>
      </x:c>
      <x:c r="I148" s="12" t="inlineStr">
        <x:is>
          <x:t xml:space="preserve">not selected</x:t>
        </x:is>
      </x:c>
      <x:c r="J148" s="13" t="inlineStr">
        <x:is>
          <x:t xml:space="preserve">Frozen candidate; not promoted into the 144-organization quantitative reference set during this pass.</x:t>
        </x:is>
      </x:c>
      <x:c r="K148" s="12" t="inlineStr">
        <x:is>
          <x:t xml:space="preserve">not collected</x:t>
        </x:is>
      </x:c>
      <x:c r="L148" s="16" t="inlineStr">
        <x:is>
          <x:t xml:space="preserve">https://forum.effectivealtruism.org/topics/organizations-and-projects-in-effective-altruism</x:t>
        </x:is>
      </x:c>
    </x:row>
    <x:row r="149">
      <x:c r="A149" s="12" t="inlineStr">
        <x:is>
          <x:t xml:space="preserve">EXP-023</x:t>
        </x:is>
      </x:c>
      <x:c r="B149" s="12" t="inlineStr">
        <x:is>
          <x:t xml:space="preserve">GiEffektivt</x:t>
        </x:is>
      </x:c>
      <x:c r="C149" s="12" t="inlineStr">
        <x:is>
          <x:t xml:space="preserve">previous_160_frozen</x:t>
        </x:is>
      </x:c>
      <x:c r="D149" s="12" t="inlineStr">
        <x:is>
          <x:t xml:space="preserve">EA infrastructure and effective giving</x:t>
        </x:is>
      </x:c>
      <x:c r="E149" s="12" t="inlineStr">
        <x:is>
          <x:t xml:space="preserve">EA-core</x:t>
        </x:is>
      </x:c>
      <x:c r="F149" s="12" t="inlineStr">
        <x:is>
          <x:t xml:space="preserve">independent nonprofit</x:t>
        </x:is>
      </x:c>
      <x:c r="G149" s="12" t="inlineStr">
        <x:is>
          <x:t xml:space="preserve">no</x:t>
        </x:is>
      </x:c>
      <x:c r="H149" s="12" t="inlineStr">
        <x:is>
          <x:t xml:space="preserve">frozen_candidate_not_selected</x:t>
        </x:is>
      </x:c>
      <x:c r="I149" s="12" t="inlineStr">
        <x:is>
          <x:t xml:space="preserve">not selected</x:t>
        </x:is>
      </x:c>
      <x:c r="J149" s="13" t="inlineStr">
        <x:is>
          <x:t xml:space="preserve">Frozen candidate; not promoted into the 144-organization quantitative reference set during this pass.</x:t>
        </x:is>
      </x:c>
      <x:c r="K149" s="12" t="inlineStr">
        <x:is>
          <x:t xml:space="preserve">not collected</x:t>
        </x:is>
      </x:c>
      <x:c r="L149" s="16" t="inlineStr">
        <x:is>
          <x:t xml:space="preserve">https://forum.effectivealtruism.org/posts/dm2uawLLeLbY8WNKM/updates-on-the-effective-giving-ecosystem-mcf-2025-memo</x:t>
        </x:is>
      </x:c>
    </x:row>
    <x:row r="150">
      <x:c r="A150" s="12" t="inlineStr">
        <x:is>
          <x:t xml:space="preserve">EXP-014</x:t>
        </x:is>
      </x:c>
      <x:c r="B150" s="12" t="inlineStr">
        <x:is>
          <x:t xml:space="preserve">Giving Green</x:t>
        </x:is>
      </x:c>
      <x:c r="C150" s="12" t="inlineStr">
        <x:is>
          <x:t xml:space="preserve">previous_160_frozen</x:t>
        </x:is>
      </x:c>
      <x:c r="D150" s="12" t="inlineStr">
        <x:is>
          <x:t xml:space="preserve">EA infrastructure and effective giving</x:t>
        </x:is>
      </x:c>
      <x:c r="E150" s="12" t="inlineStr">
        <x:is>
          <x:t xml:space="preserve">EA-core</x:t>
        </x:is>
      </x:c>
      <x:c r="F150" s="12" t="inlineStr">
        <x:is>
          <x:t xml:space="preserve">nonprofit or project</x:t>
        </x:is>
      </x:c>
      <x:c r="G150" s="12" t="inlineStr">
        <x:is>
          <x:t xml:space="preserve">no</x:t>
        </x:is>
      </x:c>
      <x:c r="H150" s="12" t="inlineStr">
        <x:is>
          <x:t xml:space="preserve">frozen_candidate_not_selected</x:t>
        </x:is>
      </x:c>
      <x:c r="I150" s="12" t="inlineStr">
        <x:is>
          <x:t xml:space="preserve">not selected</x:t>
        </x:is>
      </x:c>
      <x:c r="J150" s="13" t="inlineStr">
        <x:is>
          <x:t xml:space="preserve">Frozen candidate; not promoted into the 144-organization quantitative reference set during this pass.</x:t>
        </x:is>
      </x:c>
      <x:c r="K150" s="12" t="inlineStr">
        <x:is>
          <x:t xml:space="preserve">not collected</x:t>
        </x:is>
      </x:c>
      <x:c r="L150" s="16" t="inlineStr">
        <x:is>
          <x:t xml:space="preserve">https://forum.effectivealtruism.org/posts/dm2uawLLeLbY8WNKM/updates-on-the-effective-giving-ecosystem-mcf-2025-memo</x:t>
        </x:is>
      </x:c>
    </x:row>
    <x:row r="151">
      <x:c r="A151" s="12" t="inlineStr">
        <x:is>
          <x:t xml:space="preserve">EXP-011</x:t>
        </x:is>
      </x:c>
      <x:c r="B151" s="12" t="inlineStr">
        <x:is>
          <x:t xml:space="preserve">Giving Multiplier</x:t>
        </x:is>
      </x:c>
      <x:c r="C151" s="12" t="inlineStr">
        <x:is>
          <x:t xml:space="preserve">previous_160_frozen</x:t>
        </x:is>
      </x:c>
      <x:c r="D151" s="12" t="inlineStr">
        <x:is>
          <x:t xml:space="preserve">EA infrastructure and effective giving</x:t>
        </x:is>
      </x:c>
      <x:c r="E151" s="12" t="inlineStr">
        <x:is>
          <x:t xml:space="preserve">EA-core</x:t>
        </x:is>
      </x:c>
      <x:c r="F151" s="12" t="inlineStr">
        <x:is>
          <x:t xml:space="preserve">nonprofit or fiscally sponsored</x:t>
        </x:is>
      </x:c>
      <x:c r="G151" s="12" t="inlineStr">
        <x:is>
          <x:t xml:space="preserve">no</x:t>
        </x:is>
      </x:c>
      <x:c r="H151" s="12" t="inlineStr">
        <x:is>
          <x:t xml:space="preserve">frozen_candidate_not_selected</x:t>
        </x:is>
      </x:c>
      <x:c r="I151" s="12" t="inlineStr">
        <x:is>
          <x:t xml:space="preserve">not selected</x:t>
        </x:is>
      </x:c>
      <x:c r="J151" s="13" t="inlineStr">
        <x:is>
          <x:t xml:space="preserve">Frozen candidate; not promoted into the 144-organization quantitative reference set during this pass.</x:t>
        </x:is>
      </x:c>
      <x:c r="K151" s="12" t="inlineStr">
        <x:is>
          <x:t xml:space="preserve">not collected</x:t>
        </x:is>
      </x:c>
      <x:c r="L151" s="16" t="inlineStr">
        <x:is>
          <x:t xml:space="preserve">https://forum.effectivealtruism.org/posts/dm2uawLLeLbY8WNKM/updates-on-the-effective-giving-ecosystem-mcf-2025-memo</x:t>
        </x:is>
      </x:c>
    </x:row>
    <x:row r="152">
      <x:c r="A152" s="12" t="inlineStr">
        <x:is>
          <x:t xml:space="preserve">EXP-004</x:t>
        </x:is>
      </x:c>
      <x:c r="B152" s="12" t="inlineStr">
        <x:is>
          <x:t xml:space="preserve">Giving What We Can</x:t>
        </x:is>
      </x:c>
      <x:c r="C152" s="12" t="inlineStr">
        <x:is>
          <x:t xml:space="preserve">previous_160_frozen</x:t>
        </x:is>
      </x:c>
      <x:c r="D152" s="12" t="inlineStr">
        <x:is>
          <x:t xml:space="preserve">EA infrastructure and effective giving</x:t>
        </x:is>
      </x:c>
      <x:c r="E152" s="12" t="inlineStr">
        <x:is>
          <x:t xml:space="preserve">EA-core</x:t>
        </x:is>
      </x:c>
      <x:c r="F152" s="12" t="inlineStr">
        <x:is>
          <x:t xml:space="preserve">project within Effective Ventures</x:t>
        </x:is>
      </x:c>
      <x:c r="G152" s="12" t="inlineStr">
        <x:is>
          <x:t xml:space="preserve">no</x:t>
        </x:is>
      </x:c>
      <x:c r="H152" s="12" t="inlineStr">
        <x:is>
          <x:t xml:space="preserve">frozen_candidate_not_selected</x:t>
        </x:is>
      </x:c>
      <x:c r="I152" s="12" t="inlineStr">
        <x:is>
          <x:t xml:space="preserve">not selected</x:t>
        </x:is>
      </x:c>
      <x:c r="J152" s="13" t="inlineStr">
        <x:is>
          <x:t xml:space="preserve">Frozen candidate; not promoted into the 144-organization quantitative reference set during this pass.</x:t>
        </x:is>
      </x:c>
      <x:c r="K152" s="12" t="inlineStr">
        <x:is>
          <x:t xml:space="preserve">not collected</x:t>
        </x:is>
      </x:c>
      <x:c r="L152" s="16" t="inlineStr">
        <x:is>
          <x:t xml:space="preserve">https://forum.effectivealtruism.org/posts/dm2uawLLeLbY8WNKM/updates-on-the-effective-giving-ecosystem-mcf-2025-memo</x:t>
        </x:is>
      </x:c>
    </x:row>
    <x:row r="153">
      <x:c r="A153" s="12" t="inlineStr">
        <x:is>
          <x:t xml:space="preserve">EXP-048</x:t>
        </x:is>
      </x:c>
      <x:c r="B153" s="12" t="inlineStr">
        <x:is>
          <x:t xml:space="preserve">Global Alliance for Improved Nutrition USA</x:t>
        </x:is>
      </x:c>
      <x:c r="C153" s="12" t="inlineStr">
        <x:is>
          <x:t xml:space="preserve">previous_160_frozen</x:t>
        </x:is>
      </x:c>
      <x:c r="D153" s="12" t="inlineStr">
        <x:is>
          <x:t xml:space="preserve">Global health, development, and evidence</x:t>
        </x:is>
      </x:c>
      <x:c r="E153" s="12" t="inlineStr">
        <x:is>
          <x:t xml:space="preserve">EA-adjacent</x:t>
        </x:is>
      </x:c>
      <x:c r="F153" s="12" t="inlineStr">
        <x:is>
          <x:t xml:space="preserve">international nonprofit affiliate</x:t>
        </x:is>
      </x:c>
      <x:c r="G153" s="12" t="inlineStr">
        <x:is>
          <x:t xml:space="preserve">no</x:t>
        </x:is>
      </x:c>
      <x:c r="H153" s="12" t="inlineStr">
        <x:is>
          <x:t xml:space="preserve">frozen_candidate_not_selected</x:t>
        </x:is>
      </x:c>
      <x:c r="I153" s="12" t="inlineStr">
        <x:is>
          <x:t xml:space="preserve">not selected</x:t>
        </x:is>
      </x:c>
      <x:c r="J153" s="13" t="inlineStr">
        <x:is>
          <x:t xml:space="preserve">Frozen candidate; not promoted into the 144-organization quantitative reference set during this pass.</x:t>
        </x:is>
      </x:c>
      <x:c r="K153" s="12" t="inlineStr">
        <x:is>
          <x:t xml:space="preserve">not collected</x:t>
        </x:is>
      </x:c>
      <x:c r="L153" s="16" t="inlineStr">
        <x:is>
          <x:t xml:space="preserve">https://forum.effectivealtruism.org/topics/organizations-and-projects-in-effective-altruism</x:t>
        </x:is>
      </x:c>
    </x:row>
    <x:row r="154">
      <x:c r="A154" s="12" t="inlineStr">
        <x:is>
          <x:t xml:space="preserve">EXP-015</x:t>
        </x:is>
      </x:c>
      <x:c r="B154" s="12" t="inlineStr">
        <x:is>
          <x:t xml:space="preserve">Happier Lives Institute</x:t>
        </x:is>
      </x:c>
      <x:c r="C154" s="12" t="inlineStr">
        <x:is>
          <x:t xml:space="preserve">previous_160_frozen</x:t>
        </x:is>
      </x:c>
      <x:c r="D154" s="12" t="inlineStr">
        <x:is>
          <x:t xml:space="preserve">EA infrastructure and effective giving</x:t>
        </x:is>
      </x:c>
      <x:c r="E154" s="12" t="inlineStr">
        <x:is>
          <x:t xml:space="preserve">EA-core</x:t>
        </x:is>
      </x:c>
      <x:c r="F154" s="12" t="inlineStr">
        <x:is>
          <x:t xml:space="preserve">independent charity</x:t>
        </x:is>
      </x:c>
      <x:c r="G154" s="12" t="inlineStr">
        <x:is>
          <x:t xml:space="preserve">no</x:t>
        </x:is>
      </x:c>
      <x:c r="H154" s="12" t="inlineStr">
        <x:is>
          <x:t xml:space="preserve">frozen_candidate_not_selected</x:t>
        </x:is>
      </x:c>
      <x:c r="I154" s="12" t="inlineStr">
        <x:is>
          <x:t xml:space="preserve">not selected</x:t>
        </x:is>
      </x:c>
      <x:c r="J154" s="13" t="inlineStr">
        <x:is>
          <x:t xml:space="preserve">Frozen candidate; not promoted into the 144-organization quantitative reference set during this pass.</x:t>
        </x:is>
      </x:c>
      <x:c r="K154" s="12" t="inlineStr">
        <x:is>
          <x:t xml:space="preserve">not collected</x:t>
        </x:is>
      </x:c>
      <x:c r="L154" s="16" t="inlineStr">
        <x:is>
          <x:t xml:space="preserve">https://forum.effectivealtruism.org/posts/dm2uawLLeLbY8WNKM/updates-on-the-effective-giving-ecosystem-mcf-2025-memo</x:t>
        </x:is>
      </x:c>
    </x:row>
    <x:row r="155">
      <x:c r="A155" s="12" t="inlineStr">
        <x:is>
          <x:t xml:space="preserve">EXP-049</x:t>
        </x:is>
      </x:c>
      <x:c r="B155" s="12" t="inlineStr">
        <x:is>
          <x:t xml:space="preserve">Iodine Global Network</x:t>
        </x:is>
      </x:c>
      <x:c r="C155" s="12" t="inlineStr">
        <x:is>
          <x:t xml:space="preserve">previous_160_frozen</x:t>
        </x:is>
      </x:c>
      <x:c r="D155" s="12" t="inlineStr">
        <x:is>
          <x:t xml:space="preserve">Global health, development, and evidence</x:t>
        </x:is>
      </x:c>
      <x:c r="E155" s="12" t="inlineStr">
        <x:is>
          <x:t xml:space="preserve">EA-adjacent</x:t>
        </x:is>
      </x:c>
      <x:c r="F155" s="12" t="inlineStr">
        <x:is>
          <x:t xml:space="preserve">independent nonprofit</x:t>
        </x:is>
      </x:c>
      <x:c r="G155" s="12" t="inlineStr">
        <x:is>
          <x:t xml:space="preserve">no</x:t>
        </x:is>
      </x:c>
      <x:c r="H155" s="12" t="inlineStr">
        <x:is>
          <x:t xml:space="preserve">frozen_candidate_not_selected</x:t>
        </x:is>
      </x:c>
      <x:c r="I155" s="12" t="inlineStr">
        <x:is>
          <x:t xml:space="preserve">not selected</x:t>
        </x:is>
      </x:c>
      <x:c r="J155" s="13" t="inlineStr">
        <x:is>
          <x:t xml:space="preserve">Frozen candidate; not promoted into the 144-organization quantitative reference set during this pass.</x:t>
        </x:is>
      </x:c>
      <x:c r="K155" s="12" t="inlineStr">
        <x:is>
          <x:t xml:space="preserve">not collected</x:t>
        </x:is>
      </x:c>
      <x:c r="L155" s="16" t="inlineStr">
        <x:is>
          <x:t xml:space="preserve">https://forum.effectivealtruism.org/topics/organizations-and-projects-in-effective-altruism</x:t>
        </x:is>
      </x:c>
    </x:row>
    <x:row r="156">
      <x:c r="A156" s="12" t="inlineStr">
        <x:is>
          <x:t xml:space="preserve">EXP-130</x:t>
        </x:is>
      </x:c>
      <x:c r="B156" s="12" t="inlineStr">
        <x:is>
          <x:t xml:space="preserve">Mozilla Foundation</x:t>
        </x:is>
      </x:c>
      <x:c r="C156" s="12" t="inlineStr">
        <x:is>
          <x:t xml:space="preserve">previous_160_frozen</x:t>
        </x:is>
      </x:c>
      <x:c r="D156" s="13" t="inlineStr">
        <x:is>
          <x:t xml:space="preserve">AI, catastrophic risk, biosecurity, and technology policy</x:t>
        </x:is>
      </x:c>
      <x:c r="E156" s="12" t="inlineStr">
        <x:is>
          <x:t xml:space="preserve">EA-adjacent</x:t>
        </x:is>
      </x:c>
      <x:c r="F156" s="12" t="inlineStr">
        <x:is>
          <x:t xml:space="preserve">independent nonprofit</x:t>
        </x:is>
      </x:c>
      <x:c r="G156" s="12" t="inlineStr">
        <x:is>
          <x:t xml:space="preserve">no</x:t>
        </x:is>
      </x:c>
      <x:c r="H156" s="12" t="inlineStr">
        <x:is>
          <x:t xml:space="preserve">frozen_candidate_not_selected</x:t>
        </x:is>
      </x:c>
      <x:c r="I156" s="12" t="inlineStr">
        <x:is>
          <x:t xml:space="preserve">not selected</x:t>
        </x:is>
      </x:c>
      <x:c r="J156" s="13" t="inlineStr">
        <x:is>
          <x:t xml:space="preserve">Frozen candidate; not promoted into the 144-organization quantitative reference set during this pass.</x:t>
        </x:is>
      </x:c>
      <x:c r="K156" s="12" t="inlineStr">
        <x:is>
          <x:t xml:space="preserve">not collected</x:t>
        </x:is>
      </x:c>
      <x:c r="L156" s="16" t="inlineStr">
        <x:is>
          <x:t xml:space="preserve">https://80000hours.org/topic/top-recommended-organisations/</x:t>
        </x:is>
      </x:c>
    </x:row>
    <x:row r="157">
      <x:c r="A157" s="12" t="inlineStr">
        <x:is>
          <x:t xml:space="preserve">EXP-041</x:t>
        </x:is>
      </x:c>
      <x:c r="B157" s="12" t="inlineStr">
        <x:is>
          <x:t xml:space="preserve">New Incentives</x:t>
        </x:is>
      </x:c>
      <x:c r="C157" s="12" t="inlineStr">
        <x:is>
          <x:t xml:space="preserve">previous_160_frozen</x:t>
        </x:is>
      </x:c>
      <x:c r="D157" s="12" t="inlineStr">
        <x:is>
          <x:t xml:space="preserve">Global health, development, and evidence</x:t>
        </x:is>
      </x:c>
      <x:c r="E157" s="12" t="inlineStr">
        <x:is>
          <x:t xml:space="preserve">EA-adjacent</x:t>
        </x:is>
      </x:c>
      <x:c r="F157" s="12" t="inlineStr">
        <x:is>
          <x:t xml:space="preserve">independent nonprofit</x:t>
        </x:is>
      </x:c>
      <x:c r="G157" s="12" t="inlineStr">
        <x:is>
          <x:t xml:space="preserve">no</x:t>
        </x:is>
      </x:c>
      <x:c r="H157" s="12" t="inlineStr">
        <x:is>
          <x:t xml:space="preserve">frozen_candidate_not_selected</x:t>
        </x:is>
      </x:c>
      <x:c r="I157" s="12" t="inlineStr">
        <x:is>
          <x:t xml:space="preserve">not selected</x:t>
        </x:is>
      </x:c>
      <x:c r="J157" s="13" t="inlineStr">
        <x:is>
          <x:t xml:space="preserve">Frozen candidate; not promoted into the 144-organization quantitative reference set during this pass.</x:t>
        </x:is>
      </x:c>
      <x:c r="K157" s="12" t="inlineStr">
        <x:is>
          <x:t xml:space="preserve">not collected</x:t>
        </x:is>
      </x:c>
      <x:c r="L157" s="16" t="inlineStr">
        <x:is>
          <x:t xml:space="preserve">https://forum.effectivealtruism.org/topics/organizations-and-projects-in-effective-altruism</x:t>
        </x:is>
      </x:c>
    </x:row>
    <x:row r="158">
      <x:c r="A158" s="12" t="inlineStr">
        <x:is>
          <x:t xml:space="preserve">EXP-090</x:t>
        </x:is>
      </x:c>
      <x:c r="B158" s="12" t="inlineStr">
        <x:is>
          <x:t xml:space="preserve">ProVeg US</x:t>
        </x:is>
      </x:c>
      <x:c r="C158" s="12" t="inlineStr">
        <x:is>
          <x:t xml:space="preserve">previous_160_frozen</x:t>
        </x:is>
      </x:c>
      <x:c r="D158" s="12" t="inlineStr">
        <x:is>
          <x:t xml:space="preserve">Animal welfare and food systems</x:t>
        </x:is>
      </x:c>
      <x:c r="E158" s="12" t="inlineStr">
        <x:is>
          <x:t xml:space="preserve">EA-adjacent</x:t>
        </x:is>
      </x:c>
      <x:c r="F158" s="12" t="inlineStr">
        <x:is>
          <x:t xml:space="preserve">international nonprofit affiliate</x:t>
        </x:is>
      </x:c>
      <x:c r="G158" s="12" t="inlineStr">
        <x:is>
          <x:t xml:space="preserve">no</x:t>
        </x:is>
      </x:c>
      <x:c r="H158" s="12" t="inlineStr">
        <x:is>
          <x:t xml:space="preserve">frozen_candidate_not_selected</x:t>
        </x:is>
      </x:c>
      <x:c r="I158" s="12" t="inlineStr">
        <x:is>
          <x:t xml:space="preserve">not selected</x:t>
        </x:is>
      </x:c>
      <x:c r="J158" s="13" t="inlineStr">
        <x:is>
          <x:t xml:space="preserve">Frozen candidate; not promoted into the 144-organization quantitative reference set during this pass.</x:t>
        </x:is>
      </x:c>
      <x:c r="K158" s="12" t="inlineStr">
        <x:is>
          <x:t xml:space="preserve">not collected</x:t>
        </x:is>
      </x:c>
      <x:c r="L158" s="16" t="inlineStr">
        <x:is>
          <x:t xml:space="preserve">https://forum.effectivealtruism.org/topics/organizations-and-projects-in-effective-altruism</x:t>
        </x:is>
      </x:c>
    </x:row>
    <x:row r="159">
      <x:c r="A159" s="12" t="inlineStr">
        <x:is>
          <x:t xml:space="preserve">EXP-086</x:t>
        </x:is>
      </x:c>
      <x:c r="B159" s="12" t="inlineStr">
        <x:is>
          <x:t xml:space="preserve">Reducetarian Foundation</x:t>
        </x:is>
      </x:c>
      <x:c r="C159" s="12" t="inlineStr">
        <x:is>
          <x:t xml:space="preserve">previous_160_frozen</x:t>
        </x:is>
      </x:c>
      <x:c r="D159" s="12" t="inlineStr">
        <x:is>
          <x:t xml:space="preserve">Animal welfare and food systems</x:t>
        </x:is>
      </x:c>
      <x:c r="E159" s="12" t="inlineStr">
        <x:is>
          <x:t xml:space="preserve">EA-adjacent</x:t>
        </x:is>
      </x:c>
      <x:c r="F159" s="12" t="inlineStr">
        <x:is>
          <x:t xml:space="preserve">independent nonprofit</x:t>
        </x:is>
      </x:c>
      <x:c r="G159" s="12" t="inlineStr">
        <x:is>
          <x:t xml:space="preserve">no</x:t>
        </x:is>
      </x:c>
      <x:c r="H159" s="12" t="inlineStr">
        <x:is>
          <x:t xml:space="preserve">frozen_candidate_not_selected</x:t>
        </x:is>
      </x:c>
      <x:c r="I159" s="12" t="inlineStr">
        <x:is>
          <x:t xml:space="preserve">not selected</x:t>
        </x:is>
      </x:c>
      <x:c r="J159" s="13" t="inlineStr">
        <x:is>
          <x:t xml:space="preserve">Frozen candidate; not promoted into the 144-organization quantitative reference set during this pass.</x:t>
        </x:is>
      </x:c>
      <x:c r="K159" s="12" t="inlineStr">
        <x:is>
          <x:t xml:space="preserve">not collected</x:t>
        </x:is>
      </x:c>
      <x:c r="L159" s="16" t="inlineStr">
        <x:is>
          <x:t xml:space="preserve">https://forum.effectivealtruism.org/topics/organizations-and-projects-in-effective-altruism</x:t>
        </x:is>
      </x:c>
    </x:row>
    <x:row r="160">
      <x:c r="A160" s="12" t="inlineStr">
        <x:is>
          <x:t xml:space="preserve">EXP-078</x:t>
        </x:is>
      </x:c>
      <x:c r="B160" s="12" t="inlineStr">
        <x:is>
          <x:t xml:space="preserve">Shrimp Welfare Project</x:t>
        </x:is>
      </x:c>
      <x:c r="C160" s="12" t="inlineStr">
        <x:is>
          <x:t xml:space="preserve">previous_160_frozen</x:t>
        </x:is>
      </x:c>
      <x:c r="D160" s="12" t="inlineStr">
        <x:is>
          <x:t xml:space="preserve">Animal welfare and food systems</x:t>
        </x:is>
      </x:c>
      <x:c r="E160" s="12" t="inlineStr">
        <x:is>
          <x:t xml:space="preserve">EA-adjacent</x:t>
        </x:is>
      </x:c>
      <x:c r="F160" s="12" t="inlineStr">
        <x:is>
          <x:t xml:space="preserve">independent charity/project</x:t>
        </x:is>
      </x:c>
      <x:c r="G160" s="12" t="inlineStr">
        <x:is>
          <x:t xml:space="preserve">no</x:t>
        </x:is>
      </x:c>
      <x:c r="H160" s="12" t="inlineStr">
        <x:is>
          <x:t xml:space="preserve">frozen_candidate_not_selected</x:t>
        </x:is>
      </x:c>
      <x:c r="I160" s="12" t="inlineStr">
        <x:is>
          <x:t xml:space="preserve">not selected</x:t>
        </x:is>
      </x:c>
      <x:c r="J160" s="13" t="inlineStr">
        <x:is>
          <x:t xml:space="preserve">Frozen candidate; not promoted into the 144-organization quantitative reference set during this pass.</x:t>
        </x:is>
      </x:c>
      <x:c r="K160" s="12" t="inlineStr">
        <x:is>
          <x:t xml:space="preserve">not collected</x:t>
        </x:is>
      </x:c>
      <x:c r="L160" s="16" t="inlineStr">
        <x:is>
          <x:t xml:space="preserve">https://forum.effectivealtruism.org/topics/organizations-and-projects-in-effective-altruism</x:t>
        </x:is>
      </x:c>
    </x:row>
    <x:row r="161">
      <x:c r="A161" s="12" t="inlineStr">
        <x:is>
          <x:t xml:space="preserve">EXP-043</x:t>
        </x:is>
      </x:c>
      <x:c r="B161" s="12" t="inlineStr">
        <x:is>
          <x:t xml:space="preserve">Sightsavers Inc.</x:t>
        </x:is>
      </x:c>
      <x:c r="C161" s="12" t="inlineStr">
        <x:is>
          <x:t xml:space="preserve">previous_160_frozen</x:t>
        </x:is>
      </x:c>
      <x:c r="D161" s="12" t="inlineStr">
        <x:is>
          <x:t xml:space="preserve">Global health, development, and evidence</x:t>
        </x:is>
      </x:c>
      <x:c r="E161" s="12" t="inlineStr">
        <x:is>
          <x:t xml:space="preserve">EA-adjacent</x:t>
        </x:is>
      </x:c>
      <x:c r="F161" s="12" t="inlineStr">
        <x:is>
          <x:t xml:space="preserve">international nonprofit affiliate</x:t>
        </x:is>
      </x:c>
      <x:c r="G161" s="12" t="inlineStr">
        <x:is>
          <x:t xml:space="preserve">no</x:t>
        </x:is>
      </x:c>
      <x:c r="H161" s="12" t="inlineStr">
        <x:is>
          <x:t xml:space="preserve">frozen_candidate_not_selected</x:t>
        </x:is>
      </x:c>
      <x:c r="I161" s="12" t="inlineStr">
        <x:is>
          <x:t xml:space="preserve">not selected</x:t>
        </x:is>
      </x:c>
      <x:c r="J161" s="13" t="inlineStr">
        <x:is>
          <x:t xml:space="preserve">Frozen candidate; not promoted into the 144-organization quantitative reference set during this pass.</x:t>
        </x:is>
      </x:c>
      <x:c r="K161" s="12" t="inlineStr">
        <x:is>
          <x:t xml:space="preserve">not collected</x:t>
        </x:is>
      </x:c>
      <x:c r="L161" s="16" t="inlineStr">
        <x:is>
          <x:t xml:space="preserve">https://forum.effectivealtruism.org/topics/organizations-and-projects-in-effective-altruism</x:t>
        </x:is>
      </x:c>
    </x:row>
    <x:row r="162">
      <x:c r="A162" s="12" t="inlineStr">
        <x:is>
          <x:t xml:space="preserve">EXP-129</x:t>
        </x:is>
      </x:c>
      <x:c r="B162" s="12" t="inlineStr">
        <x:is>
          <x:t xml:space="preserve">Tech Policy Press</x:t>
        </x:is>
      </x:c>
      <x:c r="C162" s="12" t="inlineStr">
        <x:is>
          <x:t xml:space="preserve">previous_160_frozen</x:t>
        </x:is>
      </x:c>
      <x:c r="D162" s="13" t="inlineStr">
        <x:is>
          <x:t xml:space="preserve">AI, catastrophic risk, biosecurity, and technology policy</x:t>
        </x:is>
      </x:c>
      <x:c r="E162" s="12" t="inlineStr">
        <x:is>
          <x:t xml:space="preserve">EA-adjacent</x:t>
        </x:is>
      </x:c>
      <x:c r="F162" s="12" t="inlineStr">
        <x:is>
          <x:t xml:space="preserve">independent nonprofit</x:t>
        </x:is>
      </x:c>
      <x:c r="G162" s="12" t="inlineStr">
        <x:is>
          <x:t xml:space="preserve">no</x:t>
        </x:is>
      </x:c>
      <x:c r="H162" s="12" t="inlineStr">
        <x:is>
          <x:t xml:space="preserve">frozen_candidate_not_selected</x:t>
        </x:is>
      </x:c>
      <x:c r="I162" s="12" t="inlineStr">
        <x:is>
          <x:t xml:space="preserve">not selected</x:t>
        </x:is>
      </x:c>
      <x:c r="J162" s="13" t="inlineStr">
        <x:is>
          <x:t xml:space="preserve">Frozen candidate; not promoted into the 144-organization quantitative reference set during this pass.</x:t>
        </x:is>
      </x:c>
      <x:c r="K162" s="12" t="inlineStr">
        <x:is>
          <x:t xml:space="preserve">not collected</x:t>
        </x:is>
      </x:c>
      <x:c r="L162" s="16" t="inlineStr">
        <x:is>
          <x:t xml:space="preserve">https://80000hours.org/topic/top-recommended-organisations/</x:t>
        </x:is>
      </x:c>
    </x:row>
    <x:row r="163">
      <x:c r="A163" s="12" t="inlineStr">
        <x:is>
          <x:t xml:space="preserve">EXP-054</x:t>
        </x:is>
      </x:c>
      <x:c r="B163" s="12" t="inlineStr">
        <x:is>
          <x:t xml:space="preserve">Vital Strategies</x:t>
        </x:is>
      </x:c>
      <x:c r="C163" s="12" t="inlineStr">
        <x:is>
          <x:t xml:space="preserve">previous_160_frozen</x:t>
        </x:is>
      </x:c>
      <x:c r="D163" s="12" t="inlineStr">
        <x:is>
          <x:t xml:space="preserve">Global health, development, and evidence</x:t>
        </x:is>
      </x:c>
      <x:c r="E163" s="12" t="inlineStr">
        <x:is>
          <x:t xml:space="preserve">EA-adjacent</x:t>
        </x:is>
      </x:c>
      <x:c r="F163" s="12" t="inlineStr">
        <x:is>
          <x:t xml:space="preserve">independent nonprofit</x:t>
        </x:is>
      </x:c>
      <x:c r="G163" s="12" t="inlineStr">
        <x:is>
          <x:t xml:space="preserve">no</x:t>
        </x:is>
      </x:c>
      <x:c r="H163" s="12" t="inlineStr">
        <x:is>
          <x:t xml:space="preserve">frozen_candidate_not_selected</x:t>
        </x:is>
      </x:c>
      <x:c r="I163" s="12" t="inlineStr">
        <x:is>
          <x:t xml:space="preserve">not selected</x:t>
        </x:is>
      </x:c>
      <x:c r="J163" s="13" t="inlineStr">
        <x:is>
          <x:t xml:space="preserve">Frozen candidate; not promoted into the 144-organization quantitative reference set during this pass.</x:t>
        </x:is>
      </x:c>
      <x:c r="K163" s="12" t="inlineStr">
        <x:is>
          <x:t xml:space="preserve">not collected</x:t>
        </x:is>
      </x:c>
      <x:c r="L163" s="16" t="inlineStr">
        <x:is>
          <x:t xml:space="preserve">https://forum.effectivealtruism.org/topics/organizations-and-projects-in-effective-altruism</x:t>
        </x:is>
      </x:c>
    </x:row>
    <x:row r="164">
      <x:c r="A164" s="12" t="inlineStr">
        <x:is>
          <x:t xml:space="preserve">EXP-083</x:t>
        </x:is>
      </x:c>
      <x:c r="B164" s="12" t="inlineStr">
        <x:is>
          <x:t xml:space="preserve">Welfare Footprint Project</x:t>
        </x:is>
      </x:c>
      <x:c r="C164" s="12" t="inlineStr">
        <x:is>
          <x:t xml:space="preserve">previous_160_frozen</x:t>
        </x:is>
      </x:c>
      <x:c r="D164" s="12" t="inlineStr">
        <x:is>
          <x:t xml:space="preserve">Animal welfare and food systems</x:t>
        </x:is>
      </x:c>
      <x:c r="E164" s="12" t="inlineStr">
        <x:is>
          <x:t xml:space="preserve">EA-adjacent</x:t>
        </x:is>
      </x:c>
      <x:c r="F164" s="12" t="inlineStr">
        <x:is>
          <x:t xml:space="preserve">nonprofit/project</x:t>
        </x:is>
      </x:c>
      <x:c r="G164" s="12" t="inlineStr">
        <x:is>
          <x:t xml:space="preserve">no</x:t>
        </x:is>
      </x:c>
      <x:c r="H164" s="12" t="inlineStr">
        <x:is>
          <x:t xml:space="preserve">frozen_candidate_not_selected</x:t>
        </x:is>
      </x:c>
      <x:c r="I164" s="12" t="inlineStr">
        <x:is>
          <x:t xml:space="preserve">not selected</x:t>
        </x:is>
      </x:c>
      <x:c r="J164" s="13" t="inlineStr">
        <x:is>
          <x:t xml:space="preserve">Frozen candidate; not promoted into the 144-organization quantitative reference set during this pass.</x:t>
        </x:is>
      </x:c>
      <x:c r="K164" s="12" t="inlineStr">
        <x:is>
          <x:t xml:space="preserve">not collected</x:t>
        </x:is>
      </x:c>
      <x:c r="L164" s="16" t="inlineStr">
        <x:is>
          <x:t xml:space="preserve">https://forum.effectivealtruism.org/topics/organizations-and-projects-in-effective-altruism</x:t>
        </x:is>
      </x:c>
    </x:row>
    <x:row r="165">
      <x:c r="A165" s="12" t="inlineStr">
        <x:is>
          <x:t xml:space="preserve">EXT2-001</x:t>
        </x:is>
      </x:c>
      <x:c r="B165" s="12" t="inlineStr">
        <x:is>
          <x:t xml:space="preserve">Institute for Security and Technology</x:t>
        </x:is>
      </x:c>
      <x:c r="C165" s="12" t="inlineStr">
        <x:is>
          <x:t xml:space="preserve">extension2_new</x:t>
        </x:is>
      </x:c>
      <x:c r="D165" s="13" t="inlineStr">
        <x:is>
          <x:t xml:space="preserve">AI, catastrophic risk, biosecurity, and technology policy</x:t>
        </x:is>
      </x:c>
      <x:c r="E165" s="12" t="inlineStr">
        <x:is>
          <x:t xml:space="preserve">EA-adjacent</x:t>
        </x:is>
      </x:c>
      <x:c r="F165" s="12" t="inlineStr">
        <x:is>
          <x:t xml:space="preserve">independent nonprofit</x:t>
        </x:is>
      </x:c>
      <x:c r="G165" s="12" t="inlineStr">
        <x:is>
          <x:t xml:space="preserve">no</x:t>
        </x:is>
      </x:c>
      <x:c r="H165" s="12" t="inlineStr">
        <x:is>
          <x:t xml:space="preserve">included</x:t>
        </x:is>
      </x:c>
      <x:c r="I165" s="12" t="inlineStr">
        <x:is>
          <x:t xml:space="preserve">Tier B</x:t>
        </x:is>
      </x:c>
      <x:c r="J165" s="13" t="inlineStr">
        <x:is>
          <x:t xml:space="preserve">Selected under frozen function/scale/EA/structure rules; compensation did not determine selection.</x:t>
        </x:is>
      </x:c>
      <x:c r="K165" s="12" t="inlineStr">
        <x:is>
          <x:t xml:space="preserve">primary</x:t>
        </x:is>
      </x:c>
      <x:c r="L165" s="17" t="n"/>
    </x:row>
    <x:row r="166">
      <x:c r="A166" s="12" t="inlineStr">
        <x:is>
          <x:t xml:space="preserve">EXT2-002</x:t>
        </x:is>
      </x:c>
      <x:c r="B166" s="13" t="inlineStr">
        <x:is>
          <x:t xml:space="preserve">Information Technology and Innovation Foundation</x:t>
        </x:is>
      </x:c>
      <x:c r="C166" s="12" t="inlineStr">
        <x:is>
          <x:t xml:space="preserve">extension2_new</x:t>
        </x:is>
      </x:c>
      <x:c r="D166" s="13" t="inlineStr">
        <x:is>
          <x:t xml:space="preserve">AI, catastrophic risk, biosecurity, and technology policy</x:t>
        </x:is>
      </x:c>
      <x:c r="E166" s="12" t="inlineStr">
        <x:is>
          <x:t xml:space="preserve">EA-adjacent</x:t>
        </x:is>
      </x:c>
      <x:c r="F166" s="12" t="inlineStr">
        <x:is>
          <x:t xml:space="preserve">independent nonprofit</x:t>
        </x:is>
      </x:c>
      <x:c r="G166" s="12" t="inlineStr">
        <x:is>
          <x:t xml:space="preserve">no</x:t>
        </x:is>
      </x:c>
      <x:c r="H166" s="12" t="inlineStr">
        <x:is>
          <x:t xml:space="preserve">included</x:t>
        </x:is>
      </x:c>
      <x:c r="I166" s="12" t="inlineStr">
        <x:is>
          <x:t xml:space="preserve">Tier A</x:t>
        </x:is>
      </x:c>
      <x:c r="J166" s="13" t="inlineStr">
        <x:is>
          <x:t xml:space="preserve">Selected under frozen function/scale/EA/structure rules; compensation did not determine selection.</x:t>
        </x:is>
      </x:c>
      <x:c r="K166" s="12" t="inlineStr">
        <x:is>
          <x:t xml:space="preserve">primary</x:t>
        </x:is>
      </x:c>
      <x:c r="L166" s="17" t="n"/>
    </x:row>
    <x:row r="167">
      <x:c r="A167" s="12" t="inlineStr">
        <x:is>
          <x:t xml:space="preserve">EXT2-003</x:t>
        </x:is>
      </x:c>
      <x:c r="B167" s="12" t="inlineStr">
        <x:is>
          <x:t xml:space="preserve">Center for AI and Digital Policy</x:t>
        </x:is>
      </x:c>
      <x:c r="C167" s="12" t="inlineStr">
        <x:is>
          <x:t xml:space="preserve">extension2_new</x:t>
        </x:is>
      </x:c>
      <x:c r="D167" s="13" t="inlineStr">
        <x:is>
          <x:t xml:space="preserve">AI, catastrophic risk, biosecurity, and technology policy</x:t>
        </x:is>
      </x:c>
      <x:c r="E167" s="12" t="inlineStr">
        <x:is>
          <x:t xml:space="preserve">EA-adjacent</x:t>
        </x:is>
      </x:c>
      <x:c r="F167" s="12" t="inlineStr">
        <x:is>
          <x:t xml:space="preserve">independent nonprofit</x:t>
        </x:is>
      </x:c>
      <x:c r="G167" s="12" t="inlineStr">
        <x:is>
          <x:t xml:space="preserve">no</x:t>
        </x:is>
      </x:c>
      <x:c r="H167" s="12" t="inlineStr">
        <x:is>
          <x:t xml:space="preserve">excluded_or_structural</x:t>
        </x:is>
      </x:c>
      <x:c r="I167" s="12" t="inlineStr">
        <x:is>
          <x:t xml:space="preserve">structural_sensitivity</x:t>
        </x:is>
      </x:c>
      <x:c r="J167" s="12" t="n"/>
      <x:c r="K167" s="12" t="inlineStr">
        <x:is>
          <x:t xml:space="preserve">structural_sensitivity</x:t>
        </x:is>
      </x:c>
      <x:c r="L167" s="17" t="n"/>
    </x:row>
    <x:row r="168">
      <x:c r="A168" s="12" t="inlineStr">
        <x:is>
          <x:t xml:space="preserve">EXT2-004</x:t>
        </x:is>
      </x:c>
      <x:c r="B168" s="12" t="inlineStr">
        <x:is>
          <x:t xml:space="preserve">Responsible AI Collaborative</x:t>
        </x:is>
      </x:c>
      <x:c r="C168" s="12" t="inlineStr">
        <x:is>
          <x:t xml:space="preserve">extension2_new</x:t>
        </x:is>
      </x:c>
      <x:c r="D168" s="13" t="inlineStr">
        <x:is>
          <x:t xml:space="preserve">AI, catastrophic risk, biosecurity, and technology policy</x:t>
        </x:is>
      </x:c>
      <x:c r="E168" s="12" t="inlineStr">
        <x:is>
          <x:t xml:space="preserve">EA-adjacent</x:t>
        </x:is>
      </x:c>
      <x:c r="F168" s="12" t="inlineStr">
        <x:is>
          <x:t xml:space="preserve">independent nonprofit</x:t>
        </x:is>
      </x:c>
      <x:c r="G168" s="12" t="inlineStr">
        <x:is>
          <x:t xml:space="preserve">no</x:t>
        </x:is>
      </x:c>
      <x:c r="H168" s="12" t="inlineStr">
        <x:is>
          <x:t xml:space="preserve">frozen_candidate_not_selected</x:t>
        </x:is>
      </x:c>
      <x:c r="I168" s="12" t="inlineStr">
        <x:is>
          <x:t xml:space="preserve">not selected</x:t>
        </x:is>
      </x:c>
      <x:c r="J168" s="13" t="inlineStr">
        <x:is>
          <x:t xml:space="preserve">Frozen candidate; not promoted into the 144-organization quantitative reference set during this pass.</x:t>
        </x:is>
      </x:c>
      <x:c r="K168" s="12" t="inlineStr">
        <x:is>
          <x:t xml:space="preserve">not collected</x:t>
        </x:is>
      </x:c>
      <x:c r="L168" s="17" t="n"/>
    </x:row>
    <x:row r="169">
      <x:c r="A169" s="12" t="inlineStr">
        <x:is>
          <x:t xml:space="preserve">EXT2-005</x:t>
        </x:is>
      </x:c>
      <x:c r="B169" s="12" t="inlineStr">
        <x:is>
          <x:t xml:space="preserve">The Future Society</x:t>
        </x:is>
      </x:c>
      <x:c r="C169" s="12" t="inlineStr">
        <x:is>
          <x:t xml:space="preserve">extension2_new</x:t>
        </x:is>
      </x:c>
      <x:c r="D169" s="13" t="inlineStr">
        <x:is>
          <x:t xml:space="preserve">AI, catastrophic risk, biosecurity, and technology policy</x:t>
        </x:is>
      </x:c>
      <x:c r="E169" s="12" t="inlineStr">
        <x:is>
          <x:t xml:space="preserve">EA-adjacent</x:t>
        </x:is>
      </x:c>
      <x:c r="F169" s="12" t="inlineStr">
        <x:is>
          <x:t xml:space="preserve">independent nonprofit</x:t>
        </x:is>
      </x:c>
      <x:c r="G169" s="12" t="inlineStr">
        <x:is>
          <x:t xml:space="preserve">no</x:t>
        </x:is>
      </x:c>
      <x:c r="H169" s="12" t="inlineStr">
        <x:is>
          <x:t xml:space="preserve">frozen_candidate_not_selected</x:t>
        </x:is>
      </x:c>
      <x:c r="I169" s="12" t="inlineStr">
        <x:is>
          <x:t xml:space="preserve">not selected</x:t>
        </x:is>
      </x:c>
      <x:c r="J169" s="13" t="inlineStr">
        <x:is>
          <x:t xml:space="preserve">Frozen candidate; not promoted into the 144-organization quantitative reference set during this pass.</x:t>
        </x:is>
      </x:c>
      <x:c r="K169" s="12" t="inlineStr">
        <x:is>
          <x:t xml:space="preserve">not collected</x:t>
        </x:is>
      </x:c>
      <x:c r="L169" s="17" t="n"/>
    </x:row>
    <x:row r="170">
      <x:c r="A170" s="12" t="inlineStr">
        <x:is>
          <x:t xml:space="preserve">EXT2-006</x:t>
        </x:is>
      </x:c>
      <x:c r="B170" s="12" t="inlineStr">
        <x:is>
          <x:t xml:space="preserve">Center for a New American Security</x:t>
        </x:is>
      </x:c>
      <x:c r="C170" s="12" t="inlineStr">
        <x:is>
          <x:t xml:space="preserve">extension2_new</x:t>
        </x:is>
      </x:c>
      <x:c r="D170" s="13" t="inlineStr">
        <x:is>
          <x:t xml:space="preserve">AI, catastrophic risk, biosecurity, and technology policy</x:t>
        </x:is>
      </x:c>
      <x:c r="E170" s="12" t="inlineStr">
        <x:is>
          <x:t xml:space="preserve">EA-adjacent</x:t>
        </x:is>
      </x:c>
      <x:c r="F170" s="12" t="inlineStr">
        <x:is>
          <x:t xml:space="preserve">independent nonprofit</x:t>
        </x:is>
      </x:c>
      <x:c r="G170" s="12" t="inlineStr">
        <x:is>
          <x:t xml:space="preserve">no</x:t>
        </x:is>
      </x:c>
      <x:c r="H170" s="12" t="inlineStr">
        <x:is>
          <x:t xml:space="preserve">included</x:t>
        </x:is>
      </x:c>
      <x:c r="I170" s="12" t="inlineStr">
        <x:is>
          <x:t xml:space="preserve">Tier A</x:t>
        </x:is>
      </x:c>
      <x:c r="J170" s="13" t="inlineStr">
        <x:is>
          <x:t xml:space="preserve">Selected under frozen function/scale/EA/structure rules; compensation did not determine selection.</x:t>
        </x:is>
      </x:c>
      <x:c r="K170" s="12" t="inlineStr">
        <x:is>
          <x:t xml:space="preserve">primary</x:t>
        </x:is>
      </x:c>
      <x:c r="L170" s="17" t="n"/>
    </x:row>
    <x:row r="171">
      <x:c r="A171" s="12" t="inlineStr">
        <x:is>
          <x:t xml:space="preserve">EXT2-007</x:t>
        </x:is>
      </x:c>
      <x:c r="B171" s="12" t="inlineStr">
        <x:is>
          <x:t xml:space="preserve">Quincy Institute for Responsible Statecraft</x:t>
        </x:is>
      </x:c>
      <x:c r="C171" s="12" t="inlineStr">
        <x:is>
          <x:t xml:space="preserve">extension2_new</x:t>
        </x:is>
      </x:c>
      <x:c r="D171" s="13" t="inlineStr">
        <x:is>
          <x:t xml:space="preserve">AI, catastrophic risk, biosecurity, and technology policy</x:t>
        </x:is>
      </x:c>
      <x:c r="E171" s="12" t="inlineStr">
        <x:is>
          <x:t xml:space="preserve">EA-adjacent</x:t>
        </x:is>
      </x:c>
      <x:c r="F171" s="12" t="inlineStr">
        <x:is>
          <x:t xml:space="preserve">independent nonprofit</x:t>
        </x:is>
      </x:c>
      <x:c r="G171" s="12" t="inlineStr">
        <x:is>
          <x:t xml:space="preserve">no</x:t>
        </x:is>
      </x:c>
      <x:c r="H171" s="12" t="inlineStr">
        <x:is>
          <x:t xml:space="preserve">included</x:t>
        </x:is>
      </x:c>
      <x:c r="I171" s="12" t="inlineStr">
        <x:is>
          <x:t xml:space="preserve">Tier A</x:t>
        </x:is>
      </x:c>
      <x:c r="J171" s="13" t="inlineStr">
        <x:is>
          <x:t xml:space="preserve">Selected under frozen function/scale/EA/structure rules; compensation did not determine selection.</x:t>
        </x:is>
      </x:c>
      <x:c r="K171" s="12" t="inlineStr">
        <x:is>
          <x:t xml:space="preserve">primary</x:t>
        </x:is>
      </x:c>
      <x:c r="L171" s="17" t="n"/>
    </x:row>
    <x:row r="172">
      <x:c r="A172" s="12" t="inlineStr">
        <x:is>
          <x:t xml:space="preserve">EXT2-008</x:t>
        </x:is>
      </x:c>
      <x:c r="B172" s="12" t="inlineStr">
        <x:is>
          <x:t xml:space="preserve">Arms Control Association</x:t>
        </x:is>
      </x:c>
      <x:c r="C172" s="12" t="inlineStr">
        <x:is>
          <x:t xml:space="preserve">extension2_new</x:t>
        </x:is>
      </x:c>
      <x:c r="D172" s="13" t="inlineStr">
        <x:is>
          <x:t xml:space="preserve">AI, catastrophic risk, biosecurity, and technology policy</x:t>
        </x:is>
      </x:c>
      <x:c r="E172" s="12" t="inlineStr">
        <x:is>
          <x:t xml:space="preserve">EA-adjacent</x:t>
        </x:is>
      </x:c>
      <x:c r="F172" s="12" t="inlineStr">
        <x:is>
          <x:t xml:space="preserve">independent nonprofit</x:t>
        </x:is>
      </x:c>
      <x:c r="G172" s="12" t="inlineStr">
        <x:is>
          <x:t xml:space="preserve">no</x:t>
        </x:is>
      </x:c>
      <x:c r="H172" s="12" t="inlineStr">
        <x:is>
          <x:t xml:space="preserve">included</x:t>
        </x:is>
      </x:c>
      <x:c r="I172" s="12" t="inlineStr">
        <x:is>
          <x:t xml:space="preserve">Tier C</x:t>
        </x:is>
      </x:c>
      <x:c r="J172" s="13" t="inlineStr">
        <x:is>
          <x:t xml:space="preserve">Selected under frozen function/scale/EA/structure rules; compensation did not determine selection.</x:t>
        </x:is>
      </x:c>
      <x:c r="K172" s="12" t="inlineStr">
        <x:is>
          <x:t xml:space="preserve">primary_with_structure_flag</x:t>
        </x:is>
      </x:c>
      <x:c r="L172" s="17" t="n"/>
    </x:row>
    <x:row r="173">
      <x:c r="A173" s="12" t="inlineStr">
        <x:is>
          <x:t xml:space="preserve">EXT2-009</x:t>
        </x:is>
      </x:c>
      <x:c r="B173" s="12" t="inlineStr">
        <x:is>
          <x:t xml:space="preserve">Council for a Livable World Education Fund</x:t>
        </x:is>
      </x:c>
      <x:c r="C173" s="12" t="inlineStr">
        <x:is>
          <x:t xml:space="preserve">extension2_new</x:t>
        </x:is>
      </x:c>
      <x:c r="D173" s="13" t="inlineStr">
        <x:is>
          <x:t xml:space="preserve">AI, catastrophic risk, biosecurity, and technology policy</x:t>
        </x:is>
      </x:c>
      <x:c r="E173" s="12" t="inlineStr">
        <x:is>
          <x:t xml:space="preserve">EA-adjacent</x:t>
        </x:is>
      </x:c>
      <x:c r="F173" s="12" t="inlineStr">
        <x:is>
          <x:t xml:space="preserve">independent nonprofit</x:t>
        </x:is>
      </x:c>
      <x:c r="G173" s="12" t="inlineStr">
        <x:is>
          <x:t xml:space="preserve">no</x:t>
        </x:is>
      </x:c>
      <x:c r="H173" s="12" t="inlineStr">
        <x:is>
          <x:t xml:space="preserve">frozen_candidate_not_selected</x:t>
        </x:is>
      </x:c>
      <x:c r="I173" s="12" t="inlineStr">
        <x:is>
          <x:t xml:space="preserve">not selected</x:t>
        </x:is>
      </x:c>
      <x:c r="J173" s="13" t="inlineStr">
        <x:is>
          <x:t xml:space="preserve">Frozen candidate; not promoted into the 144-organization quantitative reference set during this pass.</x:t>
        </x:is>
      </x:c>
      <x:c r="K173" s="12" t="inlineStr">
        <x:is>
          <x:t xml:space="preserve">not collected</x:t>
        </x:is>
      </x:c>
      <x:c r="L173" s="17" t="n"/>
    </x:row>
    <x:row r="174">
      <x:c r="A174" s="12" t="inlineStr">
        <x:is>
          <x:t xml:space="preserve">EXT2-010</x:t>
        </x:is>
      </x:c>
      <x:c r="B174" s="12" t="inlineStr">
        <x:is>
          <x:t xml:space="preserve">Ploughshares Fund</x:t>
        </x:is>
      </x:c>
      <x:c r="C174" s="12" t="inlineStr">
        <x:is>
          <x:t xml:space="preserve">extension2_new</x:t>
        </x:is>
      </x:c>
      <x:c r="D174" s="13" t="inlineStr">
        <x:is>
          <x:t xml:space="preserve">AI, catastrophic risk, biosecurity, and technology policy</x:t>
        </x:is>
      </x:c>
      <x:c r="E174" s="12" t="inlineStr">
        <x:is>
          <x:t xml:space="preserve">EA-adjacent</x:t>
        </x:is>
      </x:c>
      <x:c r="F174" s="12" t="inlineStr">
        <x:is>
          <x:t xml:space="preserve">public charity / grantmaker</x:t>
        </x:is>
      </x:c>
      <x:c r="G174" s="12" t="inlineStr">
        <x:is>
          <x:t xml:space="preserve">no</x:t>
        </x:is>
      </x:c>
      <x:c r="H174" s="12" t="inlineStr">
        <x:is>
          <x:t xml:space="preserve">excluded_or_structural</x:t>
        </x:is>
      </x:c>
      <x:c r="I174" s="12" t="inlineStr">
        <x:is>
          <x:t xml:space="preserve">structural_sensitivity</x:t>
        </x:is>
      </x:c>
      <x:c r="J174" s="12" t="n"/>
      <x:c r="K174" s="12" t="inlineStr">
        <x:is>
          <x:t xml:space="preserve">structural_sensitivity</x:t>
        </x:is>
      </x:c>
      <x:c r="L174" s="17" t="n"/>
    </x:row>
    <x:row r="175">
      <x:c r="A175" s="12" t="inlineStr">
        <x:is>
          <x:t xml:space="preserve">EXT2-011</x:t>
        </x:is>
      </x:c>
      <x:c r="B175" s="12" t="inlineStr">
        <x:is>
          <x:t xml:space="preserve">Physicians for Social Responsibility</x:t>
        </x:is>
      </x:c>
      <x:c r="C175" s="12" t="inlineStr">
        <x:is>
          <x:t xml:space="preserve">extension2_new</x:t>
        </x:is>
      </x:c>
      <x:c r="D175" s="13" t="inlineStr">
        <x:is>
          <x:t xml:space="preserve">AI, catastrophic risk, biosecurity, and technology policy</x:t>
        </x:is>
      </x:c>
      <x:c r="E175" s="12" t="inlineStr">
        <x:is>
          <x:t xml:space="preserve">EA-adjacent</x:t>
        </x:is>
      </x:c>
      <x:c r="F175" s="12" t="inlineStr">
        <x:is>
          <x:t xml:space="preserve">independent nonprofit</x:t>
        </x:is>
      </x:c>
      <x:c r="G175" s="12" t="inlineStr">
        <x:is>
          <x:t xml:space="preserve">no</x:t>
        </x:is>
      </x:c>
      <x:c r="H175" s="12" t="inlineStr">
        <x:is>
          <x:t xml:space="preserve">included</x:t>
        </x:is>
      </x:c>
      <x:c r="I175" s="12" t="inlineStr">
        <x:is>
          <x:t xml:space="preserve">Tier C</x:t>
        </x:is>
      </x:c>
      <x:c r="J175" s="13" t="inlineStr">
        <x:is>
          <x:t xml:space="preserve">Selected under frozen function/scale/EA/structure rules; compensation did not determine selection.</x:t>
        </x:is>
      </x:c>
      <x:c r="K175" s="12" t="inlineStr">
        <x:is>
          <x:t xml:space="preserve">primary_with_structure_flag</x:t>
        </x:is>
      </x:c>
      <x:c r="L175" s="17" t="n"/>
    </x:row>
    <x:row r="176">
      <x:c r="A176" s="12" t="inlineStr">
        <x:is>
          <x:t xml:space="preserve">EXT2-012</x:t>
        </x:is>
      </x:c>
      <x:c r="B176" s="12" t="inlineStr">
        <x:is>
          <x:t xml:space="preserve">Global Security Institute</x:t>
        </x:is>
      </x:c>
      <x:c r="C176" s="12" t="inlineStr">
        <x:is>
          <x:t xml:space="preserve">extension2_new</x:t>
        </x:is>
      </x:c>
      <x:c r="D176" s="13" t="inlineStr">
        <x:is>
          <x:t xml:space="preserve">AI, catastrophic risk, biosecurity, and technology policy</x:t>
        </x:is>
      </x:c>
      <x:c r="E176" s="12" t="inlineStr">
        <x:is>
          <x:t xml:space="preserve">EA-adjacent</x:t>
        </x:is>
      </x:c>
      <x:c r="F176" s="12" t="inlineStr">
        <x:is>
          <x:t xml:space="preserve">independent nonprofit</x:t>
        </x:is>
      </x:c>
      <x:c r="G176" s="12" t="inlineStr">
        <x:is>
          <x:t xml:space="preserve">no</x:t>
        </x:is>
      </x:c>
      <x:c r="H176" s="12" t="inlineStr">
        <x:is>
          <x:t xml:space="preserve">frozen_candidate_not_selected</x:t>
        </x:is>
      </x:c>
      <x:c r="I176" s="12" t="inlineStr">
        <x:is>
          <x:t xml:space="preserve">not selected</x:t>
        </x:is>
      </x:c>
      <x:c r="J176" s="13" t="inlineStr">
        <x:is>
          <x:t xml:space="preserve">Frozen candidate; not promoted into the 144-organization quantitative reference set during this pass.</x:t>
        </x:is>
      </x:c>
      <x:c r="K176" s="12" t="inlineStr">
        <x:is>
          <x:t xml:space="preserve">not collected</x:t>
        </x:is>
      </x:c>
      <x:c r="L176" s="17" t="n"/>
    </x:row>
    <x:row r="177">
      <x:c r="A177" s="12" t="inlineStr">
        <x:is>
          <x:t xml:space="preserve">EXT2-013</x:t>
        </x:is>
      </x:c>
      <x:c r="B177" s="12" t="inlineStr">
        <x:is>
          <x:t xml:space="preserve">Nuclear Age Peace Foundation</x:t>
        </x:is>
      </x:c>
      <x:c r="C177" s="12" t="inlineStr">
        <x:is>
          <x:t xml:space="preserve">extension2_new</x:t>
        </x:is>
      </x:c>
      <x:c r="D177" s="13" t="inlineStr">
        <x:is>
          <x:t xml:space="preserve">AI, catastrophic risk, biosecurity, and technology policy</x:t>
        </x:is>
      </x:c>
      <x:c r="E177" s="12" t="inlineStr">
        <x:is>
          <x:t xml:space="preserve">EA-adjacent</x:t>
        </x:is>
      </x:c>
      <x:c r="F177" s="12" t="inlineStr">
        <x:is>
          <x:t xml:space="preserve">independent nonprofit</x:t>
        </x:is>
      </x:c>
      <x:c r="G177" s="12" t="inlineStr">
        <x:is>
          <x:t xml:space="preserve">no</x:t>
        </x:is>
      </x:c>
      <x:c r="H177" s="12" t="inlineStr">
        <x:is>
          <x:t xml:space="preserve">frozen_candidate_not_selected</x:t>
        </x:is>
      </x:c>
      <x:c r="I177" s="12" t="inlineStr">
        <x:is>
          <x:t xml:space="preserve">not selected</x:t>
        </x:is>
      </x:c>
      <x:c r="J177" s="13" t="inlineStr">
        <x:is>
          <x:t xml:space="preserve">Frozen candidate; not promoted into the 144-organization quantitative reference set during this pass.</x:t>
        </x:is>
      </x:c>
      <x:c r="K177" s="12" t="inlineStr">
        <x:is>
          <x:t xml:space="preserve">not collected</x:t>
        </x:is>
      </x:c>
      <x:c r="L177" s="17" t="n"/>
    </x:row>
    <x:row r="178">
      <x:c r="A178" s="12" t="inlineStr">
        <x:is>
          <x:t xml:space="preserve">EXT2-014</x:t>
        </x:is>
      </x:c>
      <x:c r="B178" s="12" t="inlineStr">
        <x:is>
          <x:t xml:space="preserve">Center for Internet Security</x:t>
        </x:is>
      </x:c>
      <x:c r="C178" s="12" t="inlineStr">
        <x:is>
          <x:t xml:space="preserve">extension2_new</x:t>
        </x:is>
      </x:c>
      <x:c r="D178" s="13" t="inlineStr">
        <x:is>
          <x:t xml:space="preserve">AI, catastrophic risk, biosecurity, and technology policy</x:t>
        </x:is>
      </x:c>
      <x:c r="E178" s="12" t="inlineStr">
        <x:is>
          <x:t xml:space="preserve">functional-only</x:t>
        </x:is>
      </x:c>
      <x:c r="F178" s="12" t="inlineStr">
        <x:is>
          <x:t xml:space="preserve">independent nonprofit</x:t>
        </x:is>
      </x:c>
      <x:c r="G178" s="12" t="inlineStr">
        <x:is>
          <x:t xml:space="preserve">no</x:t>
        </x:is>
      </x:c>
      <x:c r="H178" s="12" t="inlineStr">
        <x:is>
          <x:t xml:space="preserve">frozen_candidate_not_selected</x:t>
        </x:is>
      </x:c>
      <x:c r="I178" s="12" t="inlineStr">
        <x:is>
          <x:t xml:space="preserve">not selected</x:t>
        </x:is>
      </x:c>
      <x:c r="J178" s="13" t="inlineStr">
        <x:is>
          <x:t xml:space="preserve">Frozen candidate; not promoted into the 144-organization quantitative reference set during this pass.</x:t>
        </x:is>
      </x:c>
      <x:c r="K178" s="12" t="inlineStr">
        <x:is>
          <x:t xml:space="preserve">not collected</x:t>
        </x:is>
      </x:c>
      <x:c r="L178" s="17" t="n"/>
    </x:row>
    <x:row r="179">
      <x:c r="A179" s="12" t="inlineStr">
        <x:is>
          <x:t xml:space="preserve">EXT2-015</x:t>
        </x:is>
      </x:c>
      <x:c r="B179" s="12" t="inlineStr">
        <x:is>
          <x:t xml:space="preserve">Internet Security Research Group</x:t>
        </x:is>
      </x:c>
      <x:c r="C179" s="12" t="inlineStr">
        <x:is>
          <x:t xml:space="preserve">extension2_new</x:t>
        </x:is>
      </x:c>
      <x:c r="D179" s="13" t="inlineStr">
        <x:is>
          <x:t xml:space="preserve">AI, catastrophic risk, biosecurity, and technology policy</x:t>
        </x:is>
      </x:c>
      <x:c r="E179" s="12" t="inlineStr">
        <x:is>
          <x:t xml:space="preserve">EA-adjacent</x:t>
        </x:is>
      </x:c>
      <x:c r="F179" s="12" t="inlineStr">
        <x:is>
          <x:t xml:space="preserve">independent nonprofit</x:t>
        </x:is>
      </x:c>
      <x:c r="G179" s="12" t="inlineStr">
        <x:is>
          <x:t xml:space="preserve">no</x:t>
        </x:is>
      </x:c>
      <x:c r="H179" s="12" t="inlineStr">
        <x:is>
          <x:t xml:space="preserve">included</x:t>
        </x:is>
      </x:c>
      <x:c r="I179" s="12" t="inlineStr">
        <x:is>
          <x:t xml:space="preserve">Tier A</x:t>
        </x:is>
      </x:c>
      <x:c r="J179" s="13" t="inlineStr">
        <x:is>
          <x:t xml:space="preserve">Selected under frozen function/scale/EA/structure rules; compensation did not determine selection.</x:t>
        </x:is>
      </x:c>
      <x:c r="K179" s="12" t="inlineStr">
        <x:is>
          <x:t xml:space="preserve">primary</x:t>
        </x:is>
      </x:c>
      <x:c r="L179" s="17" t="n"/>
    </x:row>
    <x:row r="180">
      <x:c r="A180" s="12" t="inlineStr">
        <x:is>
          <x:t xml:space="preserve">EXT2-016</x:t>
        </x:is>
      </x:c>
      <x:c r="B180" s="12" t="inlineStr">
        <x:is>
          <x:t xml:space="preserve">Open Technology Fund</x:t>
        </x:is>
      </x:c>
      <x:c r="C180" s="12" t="inlineStr">
        <x:is>
          <x:t xml:space="preserve">extension2_new</x:t>
        </x:is>
      </x:c>
      <x:c r="D180" s="13" t="inlineStr">
        <x:is>
          <x:t xml:space="preserve">AI, catastrophic risk, biosecurity, and technology policy</x:t>
        </x:is>
      </x:c>
      <x:c r="E180" s="12" t="inlineStr">
        <x:is>
          <x:t xml:space="preserve">EA-adjacent</x:t>
        </x:is>
      </x:c>
      <x:c r="F180" s="12" t="inlineStr">
        <x:is>
          <x:t xml:space="preserve">independent nonprofit</x:t>
        </x:is>
      </x:c>
      <x:c r="G180" s="12" t="inlineStr">
        <x:is>
          <x:t xml:space="preserve">no</x:t>
        </x:is>
      </x:c>
      <x:c r="H180" s="12" t="inlineStr">
        <x:is>
          <x:t xml:space="preserve">excluded_or_structural</x:t>
        </x:is>
      </x:c>
      <x:c r="I180" s="12" t="inlineStr">
        <x:is>
          <x:t xml:space="preserve">structural_sensitivity</x:t>
        </x:is>
      </x:c>
      <x:c r="J180" s="12" t="n"/>
      <x:c r="K180" s="12" t="inlineStr">
        <x:is>
          <x:t xml:space="preserve">structural_sensitivity</x:t>
        </x:is>
      </x:c>
      <x:c r="L180" s="17" t="n"/>
    </x:row>
    <x:row r="181">
      <x:c r="A181" s="12" t="inlineStr">
        <x:is>
          <x:t xml:space="preserve">EXT2-017</x:t>
        </x:is>
      </x:c>
      <x:c r="B181" s="12" t="inlineStr">
        <x:is>
          <x:t xml:space="preserve">AI Education Project</x:t>
        </x:is>
      </x:c>
      <x:c r="C181" s="12" t="inlineStr">
        <x:is>
          <x:t xml:space="preserve">extension2_new</x:t>
        </x:is>
      </x:c>
      <x:c r="D181" s="13" t="inlineStr">
        <x:is>
          <x:t xml:space="preserve">AI, catastrophic risk, biosecurity, and technology policy</x:t>
        </x:is>
      </x:c>
      <x:c r="E181" s="12" t="inlineStr">
        <x:is>
          <x:t xml:space="preserve">EA-adjacent</x:t>
        </x:is>
      </x:c>
      <x:c r="F181" s="12" t="inlineStr">
        <x:is>
          <x:t xml:space="preserve">independent nonprofit</x:t>
        </x:is>
      </x:c>
      <x:c r="G181" s="12" t="inlineStr">
        <x:is>
          <x:t xml:space="preserve">no</x:t>
        </x:is>
      </x:c>
      <x:c r="H181" s="12" t="inlineStr">
        <x:is>
          <x:t xml:space="preserve">frozen_candidate_not_selected</x:t>
        </x:is>
      </x:c>
      <x:c r="I181" s="12" t="inlineStr">
        <x:is>
          <x:t xml:space="preserve">not selected</x:t>
        </x:is>
      </x:c>
      <x:c r="J181" s="13" t="inlineStr">
        <x:is>
          <x:t xml:space="preserve">Frozen candidate; not promoted into the 144-organization quantitative reference set during this pass.</x:t>
        </x:is>
      </x:c>
      <x:c r="K181" s="12" t="inlineStr">
        <x:is>
          <x:t xml:space="preserve">not collected</x:t>
        </x:is>
      </x:c>
      <x:c r="L181" s="17" t="n"/>
    </x:row>
    <x:row r="182">
      <x:c r="A182" s="12" t="inlineStr">
        <x:is>
          <x:t xml:space="preserve">EXT2-018</x:t>
        </x:is>
      </x:c>
      <x:c r="B182" s="12" t="inlineStr">
        <x:is>
          <x:t xml:space="preserve">All Tech Is Human</x:t>
        </x:is>
      </x:c>
      <x:c r="C182" s="12" t="inlineStr">
        <x:is>
          <x:t xml:space="preserve">extension2_new</x:t>
        </x:is>
      </x:c>
      <x:c r="D182" s="13" t="inlineStr">
        <x:is>
          <x:t xml:space="preserve">AI, catastrophic risk, biosecurity, and technology policy</x:t>
        </x:is>
      </x:c>
      <x:c r="E182" s="12" t="inlineStr">
        <x:is>
          <x:t xml:space="preserve">EA-adjacent</x:t>
        </x:is>
      </x:c>
      <x:c r="F182" s="12" t="inlineStr">
        <x:is>
          <x:t xml:space="preserve">nonprofit/project</x:t>
        </x:is>
      </x:c>
      <x:c r="G182" s="12" t="inlineStr">
        <x:is>
          <x:t xml:space="preserve">no</x:t>
        </x:is>
      </x:c>
      <x:c r="H182" s="12" t="inlineStr">
        <x:is>
          <x:t xml:space="preserve">frozen_candidate_not_selected</x:t>
        </x:is>
      </x:c>
      <x:c r="I182" s="12" t="inlineStr">
        <x:is>
          <x:t xml:space="preserve">not selected</x:t>
        </x:is>
      </x:c>
      <x:c r="J182" s="13" t="inlineStr">
        <x:is>
          <x:t xml:space="preserve">Frozen candidate; not promoted into the 144-organization quantitative reference set during this pass.</x:t>
        </x:is>
      </x:c>
      <x:c r="K182" s="12" t="inlineStr">
        <x:is>
          <x:t xml:space="preserve">not collected</x:t>
        </x:is>
      </x:c>
      <x:c r="L182" s="17" t="n"/>
    </x:row>
    <x:row r="183">
      <x:c r="A183" s="12" t="inlineStr">
        <x:is>
          <x:t xml:space="preserve">EXT2-019</x:t>
        </x:is>
      </x:c>
      <x:c r="B183" s="12" t="inlineStr">
        <x:is>
          <x:t xml:space="preserve">Institute for the Study of War</x:t>
        </x:is>
      </x:c>
      <x:c r="C183" s="12" t="inlineStr">
        <x:is>
          <x:t xml:space="preserve">extension2_new</x:t>
        </x:is>
      </x:c>
      <x:c r="D183" s="13" t="inlineStr">
        <x:is>
          <x:t xml:space="preserve">AI, catastrophic risk, biosecurity, and technology policy</x:t>
        </x:is>
      </x:c>
      <x:c r="E183" s="12" t="inlineStr">
        <x:is>
          <x:t xml:space="preserve">EA-adjacent</x:t>
        </x:is>
      </x:c>
      <x:c r="F183" s="12" t="inlineStr">
        <x:is>
          <x:t xml:space="preserve">independent nonprofit</x:t>
        </x:is>
      </x:c>
      <x:c r="G183" s="12" t="inlineStr">
        <x:is>
          <x:t xml:space="preserve">no</x:t>
        </x:is>
      </x:c>
      <x:c r="H183" s="12" t="inlineStr">
        <x:is>
          <x:t xml:space="preserve">included</x:t>
        </x:is>
      </x:c>
      <x:c r="I183" s="12" t="inlineStr">
        <x:is>
          <x:t xml:space="preserve">Tier A</x:t>
        </x:is>
      </x:c>
      <x:c r="J183" s="13" t="inlineStr">
        <x:is>
          <x:t xml:space="preserve">Selected under frozen function/scale/EA/structure rules; compensation did not determine selection.</x:t>
        </x:is>
      </x:c>
      <x:c r="K183" s="12" t="inlineStr">
        <x:is>
          <x:t xml:space="preserve">primary</x:t>
        </x:is>
      </x:c>
      <x:c r="L183" s="17" t="n"/>
    </x:row>
    <x:row r="184">
      <x:c r="A184" s="12" t="inlineStr">
        <x:is>
          <x:t xml:space="preserve">EXT2-020</x:t>
        </x:is>
      </x:c>
      <x:c r="B184" s="12" t="inlineStr">
        <x:is>
          <x:t xml:space="preserve">Center for Health Security at Johns Hopkins</x:t>
        </x:is>
      </x:c>
      <x:c r="C184" s="12" t="inlineStr">
        <x:is>
          <x:t xml:space="preserve">extension2_new</x:t>
        </x:is>
      </x:c>
      <x:c r="D184" s="13" t="inlineStr">
        <x:is>
          <x:t xml:space="preserve">AI, catastrophic risk, biosecurity, and technology policy</x:t>
        </x:is>
      </x:c>
      <x:c r="E184" s="12" t="inlineStr">
        <x:is>
          <x:t xml:space="preserve">EA-adjacent</x:t>
        </x:is>
      </x:c>
      <x:c r="F184" s="12" t="inlineStr">
        <x:is>
          <x:t xml:space="preserve">university center</x:t>
        </x:is>
      </x:c>
      <x:c r="G184" s="12" t="inlineStr">
        <x:is>
          <x:t xml:space="preserve">no</x:t>
        </x:is>
      </x:c>
      <x:c r="H184" s="12" t="inlineStr">
        <x:is>
          <x:t xml:space="preserve">frozen_candidate_not_selected</x:t>
        </x:is>
      </x:c>
      <x:c r="I184" s="12" t="inlineStr">
        <x:is>
          <x:t xml:space="preserve">not selected</x:t>
        </x:is>
      </x:c>
      <x:c r="J184" s="13" t="inlineStr">
        <x:is>
          <x:t xml:space="preserve">Frozen candidate; not promoted into the 144-organization quantitative reference set during this pass.</x:t>
        </x:is>
      </x:c>
      <x:c r="K184" s="12" t="inlineStr">
        <x:is>
          <x:t xml:space="preserve">not collected</x:t>
        </x:is>
      </x:c>
      <x:c r="L184" s="17" t="n"/>
    </x:row>
    <x:row r="185">
      <x:c r="A185" s="12" t="inlineStr">
        <x:is>
          <x:t xml:space="preserve">EXT2-021</x:t>
        </x:is>
      </x:c>
      <x:c r="B185" s="12" t="inlineStr">
        <x:is>
          <x:t xml:space="preserve">Horizon Institute for Public Service</x:t>
        </x:is>
      </x:c>
      <x:c r="C185" s="12" t="inlineStr">
        <x:is>
          <x:t xml:space="preserve">extension2_new</x:t>
        </x:is>
      </x:c>
      <x:c r="D185" s="13" t="inlineStr">
        <x:is>
          <x:t xml:space="preserve">AI, catastrophic risk, biosecurity, and technology policy</x:t>
        </x:is>
      </x:c>
      <x:c r="E185" s="12" t="inlineStr">
        <x:is>
          <x:t xml:space="preserve">EA-adjacent</x:t>
        </x:is>
      </x:c>
      <x:c r="F185" s="12" t="inlineStr">
        <x:is>
          <x:t xml:space="preserve">independent nonprofit</x:t>
        </x:is>
      </x:c>
      <x:c r="G185" s="12" t="inlineStr">
        <x:is>
          <x:t xml:space="preserve">no</x:t>
        </x:is>
      </x:c>
      <x:c r="H185" s="12" t="inlineStr">
        <x:is>
          <x:t xml:space="preserve">frozen_candidate_not_selected</x:t>
        </x:is>
      </x:c>
      <x:c r="I185" s="12" t="inlineStr">
        <x:is>
          <x:t xml:space="preserve">not selected</x:t>
        </x:is>
      </x:c>
      <x:c r="J185" s="13" t="inlineStr">
        <x:is>
          <x:t xml:space="preserve">Frozen candidate; not promoted into the 144-organization quantitative reference set during this pass.</x:t>
        </x:is>
      </x:c>
      <x:c r="K185" s="12" t="inlineStr">
        <x:is>
          <x:t xml:space="preserve">not collected</x:t>
        </x:is>
      </x:c>
      <x:c r="L185" s="17" t="n"/>
    </x:row>
    <x:row r="186">
      <x:c r="A186" s="12" t="inlineStr">
        <x:is>
          <x:t xml:space="preserve">EXT2-022</x:t>
        </x:is>
      </x:c>
      <x:c r="B186" s="12" t="inlineStr">
        <x:is>
          <x:t xml:space="preserve">Berkeley Existential Risk Initiative</x:t>
        </x:is>
      </x:c>
      <x:c r="C186" s="12" t="inlineStr">
        <x:is>
          <x:t xml:space="preserve">extension2_new</x:t>
        </x:is>
      </x:c>
      <x:c r="D186" s="13" t="inlineStr">
        <x:is>
          <x:t xml:space="preserve">AI, catastrophic risk, biosecurity, and technology policy</x:t>
        </x:is>
      </x:c>
      <x:c r="E186" s="12" t="inlineStr">
        <x:is>
          <x:t xml:space="preserve">EA-core</x:t>
        </x:is>
      </x:c>
      <x:c r="F186" s="12" t="inlineStr">
        <x:is>
          <x:t xml:space="preserve">nonprofit or fiscally sponsored</x:t>
        </x:is>
      </x:c>
      <x:c r="G186" s="12" t="inlineStr">
        <x:is>
          <x:t xml:space="preserve">no</x:t>
        </x:is>
      </x:c>
      <x:c r="H186" s="12" t="inlineStr">
        <x:is>
          <x:t xml:space="preserve">frozen_candidate_not_selected</x:t>
        </x:is>
      </x:c>
      <x:c r="I186" s="12" t="inlineStr">
        <x:is>
          <x:t xml:space="preserve">not selected</x:t>
        </x:is>
      </x:c>
      <x:c r="J186" s="13" t="inlineStr">
        <x:is>
          <x:t xml:space="preserve">Frozen candidate; not promoted into the 144-organization quantitative reference set during this pass.</x:t>
        </x:is>
      </x:c>
      <x:c r="K186" s="12" t="inlineStr">
        <x:is>
          <x:t xml:space="preserve">not collected</x:t>
        </x:is>
      </x:c>
      <x:c r="L186" s="17" t="n"/>
    </x:row>
    <x:row r="187">
      <x:c r="A187" s="12" t="inlineStr">
        <x:is>
          <x:t xml:space="preserve">EXT2-023</x:t>
        </x:is>
      </x:c>
      <x:c r="B187" s="12" t="inlineStr">
        <x:is>
          <x:t xml:space="preserve">Future Matters Project</x:t>
        </x:is>
      </x:c>
      <x:c r="C187" s="12" t="inlineStr">
        <x:is>
          <x:t xml:space="preserve">extension2_new</x:t>
        </x:is>
      </x:c>
      <x:c r="D187" s="13" t="inlineStr">
        <x:is>
          <x:t xml:space="preserve">AI, catastrophic risk, biosecurity, and technology policy</x:t>
        </x:is>
      </x:c>
      <x:c r="E187" s="12" t="inlineStr">
        <x:is>
          <x:t xml:space="preserve">EA-adjacent</x:t>
        </x:is>
      </x:c>
      <x:c r="F187" s="12" t="inlineStr">
        <x:is>
          <x:t xml:space="preserve">nonprofit/project</x:t>
        </x:is>
      </x:c>
      <x:c r="G187" s="12" t="inlineStr">
        <x:is>
          <x:t xml:space="preserve">no</x:t>
        </x:is>
      </x:c>
      <x:c r="H187" s="12" t="inlineStr">
        <x:is>
          <x:t xml:space="preserve">frozen_candidate_not_selected</x:t>
        </x:is>
      </x:c>
      <x:c r="I187" s="12" t="inlineStr">
        <x:is>
          <x:t xml:space="preserve">not selected</x:t>
        </x:is>
      </x:c>
      <x:c r="J187" s="13" t="inlineStr">
        <x:is>
          <x:t xml:space="preserve">Frozen candidate; not promoted into the 144-organization quantitative reference set during this pass.</x:t>
        </x:is>
      </x:c>
      <x:c r="K187" s="12" t="inlineStr">
        <x:is>
          <x:t xml:space="preserve">not collected</x:t>
        </x:is>
      </x:c>
      <x:c r="L187" s="17" t="n"/>
    </x:row>
    <x:row r="188">
      <x:c r="A188" s="12" t="inlineStr">
        <x:is>
          <x:t xml:space="preserve">EXT2-024</x:t>
        </x:is>
      </x:c>
      <x:c r="B188" s="12" t="inlineStr">
        <x:is>
          <x:t xml:space="preserve">Paragon Institute</x:t>
        </x:is>
      </x:c>
      <x:c r="C188" s="12" t="inlineStr">
        <x:is>
          <x:t xml:space="preserve">extension2_new</x:t>
        </x:is>
      </x:c>
      <x:c r="D188" s="13" t="inlineStr">
        <x:is>
          <x:t xml:space="preserve">AI, catastrophic risk, biosecurity, and technology policy</x:t>
        </x:is>
      </x:c>
      <x:c r="E188" s="12" t="inlineStr">
        <x:is>
          <x:t xml:space="preserve">EA-adjacent</x:t>
        </x:is>
      </x:c>
      <x:c r="F188" s="12" t="inlineStr">
        <x:is>
          <x:t xml:space="preserve">independent nonprofit</x:t>
        </x:is>
      </x:c>
      <x:c r="G188" s="12" t="inlineStr">
        <x:is>
          <x:t xml:space="preserve">no</x:t>
        </x:is>
      </x:c>
      <x:c r="H188" s="12" t="inlineStr">
        <x:is>
          <x:t xml:space="preserve">frozen_candidate_not_selected</x:t>
        </x:is>
      </x:c>
      <x:c r="I188" s="12" t="inlineStr">
        <x:is>
          <x:t xml:space="preserve">not selected</x:t>
        </x:is>
      </x:c>
      <x:c r="J188" s="13" t="inlineStr">
        <x:is>
          <x:t xml:space="preserve">Frozen candidate; not promoted into the 144-organization quantitative reference set during this pass.</x:t>
        </x:is>
      </x:c>
      <x:c r="K188" s="12" t="inlineStr">
        <x:is>
          <x:t xml:space="preserve">not collected</x:t>
        </x:is>
      </x:c>
      <x:c r="L188" s="17" t="n"/>
    </x:row>
    <x:row r="189">
      <x:c r="A189" s="12" t="inlineStr">
        <x:is>
          <x:t xml:space="preserve">EXT2-025</x:t>
        </x:is>
      </x:c>
      <x:c r="B189" s="12" t="inlineStr">
        <x:is>
          <x:t xml:space="preserve">Talos Network</x:t>
        </x:is>
      </x:c>
      <x:c r="C189" s="12" t="inlineStr">
        <x:is>
          <x:t xml:space="preserve">extension2_new</x:t>
        </x:is>
      </x:c>
      <x:c r="D189" s="13" t="inlineStr">
        <x:is>
          <x:t xml:space="preserve">AI, catastrophic risk, biosecurity, and technology policy</x:t>
        </x:is>
      </x:c>
      <x:c r="E189" s="12" t="inlineStr">
        <x:is>
          <x:t xml:space="preserve">EA-adjacent</x:t>
        </x:is>
      </x:c>
      <x:c r="F189" s="12" t="inlineStr">
        <x:is>
          <x:t xml:space="preserve">nonprofit/project</x:t>
        </x:is>
      </x:c>
      <x:c r="G189" s="12" t="inlineStr">
        <x:is>
          <x:t xml:space="preserve">no</x:t>
        </x:is>
      </x:c>
      <x:c r="H189" s="12" t="inlineStr">
        <x:is>
          <x:t xml:space="preserve">frozen_candidate_not_selected</x:t>
        </x:is>
      </x:c>
      <x:c r="I189" s="12" t="inlineStr">
        <x:is>
          <x:t xml:space="preserve">not selected</x:t>
        </x:is>
      </x:c>
      <x:c r="J189" s="13" t="inlineStr">
        <x:is>
          <x:t xml:space="preserve">Frozen candidate; not promoted into the 144-organization quantitative reference set during this pass.</x:t>
        </x:is>
      </x:c>
      <x:c r="K189" s="12" t="inlineStr">
        <x:is>
          <x:t xml:space="preserve">not collected</x:t>
        </x:is>
      </x:c>
      <x:c r="L189" s="17" t="n"/>
    </x:row>
    <x:row r="190">
      <x:c r="A190" s="12" t="inlineStr">
        <x:is>
          <x:t xml:space="preserve">EXT2-026</x:t>
        </x:is>
      </x:c>
      <x:c r="B190" s="12" t="inlineStr">
        <x:is>
          <x:t xml:space="preserve">Economic Policy Institute</x:t>
        </x:is>
      </x:c>
      <x:c r="C190" s="12" t="inlineStr">
        <x:is>
          <x:t xml:space="preserve">extension2_new</x:t>
        </x:is>
      </x:c>
      <x:c r="D190" s="13" t="inlineStr">
        <x:is>
          <x:t xml:space="preserve">Research, evaluation, philanthropy infrastructure, and policy</x:t>
        </x:is>
      </x:c>
      <x:c r="E190" s="12" t="inlineStr">
        <x:is>
          <x:t xml:space="preserve">functional-only</x:t>
        </x:is>
      </x:c>
      <x:c r="F190" s="12" t="inlineStr">
        <x:is>
          <x:t xml:space="preserve">independent nonprofit</x:t>
        </x:is>
      </x:c>
      <x:c r="G190" s="12" t="inlineStr">
        <x:is>
          <x:t xml:space="preserve">no</x:t>
        </x:is>
      </x:c>
      <x:c r="H190" s="12" t="inlineStr">
        <x:is>
          <x:t xml:space="preserve">included</x:t>
        </x:is>
      </x:c>
      <x:c r="I190" s="12" t="inlineStr">
        <x:is>
          <x:t xml:space="preserve">Tier A</x:t>
        </x:is>
      </x:c>
      <x:c r="J190" s="13" t="inlineStr">
        <x:is>
          <x:t xml:space="preserve">Selected under frozen function/scale/EA/structure rules; compensation did not determine selection.</x:t>
        </x:is>
      </x:c>
      <x:c r="K190" s="12" t="inlineStr">
        <x:is>
          <x:t xml:space="preserve">primary</x:t>
        </x:is>
      </x:c>
      <x:c r="L190" s="17" t="n"/>
    </x:row>
    <x:row r="191">
      <x:c r="A191" s="12" t="inlineStr">
        <x:is>
          <x:t xml:space="preserve">EXT2-027</x:t>
        </x:is>
      </x:c>
      <x:c r="B191" s="12" t="inlineStr">
        <x:is>
          <x:t xml:space="preserve">Tax Foundation</x:t>
        </x:is>
      </x:c>
      <x:c r="C191" s="12" t="inlineStr">
        <x:is>
          <x:t xml:space="preserve">extension2_new</x:t>
        </x:is>
      </x:c>
      <x:c r="D191" s="13" t="inlineStr">
        <x:is>
          <x:t xml:space="preserve">Research, evaluation, philanthropy infrastructure, and policy</x:t>
        </x:is>
      </x:c>
      <x:c r="E191" s="12" t="inlineStr">
        <x:is>
          <x:t xml:space="preserve">functional-only</x:t>
        </x:is>
      </x:c>
      <x:c r="F191" s="12" t="inlineStr">
        <x:is>
          <x:t xml:space="preserve">independent nonprofit</x:t>
        </x:is>
      </x:c>
      <x:c r="G191" s="12" t="inlineStr">
        <x:is>
          <x:t xml:space="preserve">no</x:t>
        </x:is>
      </x:c>
      <x:c r="H191" s="12" t="inlineStr">
        <x:is>
          <x:t xml:space="preserve">included</x:t>
        </x:is>
      </x:c>
      <x:c r="I191" s="12" t="inlineStr">
        <x:is>
          <x:t xml:space="preserve">Tier A</x:t>
        </x:is>
      </x:c>
      <x:c r="J191" s="13" t="inlineStr">
        <x:is>
          <x:t xml:space="preserve">Selected under frozen function/scale/EA/structure rules; compensation did not determine selection.</x:t>
        </x:is>
      </x:c>
      <x:c r="K191" s="12" t="inlineStr">
        <x:is>
          <x:t xml:space="preserve">primary</x:t>
        </x:is>
      </x:c>
      <x:c r="L191" s="17" t="n"/>
    </x:row>
    <x:row r="192">
      <x:c r="A192" s="12" t="inlineStr">
        <x:is>
          <x:t xml:space="preserve">EXT2-028</x:t>
        </x:is>
      </x:c>
      <x:c r="B192" s="12" t="inlineStr">
        <x:is>
          <x:t xml:space="preserve">Center for Economic and Policy Research</x:t>
        </x:is>
      </x:c>
      <x:c r="C192" s="12" t="inlineStr">
        <x:is>
          <x:t xml:space="preserve">extension2_new</x:t>
        </x:is>
      </x:c>
      <x:c r="D192" s="13" t="inlineStr">
        <x:is>
          <x:t xml:space="preserve">Research, evaluation, philanthropy infrastructure, and policy</x:t>
        </x:is>
      </x:c>
      <x:c r="E192" s="12" t="inlineStr">
        <x:is>
          <x:t xml:space="preserve">functional-only</x:t>
        </x:is>
      </x:c>
      <x:c r="F192" s="12" t="inlineStr">
        <x:is>
          <x:t xml:space="preserve">independent nonprofit</x:t>
        </x:is>
      </x:c>
      <x:c r="G192" s="12" t="inlineStr">
        <x:is>
          <x:t xml:space="preserve">no</x:t>
        </x:is>
      </x:c>
      <x:c r="H192" s="12" t="inlineStr">
        <x:is>
          <x:t xml:space="preserve">excluded_or_structural</x:t>
        </x:is>
      </x:c>
      <x:c r="I192" s="12" t="inlineStr">
        <x:is>
          <x:t xml:space="preserve">structural_sensitivity</x:t>
        </x:is>
      </x:c>
      <x:c r="J192" s="13" t="inlineStr">
        <x:is>
          <x:t xml:space="preserve">Co-director observation excluded from primary solo-CEO summaries.</x:t>
        </x:is>
      </x:c>
      <x:c r="K192" s="12" t="inlineStr">
        <x:is>
          <x:t xml:space="preserve">structural_sensitivity</x:t>
        </x:is>
      </x:c>
      <x:c r="L192" s="17" t="n"/>
    </x:row>
    <x:row r="193">
      <x:c r="A193" s="12" t="inlineStr">
        <x:is>
          <x:t xml:space="preserve">EXT2-029</x:t>
        </x:is>
      </x:c>
      <x:c r="B193" s="12" t="inlineStr">
        <x:is>
          <x:t xml:space="preserve">Institute on Taxation and Economic Policy</x:t>
        </x:is>
      </x:c>
      <x:c r="C193" s="12" t="inlineStr">
        <x:is>
          <x:t xml:space="preserve">extension2_new</x:t>
        </x:is>
      </x:c>
      <x:c r="D193" s="13" t="inlineStr">
        <x:is>
          <x:t xml:space="preserve">Research, evaluation, philanthropy infrastructure, and policy</x:t>
        </x:is>
      </x:c>
      <x:c r="E193" s="12" t="inlineStr">
        <x:is>
          <x:t xml:space="preserve">functional-only</x:t>
        </x:is>
      </x:c>
      <x:c r="F193" s="12" t="inlineStr">
        <x:is>
          <x:t xml:space="preserve">independent nonprofit</x:t>
        </x:is>
      </x:c>
      <x:c r="G193" s="12" t="inlineStr">
        <x:is>
          <x:t xml:space="preserve">no</x:t>
        </x:is>
      </x:c>
      <x:c r="H193" s="12" t="inlineStr">
        <x:is>
          <x:t xml:space="preserve">included</x:t>
        </x:is>
      </x:c>
      <x:c r="I193" s="12" t="inlineStr">
        <x:is>
          <x:t xml:space="preserve">Tier A</x:t>
        </x:is>
      </x:c>
      <x:c r="J193" s="13" t="inlineStr">
        <x:is>
          <x:t xml:space="preserve">Selected under frozen function/scale/EA/structure rules; compensation did not determine selection.</x:t>
        </x:is>
      </x:c>
      <x:c r="K193" s="12" t="inlineStr">
        <x:is>
          <x:t xml:space="preserve">primary</x:t>
        </x:is>
      </x:c>
      <x:c r="L193" s="17" t="n"/>
    </x:row>
    <x:row r="194">
      <x:c r="A194" s="12" t="inlineStr">
        <x:is>
          <x:t xml:space="preserve">EXT2-030</x:t>
        </x:is>
      </x:c>
      <x:c r="B194" s="12" t="inlineStr">
        <x:is>
          <x:t xml:space="preserve">Roosevelt Institute</x:t>
        </x:is>
      </x:c>
      <x:c r="C194" s="12" t="inlineStr">
        <x:is>
          <x:t xml:space="preserve">extension2_new</x:t>
        </x:is>
      </x:c>
      <x:c r="D194" s="13" t="inlineStr">
        <x:is>
          <x:t xml:space="preserve">Research, evaluation, philanthropy infrastructure, and policy</x:t>
        </x:is>
      </x:c>
      <x:c r="E194" s="12" t="inlineStr">
        <x:is>
          <x:t xml:space="preserve">functional-only</x:t>
        </x:is>
      </x:c>
      <x:c r="F194" s="12" t="inlineStr">
        <x:is>
          <x:t xml:space="preserve">independent nonprofit</x:t>
        </x:is>
      </x:c>
      <x:c r="G194" s="12" t="inlineStr">
        <x:is>
          <x:t xml:space="preserve">no</x:t>
        </x:is>
      </x:c>
      <x:c r="H194" s="12" t="inlineStr">
        <x:is>
          <x:t xml:space="preserve">included</x:t>
        </x:is>
      </x:c>
      <x:c r="I194" s="12" t="inlineStr">
        <x:is>
          <x:t xml:space="preserve">Tier A</x:t>
        </x:is>
      </x:c>
      <x:c r="J194" s="13" t="inlineStr">
        <x:is>
          <x:t xml:space="preserve">Selected under frozen function/scale/EA/structure rules; compensation did not determine selection.</x:t>
        </x:is>
      </x:c>
      <x:c r="K194" s="12" t="inlineStr">
        <x:is>
          <x:t xml:space="preserve">primary</x:t>
        </x:is>
      </x:c>
      <x:c r="L194" s="17" t="n"/>
    </x:row>
    <x:row r="195">
      <x:c r="A195" s="12" t="inlineStr">
        <x:is>
          <x:t xml:space="preserve">EXT2-031</x:t>
        </x:is>
      </x:c>
      <x:c r="B195" s="12" t="inlineStr">
        <x:is>
          <x:t xml:space="preserve">Third Way Institute</x:t>
        </x:is>
      </x:c>
      <x:c r="C195" s="12" t="inlineStr">
        <x:is>
          <x:t xml:space="preserve">extension2_new</x:t>
        </x:is>
      </x:c>
      <x:c r="D195" s="13" t="inlineStr">
        <x:is>
          <x:t xml:space="preserve">Research, evaluation, philanthropy infrastructure, and policy</x:t>
        </x:is>
      </x:c>
      <x:c r="E195" s="12" t="inlineStr">
        <x:is>
          <x:t xml:space="preserve">functional-only</x:t>
        </x:is>
      </x:c>
      <x:c r="F195" s="12" t="inlineStr">
        <x:is>
          <x:t xml:space="preserve">independent nonprofit</x:t>
        </x:is>
      </x:c>
      <x:c r="G195" s="12" t="inlineStr">
        <x:is>
          <x:t xml:space="preserve">no</x:t>
        </x:is>
      </x:c>
      <x:c r="H195" s="12" t="inlineStr">
        <x:is>
          <x:t xml:space="preserve">included</x:t>
        </x:is>
      </x:c>
      <x:c r="I195" s="12" t="inlineStr">
        <x:is>
          <x:t xml:space="preserve">Tier B</x:t>
        </x:is>
      </x:c>
      <x:c r="J195" s="13" t="inlineStr">
        <x:is>
          <x:t xml:space="preserve">Selected under frozen function/scale/EA/structure rules; compensation did not determine selection.</x:t>
        </x:is>
      </x:c>
      <x:c r="K195" s="12" t="inlineStr">
        <x:is>
          <x:t xml:space="preserve">primary_with_structure_flag</x:t>
        </x:is>
      </x:c>
      <x:c r="L195" s="17" t="n"/>
    </x:row>
    <x:row r="196">
      <x:c r="A196" s="12" t="inlineStr">
        <x:is>
          <x:t xml:space="preserve">EXT2-032</x:t>
        </x:is>
      </x:c>
      <x:c r="B196" s="12" t="inlineStr">
        <x:is>
          <x:t xml:space="preserve">Demos</x:t>
        </x:is>
      </x:c>
      <x:c r="C196" s="12" t="inlineStr">
        <x:is>
          <x:t xml:space="preserve">extension2_new</x:t>
        </x:is>
      </x:c>
      <x:c r="D196" s="13" t="inlineStr">
        <x:is>
          <x:t xml:space="preserve">Research, evaluation, philanthropy infrastructure, and policy</x:t>
        </x:is>
      </x:c>
      <x:c r="E196" s="12" t="inlineStr">
        <x:is>
          <x:t xml:space="preserve">functional-only</x:t>
        </x:is>
      </x:c>
      <x:c r="F196" s="12" t="inlineStr">
        <x:is>
          <x:t xml:space="preserve">independent nonprofit</x:t>
        </x:is>
      </x:c>
      <x:c r="G196" s="12" t="inlineStr">
        <x:is>
          <x:t xml:space="preserve">no</x:t>
        </x:is>
      </x:c>
      <x:c r="H196" s="12" t="inlineStr">
        <x:is>
          <x:t xml:space="preserve">included</x:t>
        </x:is>
      </x:c>
      <x:c r="I196" s="12" t="inlineStr">
        <x:is>
          <x:t xml:space="preserve">Tier A</x:t>
        </x:is>
      </x:c>
      <x:c r="J196" s="13" t="inlineStr">
        <x:is>
          <x:t xml:space="preserve">Selected under frozen function/scale/EA/structure rules; compensation did not determine selection.</x:t>
        </x:is>
      </x:c>
      <x:c r="K196" s="12" t="inlineStr">
        <x:is>
          <x:t xml:space="preserve">primary</x:t>
        </x:is>
      </x:c>
      <x:c r="L196" s="17" t="n"/>
    </x:row>
    <x:row r="197">
      <x:c r="A197" s="12" t="inlineStr">
        <x:is>
          <x:t xml:space="preserve">EXT2-033</x:t>
        </x:is>
      </x:c>
      <x:c r="B197" s="12" t="inlineStr">
        <x:is>
          <x:t xml:space="preserve">Bipartisan Policy Center</x:t>
        </x:is>
      </x:c>
      <x:c r="C197" s="12" t="inlineStr">
        <x:is>
          <x:t xml:space="preserve">extension2_new</x:t>
        </x:is>
      </x:c>
      <x:c r="D197" s="13" t="inlineStr">
        <x:is>
          <x:t xml:space="preserve">Research, evaluation, philanthropy infrastructure, and policy</x:t>
        </x:is>
      </x:c>
      <x:c r="E197" s="12" t="inlineStr">
        <x:is>
          <x:t xml:space="preserve">functional-only</x:t>
        </x:is>
      </x:c>
      <x:c r="F197" s="12" t="inlineStr">
        <x:is>
          <x:t xml:space="preserve">independent nonprofit</x:t>
        </x:is>
      </x:c>
      <x:c r="G197" s="12" t="inlineStr">
        <x:is>
          <x:t xml:space="preserve">no</x:t>
        </x:is>
      </x:c>
      <x:c r="H197" s="12" t="inlineStr">
        <x:is>
          <x:t xml:space="preserve">included</x:t>
        </x:is>
      </x:c>
      <x:c r="I197" s="12" t="inlineStr">
        <x:is>
          <x:t xml:space="preserve">Tier B</x:t>
        </x:is>
      </x:c>
      <x:c r="J197" s="13" t="inlineStr">
        <x:is>
          <x:t xml:space="preserve">Selected under frozen function/scale/EA/structure rules; compensation did not determine selection.</x:t>
        </x:is>
      </x:c>
      <x:c r="K197" s="12" t="inlineStr">
        <x:is>
          <x:t xml:space="preserve">primary_with_structure_flag</x:t>
        </x:is>
      </x:c>
      <x:c r="L197" s="17" t="n"/>
    </x:row>
    <x:row r="198">
      <x:c r="A198" s="12" t="inlineStr">
        <x:is>
          <x:t xml:space="preserve">EXT2-034</x:t>
        </x:is>
      </x:c>
      <x:c r="B198" s="12" t="inlineStr">
        <x:is>
          <x:t xml:space="preserve">New America</x:t>
        </x:is>
      </x:c>
      <x:c r="C198" s="12" t="inlineStr">
        <x:is>
          <x:t xml:space="preserve">extension2_new</x:t>
        </x:is>
      </x:c>
      <x:c r="D198" s="13" t="inlineStr">
        <x:is>
          <x:t xml:space="preserve">Research, evaluation, philanthropy infrastructure, and policy</x:t>
        </x:is>
      </x:c>
      <x:c r="E198" s="12" t="inlineStr">
        <x:is>
          <x:t xml:space="preserve">functional-only</x:t>
        </x:is>
      </x:c>
      <x:c r="F198" s="12" t="inlineStr">
        <x:is>
          <x:t xml:space="preserve">independent nonprofit</x:t>
        </x:is>
      </x:c>
      <x:c r="G198" s="12" t="inlineStr">
        <x:is>
          <x:t xml:space="preserve">no</x:t>
        </x:is>
      </x:c>
      <x:c r="H198" s="12" t="inlineStr">
        <x:is>
          <x:t xml:space="preserve">included</x:t>
        </x:is>
      </x:c>
      <x:c r="I198" s="12" t="inlineStr">
        <x:is>
          <x:t xml:space="preserve">Tier B</x:t>
        </x:is>
      </x:c>
      <x:c r="J198" s="13" t="inlineStr">
        <x:is>
          <x:t xml:space="preserve">Selected under frozen function/scale/EA/structure rules; compensation did not determine selection.</x:t>
        </x:is>
      </x:c>
      <x:c r="K198" s="12" t="inlineStr">
        <x:is>
          <x:t xml:space="preserve">primary_with_structure_flag</x:t>
        </x:is>
      </x:c>
      <x:c r="L198" s="17" t="n"/>
    </x:row>
    <x:row r="199">
      <x:c r="A199" s="12" t="inlineStr">
        <x:is>
          <x:t xml:space="preserve">EXT2-035</x:t>
        </x:is>
      </x:c>
      <x:c r="B199" s="12" t="inlineStr">
        <x:is>
          <x:t xml:space="preserve">Public Religion Research Institute</x:t>
        </x:is>
      </x:c>
      <x:c r="C199" s="12" t="inlineStr">
        <x:is>
          <x:t xml:space="preserve">extension2_new</x:t>
        </x:is>
      </x:c>
      <x:c r="D199" s="13" t="inlineStr">
        <x:is>
          <x:t xml:space="preserve">Research, evaluation, philanthropy infrastructure, and policy</x:t>
        </x:is>
      </x:c>
      <x:c r="E199" s="12" t="inlineStr">
        <x:is>
          <x:t xml:space="preserve">functional-only</x:t>
        </x:is>
      </x:c>
      <x:c r="F199" s="12" t="inlineStr">
        <x:is>
          <x:t xml:space="preserve">independent nonprofit</x:t>
        </x:is>
      </x:c>
      <x:c r="G199" s="12" t="inlineStr">
        <x:is>
          <x:t xml:space="preserve">no</x:t>
        </x:is>
      </x:c>
      <x:c r="H199" s="12" t="inlineStr">
        <x:is>
          <x:t xml:space="preserve">excluded_or_structural</x:t>
        </x:is>
      </x:c>
      <x:c r="I199" s="12" t="inlineStr">
        <x:is>
          <x:t xml:space="preserve">structural_sensitivity</x:t>
        </x:is>
      </x:c>
      <x:c r="J199" s="13" t="inlineStr">
        <x:is>
          <x:t xml:space="preserve">Separate paid President and CEO complicate identification of one solo organization-wide chief executive.</x:t>
        </x:is>
      </x:c>
      <x:c r="K199" s="12" t="inlineStr">
        <x:is>
          <x:t xml:space="preserve">structural_sensitivity</x:t>
        </x:is>
      </x:c>
      <x:c r="L199" s="17" t="n"/>
    </x:row>
    <x:row r="200">
      <x:c r="A200" s="12" t="inlineStr">
        <x:is>
          <x:t xml:space="preserve">EXT2-036</x:t>
        </x:is>
      </x:c>
      <x:c r="B200" s="12" t="inlineStr">
        <x:is>
          <x:t xml:space="preserve">FrameWorks Institute</x:t>
        </x:is>
      </x:c>
      <x:c r="C200" s="12" t="inlineStr">
        <x:is>
          <x:t xml:space="preserve">extension2_new</x:t>
        </x:is>
      </x:c>
      <x:c r="D200" s="13" t="inlineStr">
        <x:is>
          <x:t xml:space="preserve">Research, evaluation, philanthropy infrastructure, and policy</x:t>
        </x:is>
      </x:c>
      <x:c r="E200" s="12" t="inlineStr">
        <x:is>
          <x:t xml:space="preserve">functional-only</x:t>
        </x:is>
      </x:c>
      <x:c r="F200" s="12" t="inlineStr">
        <x:is>
          <x:t xml:space="preserve">independent nonprofit</x:t>
        </x:is>
      </x:c>
      <x:c r="G200" s="12" t="inlineStr">
        <x:is>
          <x:t xml:space="preserve">no</x:t>
        </x:is>
      </x:c>
      <x:c r="H200" s="12" t="inlineStr">
        <x:is>
          <x:t xml:space="preserve">included</x:t>
        </x:is>
      </x:c>
      <x:c r="I200" s="12" t="inlineStr">
        <x:is>
          <x:t xml:space="preserve">Tier A</x:t>
        </x:is>
      </x:c>
      <x:c r="J200" s="13" t="inlineStr">
        <x:is>
          <x:t xml:space="preserve">Selected under frozen function/scale/EA/structure rules; compensation did not determine selection.</x:t>
        </x:is>
      </x:c>
      <x:c r="K200" s="12" t="inlineStr">
        <x:is>
          <x:t xml:space="preserve">primary</x:t>
        </x:is>
      </x:c>
      <x:c r="L200" s="17" t="n"/>
    </x:row>
    <x:row r="201">
      <x:c r="A201" s="12" t="inlineStr">
        <x:is>
          <x:t xml:space="preserve">EXT2-037</x:t>
        </x:is>
      </x:c>
      <x:c r="B201" s="12" t="inlineStr">
        <x:is>
          <x:t xml:space="preserve">Data Quality Campaign</x:t>
        </x:is>
      </x:c>
      <x:c r="C201" s="12" t="inlineStr">
        <x:is>
          <x:t xml:space="preserve">extension2_new</x:t>
        </x:is>
      </x:c>
      <x:c r="D201" s="13" t="inlineStr">
        <x:is>
          <x:t xml:space="preserve">Research, evaluation, philanthropy infrastructure, and policy</x:t>
        </x:is>
      </x:c>
      <x:c r="E201" s="12" t="inlineStr">
        <x:is>
          <x:t xml:space="preserve">functional-only</x:t>
        </x:is>
      </x:c>
      <x:c r="F201" s="12" t="inlineStr">
        <x:is>
          <x:t xml:space="preserve">independent nonprofit</x:t>
        </x:is>
      </x:c>
      <x:c r="G201" s="12" t="inlineStr">
        <x:is>
          <x:t xml:space="preserve">no</x:t>
        </x:is>
      </x:c>
      <x:c r="H201" s="12" t="inlineStr">
        <x:is>
          <x:t xml:space="preserve">included</x:t>
        </x:is>
      </x:c>
      <x:c r="I201" s="12" t="inlineStr">
        <x:is>
          <x:t xml:space="preserve">Tier A</x:t>
        </x:is>
      </x:c>
      <x:c r="J201" s="13" t="inlineStr">
        <x:is>
          <x:t xml:space="preserve">Selected under frozen function/scale/EA/structure rules; compensation did not determine selection.</x:t>
        </x:is>
      </x:c>
      <x:c r="K201" s="12" t="inlineStr">
        <x:is>
          <x:t xml:space="preserve">primary</x:t>
        </x:is>
      </x:c>
      <x:c r="L201" s="17" t="n"/>
    </x:row>
    <x:row r="202">
      <x:c r="A202" s="12" t="inlineStr">
        <x:is>
          <x:t xml:space="preserve">EXT2-038</x:t>
        </x:is>
      </x:c>
      <x:c r="B202" s="12" t="inlineStr">
        <x:is>
          <x:t xml:space="preserve">Public Agenda</x:t>
        </x:is>
      </x:c>
      <x:c r="C202" s="12" t="inlineStr">
        <x:is>
          <x:t xml:space="preserve">extension2_new</x:t>
        </x:is>
      </x:c>
      <x:c r="D202" s="13" t="inlineStr">
        <x:is>
          <x:t xml:space="preserve">Research, evaluation, philanthropy infrastructure, and policy</x:t>
        </x:is>
      </x:c>
      <x:c r="E202" s="12" t="inlineStr">
        <x:is>
          <x:t xml:space="preserve">functional-only</x:t>
        </x:is>
      </x:c>
      <x:c r="F202" s="12" t="inlineStr">
        <x:is>
          <x:t xml:space="preserve">independent nonprofit</x:t>
        </x:is>
      </x:c>
      <x:c r="G202" s="12" t="inlineStr">
        <x:is>
          <x:t xml:space="preserve">no</x:t>
        </x:is>
      </x:c>
      <x:c r="H202" s="12" t="inlineStr">
        <x:is>
          <x:t xml:space="preserve">included</x:t>
        </x:is>
      </x:c>
      <x:c r="I202" s="12" t="inlineStr">
        <x:is>
          <x:t xml:space="preserve">Tier A</x:t>
        </x:is>
      </x:c>
      <x:c r="J202" s="13" t="inlineStr">
        <x:is>
          <x:t xml:space="preserve">Selected under frozen function/scale/EA/structure rules; compensation did not determine selection.</x:t>
        </x:is>
      </x:c>
      <x:c r="K202" s="12" t="inlineStr">
        <x:is>
          <x:t xml:space="preserve">primary</x:t>
        </x:is>
      </x:c>
      <x:c r="L202" s="17" t="n"/>
    </x:row>
    <x:row r="203">
      <x:c r="A203" s="12" t="inlineStr">
        <x:is>
          <x:t xml:space="preserve">EXT2-039</x:t>
        </x:is>
      </x:c>
      <x:c r="B203" s="12" t="inlineStr">
        <x:is>
          <x:t xml:space="preserve">Center for Public Integrity</x:t>
        </x:is>
      </x:c>
      <x:c r="C203" s="12" t="inlineStr">
        <x:is>
          <x:t xml:space="preserve">extension2_new</x:t>
        </x:is>
      </x:c>
      <x:c r="D203" s="13" t="inlineStr">
        <x:is>
          <x:t xml:space="preserve">Research, evaluation, philanthropy infrastructure, and policy</x:t>
        </x:is>
      </x:c>
      <x:c r="E203" s="12" t="inlineStr">
        <x:is>
          <x:t xml:space="preserve">functional-only</x:t>
        </x:is>
      </x:c>
      <x:c r="F203" s="12" t="inlineStr">
        <x:is>
          <x:t xml:space="preserve">independent nonprofit</x:t>
        </x:is>
      </x:c>
      <x:c r="G203" s="12" t="inlineStr">
        <x:is>
          <x:t xml:space="preserve">no</x:t>
        </x:is>
      </x:c>
      <x:c r="H203" s="12" t="inlineStr">
        <x:is>
          <x:t xml:space="preserve">included</x:t>
        </x:is>
      </x:c>
      <x:c r="I203" s="12" t="inlineStr">
        <x:is>
          <x:t xml:space="preserve">Tier B</x:t>
        </x:is>
      </x:c>
      <x:c r="J203" s="13" t="inlineStr">
        <x:is>
          <x:t xml:space="preserve">Selected under frozen function/scale/EA/structure rules; compensation did not determine selection.</x:t>
        </x:is>
      </x:c>
      <x:c r="K203" s="12" t="inlineStr">
        <x:is>
          <x:t xml:space="preserve">primary_older_clean</x:t>
        </x:is>
      </x:c>
      <x:c r="L203" s="17" t="n"/>
    </x:row>
    <x:row r="204">
      <x:c r="A204" s="12" t="inlineStr">
        <x:is>
          <x:t xml:space="preserve">EXT2-040</x:t>
        </x:is>
      </x:c>
      <x:c r="B204" s="12" t="inlineStr">
        <x:is>
          <x:t xml:space="preserve">National Employment Law Project</x:t>
        </x:is>
      </x:c>
      <x:c r="C204" s="12" t="inlineStr">
        <x:is>
          <x:t xml:space="preserve">extension2_new</x:t>
        </x:is>
      </x:c>
      <x:c r="D204" s="13" t="inlineStr">
        <x:is>
          <x:t xml:space="preserve">Research, evaluation, philanthropy infrastructure, and policy</x:t>
        </x:is>
      </x:c>
      <x:c r="E204" s="12" t="inlineStr">
        <x:is>
          <x:t xml:space="preserve">functional-only</x:t>
        </x:is>
      </x:c>
      <x:c r="F204" s="12" t="inlineStr">
        <x:is>
          <x:t xml:space="preserve">independent nonprofit</x:t>
        </x:is>
      </x:c>
      <x:c r="G204" s="12" t="inlineStr">
        <x:is>
          <x:t xml:space="preserve">no</x:t>
        </x:is>
      </x:c>
      <x:c r="H204" s="12" t="inlineStr">
        <x:is>
          <x:t xml:space="preserve">included</x:t>
        </x:is>
      </x:c>
      <x:c r="I204" s="12" t="inlineStr">
        <x:is>
          <x:t xml:space="preserve">Tier A</x:t>
        </x:is>
      </x:c>
      <x:c r="J204" s="13" t="inlineStr">
        <x:is>
          <x:t xml:space="preserve">Selected under frozen function/scale/EA/structure rules; compensation did not determine selection.</x:t>
        </x:is>
      </x:c>
      <x:c r="K204" s="12" t="inlineStr">
        <x:is>
          <x:t xml:space="preserve">primary</x:t>
        </x:is>
      </x:c>
      <x:c r="L204" s="17" t="n"/>
    </x:row>
    <x:row r="205">
      <x:c r="A205" s="12" t="inlineStr">
        <x:is>
          <x:t xml:space="preserve">EXT2-041</x:t>
        </x:is>
      </x:c>
      <x:c r="B205" s="12" t="inlineStr">
        <x:is>
          <x:t xml:space="preserve">Center for Responsible Lending</x:t>
        </x:is>
      </x:c>
      <x:c r="C205" s="12" t="inlineStr">
        <x:is>
          <x:t xml:space="preserve">extension2_new</x:t>
        </x:is>
      </x:c>
      <x:c r="D205" s="13" t="inlineStr">
        <x:is>
          <x:t xml:space="preserve">Research, evaluation, philanthropy infrastructure, and policy</x:t>
        </x:is>
      </x:c>
      <x:c r="E205" s="12" t="inlineStr">
        <x:is>
          <x:t xml:space="preserve">functional-only</x:t>
        </x:is>
      </x:c>
      <x:c r="F205" s="12" t="inlineStr">
        <x:is>
          <x:t xml:space="preserve">independent nonprofit</x:t>
        </x:is>
      </x:c>
      <x:c r="G205" s="12" t="inlineStr">
        <x:is>
          <x:t xml:space="preserve">no</x:t>
        </x:is>
      </x:c>
      <x:c r="H205" s="12" t="inlineStr">
        <x:is>
          <x:t xml:space="preserve">excluded_or_structural</x:t>
        </x:is>
      </x:c>
      <x:c r="I205" s="12" t="inlineStr">
        <x:is>
          <x:t xml:space="preserve">excluded_measurement</x:t>
        </x:is>
      </x:c>
      <x:c r="J205" s="13" t="inlineStr">
        <x:is>
          <x:t xml:space="preserve">Latest filing does not provide a clean organization-wide CEO/President observation; prior President appears only in an earlier filing.</x:t>
        </x:is>
      </x:c>
      <x:c r="K205" s="12" t="inlineStr">
        <x:is>
          <x:t xml:space="preserve">excluded_measurement</x:t>
        </x:is>
      </x:c>
      <x:c r="L205" s="17" t="n"/>
    </x:row>
    <x:row r="206">
      <x:c r="A206" s="12" t="inlineStr">
        <x:is>
          <x:t xml:space="preserve">EXT2-042</x:t>
        </x:is>
      </x:c>
      <x:c r="B206" s="12" t="inlineStr">
        <x:is>
          <x:t xml:space="preserve">Brennan Center for Justice</x:t>
        </x:is>
      </x:c>
      <x:c r="C206" s="12" t="inlineStr">
        <x:is>
          <x:t xml:space="preserve">extension2_new</x:t>
        </x:is>
      </x:c>
      <x:c r="D206" s="13" t="inlineStr">
        <x:is>
          <x:t xml:space="preserve">Research, evaluation, philanthropy infrastructure, and policy</x:t>
        </x:is>
      </x:c>
      <x:c r="E206" s="12" t="inlineStr">
        <x:is>
          <x:t xml:space="preserve">functional-only</x:t>
        </x:is>
      </x:c>
      <x:c r="F206" s="12" t="inlineStr">
        <x:is>
          <x:t xml:space="preserve">university-affiliated nonprofit</x:t>
        </x:is>
      </x:c>
      <x:c r="G206" s="12" t="inlineStr">
        <x:is>
          <x:t xml:space="preserve">no</x:t>
        </x:is>
      </x:c>
      <x:c r="H206" s="12" t="inlineStr">
        <x:is>
          <x:t xml:space="preserve">excluded_or_structural</x:t>
        </x:is>
      </x:c>
      <x:c r="I206" s="12" t="inlineStr">
        <x:is>
          <x:t xml:space="preserve">structural_sensitivity</x:t>
        </x:is>
      </x:c>
      <x:c r="J206" s="12" t="n"/>
      <x:c r="K206" s="12" t="inlineStr">
        <x:is>
          <x:t xml:space="preserve">structural_sensitivity</x:t>
        </x:is>
      </x:c>
      <x:c r="L206" s="17" t="n"/>
    </x:row>
    <x:row r="207">
      <x:c r="A207" s="12" t="inlineStr">
        <x:is>
          <x:t xml:space="preserve">EXT2-043</x:t>
        </x:is>
      </x:c>
      <x:c r="B207" s="12" t="inlineStr">
        <x:is>
          <x:t xml:space="preserve">Vera Institute of Justice</x:t>
        </x:is>
      </x:c>
      <x:c r="C207" s="12" t="inlineStr">
        <x:is>
          <x:t xml:space="preserve">extension2_new</x:t>
        </x:is>
      </x:c>
      <x:c r="D207" s="13" t="inlineStr">
        <x:is>
          <x:t xml:space="preserve">Research, evaluation, philanthropy infrastructure, and policy</x:t>
        </x:is>
      </x:c>
      <x:c r="E207" s="12" t="inlineStr">
        <x:is>
          <x:t xml:space="preserve">functional-only</x:t>
        </x:is>
      </x:c>
      <x:c r="F207" s="12" t="inlineStr">
        <x:is>
          <x:t xml:space="preserve">independent nonprofit</x:t>
        </x:is>
      </x:c>
      <x:c r="G207" s="12" t="inlineStr">
        <x:is>
          <x:t xml:space="preserve">no</x:t>
        </x:is>
      </x:c>
      <x:c r="H207" s="12" t="inlineStr">
        <x:is>
          <x:t xml:space="preserve">included</x:t>
        </x:is>
      </x:c>
      <x:c r="I207" s="12" t="inlineStr">
        <x:is>
          <x:t xml:space="preserve">Tier C</x:t>
        </x:is>
      </x:c>
      <x:c r="J207" s="13" t="inlineStr">
        <x:is>
          <x:t xml:space="preserve">Selected under frozen function/scale/EA/structure rules; compensation did not determine selection.</x:t>
        </x:is>
      </x:c>
      <x:c r="K207" s="12" t="inlineStr">
        <x:is>
          <x:t xml:space="preserve">primary_with_structure_flag</x:t>
        </x:is>
      </x:c>
      <x:c r="L207" s="17" t="n"/>
    </x:row>
    <x:row r="208">
      <x:c r="A208" s="12" t="inlineStr">
        <x:is>
          <x:t xml:space="preserve">EXT2-044</x:t>
        </x:is>
      </x:c>
      <x:c r="B208" s="12" t="inlineStr">
        <x:is>
          <x:t xml:space="preserve">The Sentencing Project</x:t>
        </x:is>
      </x:c>
      <x:c r="C208" s="12" t="inlineStr">
        <x:is>
          <x:t xml:space="preserve">extension2_new</x:t>
        </x:is>
      </x:c>
      <x:c r="D208" s="13" t="inlineStr">
        <x:is>
          <x:t xml:space="preserve">Research, evaluation, philanthropy infrastructure, and policy</x:t>
        </x:is>
      </x:c>
      <x:c r="E208" s="12" t="inlineStr">
        <x:is>
          <x:t xml:space="preserve">functional-only</x:t>
        </x:is>
      </x:c>
      <x:c r="F208" s="12" t="inlineStr">
        <x:is>
          <x:t xml:space="preserve">independent nonprofit</x:t>
        </x:is>
      </x:c>
      <x:c r="G208" s="12" t="inlineStr">
        <x:is>
          <x:t xml:space="preserve">no</x:t>
        </x:is>
      </x:c>
      <x:c r="H208" s="12" t="inlineStr">
        <x:is>
          <x:t xml:space="preserve">included</x:t>
        </x:is>
      </x:c>
      <x:c r="I208" s="12" t="inlineStr">
        <x:is>
          <x:t xml:space="preserve">Tier A</x:t>
        </x:is>
      </x:c>
      <x:c r="J208" s="13" t="inlineStr">
        <x:is>
          <x:t xml:space="preserve">Selected under frozen function/scale/EA/structure rules; compensation did not determine selection.</x:t>
        </x:is>
      </x:c>
      <x:c r="K208" s="12" t="inlineStr">
        <x:is>
          <x:t xml:space="preserve">primary</x:t>
        </x:is>
      </x:c>
      <x:c r="L208" s="17" t="n"/>
    </x:row>
    <x:row r="209">
      <x:c r="A209" s="12" t="inlineStr">
        <x:is>
          <x:t xml:space="preserve">EXT2-045</x:t>
        </x:is>
      </x:c>
      <x:c r="B209" s="12" t="inlineStr">
        <x:is>
          <x:t xml:space="preserve">Open Markets Institute</x:t>
        </x:is>
      </x:c>
      <x:c r="C209" s="12" t="inlineStr">
        <x:is>
          <x:t xml:space="preserve">extension2_new</x:t>
        </x:is>
      </x:c>
      <x:c r="D209" s="13" t="inlineStr">
        <x:is>
          <x:t xml:space="preserve">Research, evaluation, philanthropy infrastructure, and policy</x:t>
        </x:is>
      </x:c>
      <x:c r="E209" s="12" t="inlineStr">
        <x:is>
          <x:t xml:space="preserve">functional-only</x:t>
        </x:is>
      </x:c>
      <x:c r="F209" s="12" t="inlineStr">
        <x:is>
          <x:t xml:space="preserve">independent nonprofit</x:t>
        </x:is>
      </x:c>
      <x:c r="G209" s="12" t="inlineStr">
        <x:is>
          <x:t xml:space="preserve">no</x:t>
        </x:is>
      </x:c>
      <x:c r="H209" s="12" t="inlineStr">
        <x:is>
          <x:t xml:space="preserve">included</x:t>
        </x:is>
      </x:c>
      <x:c r="I209" s="12" t="inlineStr">
        <x:is>
          <x:t xml:space="preserve">Tier B</x:t>
        </x:is>
      </x:c>
      <x:c r="J209" s="13" t="inlineStr">
        <x:is>
          <x:t xml:space="preserve">Selected under frozen function/scale/EA/structure rules; compensation did not determine selection.</x:t>
        </x:is>
      </x:c>
      <x:c r="K209" s="12" t="inlineStr">
        <x:is>
          <x:t xml:space="preserve">primary</x:t>
        </x:is>
      </x:c>
      <x:c r="L209" s="17" t="n"/>
    </x:row>
    <x:row r="210">
      <x:c r="A210" s="12" t="inlineStr">
        <x:is>
          <x:t xml:space="preserve">EXT2-046</x:t>
        </x:is>
      </x:c>
      <x:c r="B210" s="12" t="inlineStr">
        <x:is>
          <x:t xml:space="preserve">Center for American Entrepreneurship</x:t>
        </x:is>
      </x:c>
      <x:c r="C210" s="12" t="inlineStr">
        <x:is>
          <x:t xml:space="preserve">extension2_new</x:t>
        </x:is>
      </x:c>
      <x:c r="D210" s="13" t="inlineStr">
        <x:is>
          <x:t xml:space="preserve">Research, evaluation, philanthropy infrastructure, and policy</x:t>
        </x:is>
      </x:c>
      <x:c r="E210" s="12" t="inlineStr">
        <x:is>
          <x:t xml:space="preserve">functional-only</x:t>
        </x:is>
      </x:c>
      <x:c r="F210" s="12" t="inlineStr">
        <x:is>
          <x:t xml:space="preserve">independent nonprofit</x:t>
        </x:is>
      </x:c>
      <x:c r="G210" s="12" t="inlineStr">
        <x:is>
          <x:t xml:space="preserve">no</x:t>
        </x:is>
      </x:c>
      <x:c r="H210" s="12" t="inlineStr">
        <x:is>
          <x:t xml:space="preserve">frozen_candidate_not_selected</x:t>
        </x:is>
      </x:c>
      <x:c r="I210" s="12" t="inlineStr">
        <x:is>
          <x:t xml:space="preserve">not selected</x:t>
        </x:is>
      </x:c>
      <x:c r="J210" s="13" t="inlineStr">
        <x:is>
          <x:t xml:space="preserve">Frozen candidate; not promoted into the 144-organization quantitative reference set during this pass.</x:t>
        </x:is>
      </x:c>
      <x:c r="K210" s="12" t="inlineStr">
        <x:is>
          <x:t xml:space="preserve">not collected</x:t>
        </x:is>
      </x:c>
      <x:c r="L210" s="17" t="n"/>
    </x:row>
    <x:row r="211">
      <x:c r="A211" s="12" t="inlineStr">
        <x:is>
          <x:t xml:space="preserve">EXT2-047</x:t>
        </x:is>
      </x:c>
      <x:c r="B211" s="12" t="inlineStr">
        <x:is>
          <x:t xml:space="preserve">Committee for a Responsible Federal Budget</x:t>
        </x:is>
      </x:c>
      <x:c r="C211" s="12" t="inlineStr">
        <x:is>
          <x:t xml:space="preserve">extension2_new</x:t>
        </x:is>
      </x:c>
      <x:c r="D211" s="13" t="inlineStr">
        <x:is>
          <x:t xml:space="preserve">Research, evaluation, philanthropy infrastructure, and policy</x:t>
        </x:is>
      </x:c>
      <x:c r="E211" s="12" t="inlineStr">
        <x:is>
          <x:t xml:space="preserve">functional-only</x:t>
        </x:is>
      </x:c>
      <x:c r="F211" s="12" t="inlineStr">
        <x:is>
          <x:t xml:space="preserve">independent nonprofit</x:t>
        </x:is>
      </x:c>
      <x:c r="G211" s="12" t="inlineStr">
        <x:is>
          <x:t xml:space="preserve">no</x:t>
        </x:is>
      </x:c>
      <x:c r="H211" s="12" t="inlineStr">
        <x:is>
          <x:t xml:space="preserve">included</x:t>
        </x:is>
      </x:c>
      <x:c r="I211" s="12" t="inlineStr">
        <x:is>
          <x:t xml:space="preserve">Tier A</x:t>
        </x:is>
      </x:c>
      <x:c r="J211" s="13" t="inlineStr">
        <x:is>
          <x:t xml:space="preserve">Selected under frozen function/scale/EA/structure rules; compensation did not determine selection.</x:t>
        </x:is>
      </x:c>
      <x:c r="K211" s="12" t="inlineStr">
        <x:is>
          <x:t xml:space="preserve">primary</x:t>
        </x:is>
      </x:c>
      <x:c r="L211" s="17" t="n"/>
    </x:row>
    <x:row r="212">
      <x:c r="A212" s="12" t="inlineStr">
        <x:is>
          <x:t xml:space="preserve">EXT2-048</x:t>
        </x:is>
      </x:c>
      <x:c r="B212" s="12" t="inlineStr">
        <x:is>
          <x:t xml:space="preserve">Institute for Policy Studies</x:t>
        </x:is>
      </x:c>
      <x:c r="C212" s="12" t="inlineStr">
        <x:is>
          <x:t xml:space="preserve">extension2_new</x:t>
        </x:is>
      </x:c>
      <x:c r="D212" s="13" t="inlineStr">
        <x:is>
          <x:t xml:space="preserve">Research, evaluation, philanthropy infrastructure, and policy</x:t>
        </x:is>
      </x:c>
      <x:c r="E212" s="12" t="inlineStr">
        <x:is>
          <x:t xml:space="preserve">functional-only</x:t>
        </x:is>
      </x:c>
      <x:c r="F212" s="12" t="inlineStr">
        <x:is>
          <x:t xml:space="preserve">independent nonprofit</x:t>
        </x:is>
      </x:c>
      <x:c r="G212" s="12" t="inlineStr">
        <x:is>
          <x:t xml:space="preserve">no</x:t>
        </x:is>
      </x:c>
      <x:c r="H212" s="12" t="inlineStr">
        <x:is>
          <x:t xml:space="preserve">included</x:t>
        </x:is>
      </x:c>
      <x:c r="I212" s="12" t="inlineStr">
        <x:is>
          <x:t xml:space="preserve">Tier A</x:t>
        </x:is>
      </x:c>
      <x:c r="J212" s="13" t="inlineStr">
        <x:is>
          <x:t xml:space="preserve">Selected under frozen function/scale/EA/structure rules; compensation did not determine selection.</x:t>
        </x:is>
      </x:c>
      <x:c r="K212" s="12" t="inlineStr">
        <x:is>
          <x:t xml:space="preserve">primary</x:t>
        </x:is>
      </x:c>
      <x:c r="L212" s="17" t="n"/>
    </x:row>
    <x:row r="213">
      <x:c r="A213" s="12" t="inlineStr">
        <x:is>
          <x:t xml:space="preserve">EXT2-049</x:t>
        </x:is>
      </x:c>
      <x:c r="B213" s="12" t="inlineStr">
        <x:is>
          <x:t xml:space="preserve">Center for Immigration Studies</x:t>
        </x:is>
      </x:c>
      <x:c r="C213" s="12" t="inlineStr">
        <x:is>
          <x:t xml:space="preserve">extension2_new</x:t>
        </x:is>
      </x:c>
      <x:c r="D213" s="13" t="inlineStr">
        <x:is>
          <x:t xml:space="preserve">Research, evaluation, philanthropy infrastructure, and policy</x:t>
        </x:is>
      </x:c>
      <x:c r="E213" s="12" t="inlineStr">
        <x:is>
          <x:t xml:space="preserve">functional-only</x:t>
        </x:is>
      </x:c>
      <x:c r="F213" s="12" t="inlineStr">
        <x:is>
          <x:t xml:space="preserve">independent nonprofit</x:t>
        </x:is>
      </x:c>
      <x:c r="G213" s="12" t="inlineStr">
        <x:is>
          <x:t xml:space="preserve">no</x:t>
        </x:is>
      </x:c>
      <x:c r="H213" s="12" t="inlineStr">
        <x:is>
          <x:t xml:space="preserve">frozen_candidate_not_selected</x:t>
        </x:is>
      </x:c>
      <x:c r="I213" s="12" t="inlineStr">
        <x:is>
          <x:t xml:space="preserve">not selected</x:t>
        </x:is>
      </x:c>
      <x:c r="J213" s="13" t="inlineStr">
        <x:is>
          <x:t xml:space="preserve">Frozen candidate; not promoted into the 144-organization quantitative reference set during this pass.</x:t>
        </x:is>
      </x:c>
      <x:c r="K213" s="12" t="inlineStr">
        <x:is>
          <x:t xml:space="preserve">not collected</x:t>
        </x:is>
      </x:c>
      <x:c r="L213" s="17" t="n"/>
    </x:row>
    <x:row r="214">
      <x:c r="A214" s="12" t="inlineStr">
        <x:is>
          <x:t xml:space="preserve">EXT2-050</x:t>
        </x:is>
      </x:c>
      <x:c r="B214" s="12" t="inlineStr">
        <x:is>
          <x:t xml:space="preserve">American Immigration Council</x:t>
        </x:is>
      </x:c>
      <x:c r="C214" s="12" t="inlineStr">
        <x:is>
          <x:t xml:space="preserve">extension2_new</x:t>
        </x:is>
      </x:c>
      <x:c r="D214" s="13" t="inlineStr">
        <x:is>
          <x:t xml:space="preserve">Research, evaluation, philanthropy infrastructure, and policy</x:t>
        </x:is>
      </x:c>
      <x:c r="E214" s="12" t="inlineStr">
        <x:is>
          <x:t xml:space="preserve">functional-only</x:t>
        </x:is>
      </x:c>
      <x:c r="F214" s="12" t="inlineStr">
        <x:is>
          <x:t xml:space="preserve">independent nonprofit</x:t>
        </x:is>
      </x:c>
      <x:c r="G214" s="12" t="inlineStr">
        <x:is>
          <x:t xml:space="preserve">no</x:t>
        </x:is>
      </x:c>
      <x:c r="H214" s="12" t="inlineStr">
        <x:is>
          <x:t xml:space="preserve">included</x:t>
        </x:is>
      </x:c>
      <x:c r="I214" s="12" t="inlineStr">
        <x:is>
          <x:t xml:space="preserve">Tier A</x:t>
        </x:is>
      </x:c>
      <x:c r="J214" s="13" t="inlineStr">
        <x:is>
          <x:t xml:space="preserve">Selected under frozen function/scale/EA/structure rules; compensation did not determine selection.</x:t>
        </x:is>
      </x:c>
      <x:c r="K214" s="12" t="inlineStr">
        <x:is>
          <x:t xml:space="preserve">primary</x:t>
        </x:is>
      </x:c>
      <x:c r="L214" s="17" t="n"/>
    </x:row>
    <x:row r="215">
      <x:c r="A215" s="12" t="inlineStr">
        <x:is>
          <x:t xml:space="preserve">EXT2-051</x:t>
        </x:is>
      </x:c>
      <x:c r="B215" s="12" t="inlineStr">
        <x:is>
          <x:t xml:space="preserve">National Bureau of Economic Research</x:t>
        </x:is>
      </x:c>
      <x:c r="C215" s="12" t="inlineStr">
        <x:is>
          <x:t xml:space="preserve">extension2_new</x:t>
        </x:is>
      </x:c>
      <x:c r="D215" s="13" t="inlineStr">
        <x:is>
          <x:t xml:space="preserve">Research, evaluation, philanthropy infrastructure, and policy</x:t>
        </x:is>
      </x:c>
      <x:c r="E215" s="12" t="inlineStr">
        <x:is>
          <x:t xml:space="preserve">functional-only</x:t>
        </x:is>
      </x:c>
      <x:c r="F215" s="12" t="inlineStr">
        <x:is>
          <x:t xml:space="preserve">independent nonprofit</x:t>
        </x:is>
      </x:c>
      <x:c r="G215" s="12" t="inlineStr">
        <x:is>
          <x:t xml:space="preserve">no</x:t>
        </x:is>
      </x:c>
      <x:c r="H215" s="12" t="inlineStr">
        <x:is>
          <x:t xml:space="preserve">frozen_candidate_not_selected</x:t>
        </x:is>
      </x:c>
      <x:c r="I215" s="12" t="inlineStr">
        <x:is>
          <x:t xml:space="preserve">not selected</x:t>
        </x:is>
      </x:c>
      <x:c r="J215" s="13" t="inlineStr">
        <x:is>
          <x:t xml:space="preserve">Frozen candidate; not promoted into the 144-organization quantitative reference set during this pass.</x:t>
        </x:is>
      </x:c>
      <x:c r="K215" s="12" t="inlineStr">
        <x:is>
          <x:t xml:space="preserve">not collected</x:t>
        </x:is>
      </x:c>
      <x:c r="L215" s="17" t="n"/>
    </x:row>
    <x:row r="216">
      <x:c r="A216" s="12" t="inlineStr">
        <x:is>
          <x:t xml:space="preserve">EXT2-052</x:t>
        </x:is>
      </x:c>
      <x:c r="B216" s="12" t="inlineStr">
        <x:is>
          <x:t xml:space="preserve">American Academy of Arts and Sciences</x:t>
        </x:is>
      </x:c>
      <x:c r="C216" s="12" t="inlineStr">
        <x:is>
          <x:t xml:space="preserve">extension2_new</x:t>
        </x:is>
      </x:c>
      <x:c r="D216" s="13" t="inlineStr">
        <x:is>
          <x:t xml:space="preserve">Research, evaluation, philanthropy infrastructure, and policy</x:t>
        </x:is>
      </x:c>
      <x:c r="E216" s="12" t="inlineStr">
        <x:is>
          <x:t xml:space="preserve">functional-only</x:t>
        </x:is>
      </x:c>
      <x:c r="F216" s="12" t="inlineStr">
        <x:is>
          <x:t xml:space="preserve">independent nonprofit</x:t>
        </x:is>
      </x:c>
      <x:c r="G216" s="12" t="inlineStr">
        <x:is>
          <x:t xml:space="preserve">no</x:t>
        </x:is>
      </x:c>
      <x:c r="H216" s="12" t="inlineStr">
        <x:is>
          <x:t xml:space="preserve">frozen_candidate_not_selected</x:t>
        </x:is>
      </x:c>
      <x:c r="I216" s="12" t="inlineStr">
        <x:is>
          <x:t xml:space="preserve">not selected</x:t>
        </x:is>
      </x:c>
      <x:c r="J216" s="13" t="inlineStr">
        <x:is>
          <x:t xml:space="preserve">Frozen candidate; not promoted into the 144-organization quantitative reference set during this pass.</x:t>
        </x:is>
      </x:c>
      <x:c r="K216" s="12" t="inlineStr">
        <x:is>
          <x:t xml:space="preserve">not collected</x:t>
        </x:is>
      </x:c>
      <x:c r="L216" s="17" t="n"/>
    </x:row>
    <x:row r="217">
      <x:c r="A217" s="12" t="inlineStr">
        <x:is>
          <x:t xml:space="preserve">EXT2-053</x:t>
        </x:is>
      </x:c>
      <x:c r="B217" s="12" t="inlineStr">
        <x:is>
          <x:t xml:space="preserve">Council on Foreign Relations</x:t>
        </x:is>
      </x:c>
      <x:c r="C217" s="12" t="inlineStr">
        <x:is>
          <x:t xml:space="preserve">extension2_new</x:t>
        </x:is>
      </x:c>
      <x:c r="D217" s="13" t="inlineStr">
        <x:is>
          <x:t xml:space="preserve">Research, evaluation, philanthropy infrastructure, and policy</x:t>
        </x:is>
      </x:c>
      <x:c r="E217" s="12" t="inlineStr">
        <x:is>
          <x:t xml:space="preserve">functional-only</x:t>
        </x:is>
      </x:c>
      <x:c r="F217" s="12" t="inlineStr">
        <x:is>
          <x:t xml:space="preserve">independent nonprofit</x:t>
        </x:is>
      </x:c>
      <x:c r="G217" s="12" t="inlineStr">
        <x:is>
          <x:t xml:space="preserve">no</x:t>
        </x:is>
      </x:c>
      <x:c r="H217" s="12" t="inlineStr">
        <x:is>
          <x:t xml:space="preserve">frozen_candidate_not_selected</x:t>
        </x:is>
      </x:c>
      <x:c r="I217" s="12" t="inlineStr">
        <x:is>
          <x:t xml:space="preserve">not selected</x:t>
        </x:is>
      </x:c>
      <x:c r="J217" s="13" t="inlineStr">
        <x:is>
          <x:t xml:space="preserve">Frozen candidate; not promoted into the 144-organization quantitative reference set during this pass.</x:t>
        </x:is>
      </x:c>
      <x:c r="K217" s="12" t="inlineStr">
        <x:is>
          <x:t xml:space="preserve">not collected</x:t>
        </x:is>
      </x:c>
      <x:c r="L217" s="17" t="n"/>
    </x:row>
    <x:row r="218">
      <x:c r="A218" s="12" t="inlineStr">
        <x:is>
          <x:t xml:space="preserve">EXT2-054</x:t>
        </x:is>
      </x:c>
      <x:c r="B218" s="13" t="inlineStr">
        <x:is>
          <x:t xml:space="preserve">Center for Strategic and International Studies</x:t>
        </x:is>
      </x:c>
      <x:c r="C218" s="12" t="inlineStr">
        <x:is>
          <x:t xml:space="preserve">extension2_new</x:t>
        </x:is>
      </x:c>
      <x:c r="D218" s="13" t="inlineStr">
        <x:is>
          <x:t xml:space="preserve">Research, evaluation, philanthropy infrastructure, and policy</x:t>
        </x:is>
      </x:c>
      <x:c r="E218" s="12" t="inlineStr">
        <x:is>
          <x:t xml:space="preserve">functional-only</x:t>
        </x:is>
      </x:c>
      <x:c r="F218" s="12" t="inlineStr">
        <x:is>
          <x:t xml:space="preserve">independent nonprofit</x:t>
        </x:is>
      </x:c>
      <x:c r="G218" s="12" t="inlineStr">
        <x:is>
          <x:t xml:space="preserve">no</x:t>
        </x:is>
      </x:c>
      <x:c r="H218" s="12" t="inlineStr">
        <x:is>
          <x:t xml:space="preserve">frozen_candidate_not_selected</x:t>
        </x:is>
      </x:c>
      <x:c r="I218" s="12" t="inlineStr">
        <x:is>
          <x:t xml:space="preserve">not selected</x:t>
        </x:is>
      </x:c>
      <x:c r="J218" s="13" t="inlineStr">
        <x:is>
          <x:t xml:space="preserve">Frozen candidate; not promoted into the 144-organization quantitative reference set during this pass.</x:t>
        </x:is>
      </x:c>
      <x:c r="K218" s="12" t="inlineStr">
        <x:is>
          <x:t xml:space="preserve">not collected</x:t>
        </x:is>
      </x:c>
      <x:c r="L218" s="17" t="n"/>
    </x:row>
    <x:row r="219">
      <x:c r="A219" s="12" t="inlineStr">
        <x:is>
          <x:t xml:space="preserve">EXT2-055</x:t>
        </x:is>
      </x:c>
      <x:c r="B219" s="12" t="inlineStr">
        <x:is>
          <x:t xml:space="preserve">Chicago Council on Global Affairs</x:t>
        </x:is>
      </x:c>
      <x:c r="C219" s="12" t="inlineStr">
        <x:is>
          <x:t xml:space="preserve">extension2_new</x:t>
        </x:is>
      </x:c>
      <x:c r="D219" s="13" t="inlineStr">
        <x:is>
          <x:t xml:space="preserve">Research, evaluation, philanthropy infrastructure, and policy</x:t>
        </x:is>
      </x:c>
      <x:c r="E219" s="12" t="inlineStr">
        <x:is>
          <x:t xml:space="preserve">functional-only</x:t>
        </x:is>
      </x:c>
      <x:c r="F219" s="12" t="inlineStr">
        <x:is>
          <x:t xml:space="preserve">independent nonprofit</x:t>
        </x:is>
      </x:c>
      <x:c r="G219" s="12" t="inlineStr">
        <x:is>
          <x:t xml:space="preserve">no</x:t>
        </x:is>
      </x:c>
      <x:c r="H219" s="12" t="inlineStr">
        <x:is>
          <x:t xml:space="preserve">included</x:t>
        </x:is>
      </x:c>
      <x:c r="I219" s="12" t="inlineStr">
        <x:is>
          <x:t xml:space="preserve">Tier A</x:t>
        </x:is>
      </x:c>
      <x:c r="J219" s="13" t="inlineStr">
        <x:is>
          <x:t xml:space="preserve">Selected under frozen function/scale/EA/structure rules; compensation did not determine selection.</x:t>
        </x:is>
      </x:c>
      <x:c r="K219" s="12" t="inlineStr">
        <x:is>
          <x:t xml:space="preserve">primary</x:t>
        </x:is>
      </x:c>
      <x:c r="L219" s="17" t="n"/>
    </x:row>
    <x:row r="220">
      <x:c r="A220" s="12" t="inlineStr">
        <x:is>
          <x:t xml:space="preserve">EXT2-056</x:t>
        </x:is>
      </x:c>
      <x:c r="B220" s="12" t="inlineStr">
        <x:is>
          <x:t xml:space="preserve">Council for a Strong America</x:t>
        </x:is>
      </x:c>
      <x:c r="C220" s="12" t="inlineStr">
        <x:is>
          <x:t xml:space="preserve">extension2_new</x:t>
        </x:is>
      </x:c>
      <x:c r="D220" s="13" t="inlineStr">
        <x:is>
          <x:t xml:space="preserve">Research, evaluation, philanthropy infrastructure, and policy</x:t>
        </x:is>
      </x:c>
      <x:c r="E220" s="12" t="inlineStr">
        <x:is>
          <x:t xml:space="preserve">functional-only</x:t>
        </x:is>
      </x:c>
      <x:c r="F220" s="12" t="inlineStr">
        <x:is>
          <x:t xml:space="preserve">independent nonprofit</x:t>
        </x:is>
      </x:c>
      <x:c r="G220" s="12" t="inlineStr">
        <x:is>
          <x:t xml:space="preserve">no</x:t>
        </x:is>
      </x:c>
      <x:c r="H220" s="12" t="inlineStr">
        <x:is>
          <x:t xml:space="preserve">frozen_candidate_not_selected</x:t>
        </x:is>
      </x:c>
      <x:c r="I220" s="12" t="inlineStr">
        <x:is>
          <x:t xml:space="preserve">not selected</x:t>
        </x:is>
      </x:c>
      <x:c r="J220" s="13" t="inlineStr">
        <x:is>
          <x:t xml:space="preserve">Frozen candidate; not promoted into the 144-organization quantitative reference set during this pass.</x:t>
        </x:is>
      </x:c>
      <x:c r="K220" s="12" t="inlineStr">
        <x:is>
          <x:t xml:space="preserve">not collected</x:t>
        </x:is>
      </x:c>
      <x:c r="L220" s="17" t="n"/>
    </x:row>
    <x:row r="221">
      <x:c r="A221" s="12" t="inlineStr">
        <x:is>
          <x:t xml:space="preserve">EXT2-057</x:t>
        </x:is>
      </x:c>
      <x:c r="B221" s="12" t="inlineStr">
        <x:is>
          <x:t xml:space="preserve">Institute for Justice</x:t>
        </x:is>
      </x:c>
      <x:c r="C221" s="12" t="inlineStr">
        <x:is>
          <x:t xml:space="preserve">extension2_new</x:t>
        </x:is>
      </x:c>
      <x:c r="D221" s="13" t="inlineStr">
        <x:is>
          <x:t xml:space="preserve">Research, evaluation, philanthropy infrastructure, and policy</x:t>
        </x:is>
      </x:c>
      <x:c r="E221" s="12" t="inlineStr">
        <x:is>
          <x:t xml:space="preserve">functional-only</x:t>
        </x:is>
      </x:c>
      <x:c r="F221" s="12" t="inlineStr">
        <x:is>
          <x:t xml:space="preserve">independent nonprofit</x:t>
        </x:is>
      </x:c>
      <x:c r="G221" s="12" t="inlineStr">
        <x:is>
          <x:t xml:space="preserve">no</x:t>
        </x:is>
      </x:c>
      <x:c r="H221" s="12" t="inlineStr">
        <x:is>
          <x:t xml:space="preserve">frozen_candidate_not_selected</x:t>
        </x:is>
      </x:c>
      <x:c r="I221" s="12" t="inlineStr">
        <x:is>
          <x:t xml:space="preserve">not selected</x:t>
        </x:is>
      </x:c>
      <x:c r="J221" s="13" t="inlineStr">
        <x:is>
          <x:t xml:space="preserve">Frozen candidate; not promoted into the 144-organization quantitative reference set during this pass.</x:t>
        </x:is>
      </x:c>
      <x:c r="K221" s="12" t="inlineStr">
        <x:is>
          <x:t xml:space="preserve">not collected</x:t>
        </x:is>
      </x:c>
      <x:c r="L221" s="17" t="n"/>
    </x:row>
    <x:row r="222">
      <x:c r="A222" s="12" t="inlineStr">
        <x:is>
          <x:t xml:space="preserve">EXT2-058</x:t>
        </x:is>
      </x:c>
      <x:c r="B222" s="12" t="inlineStr">
        <x:is>
          <x:t xml:space="preserve">Public Citizen Foundation</x:t>
        </x:is>
      </x:c>
      <x:c r="C222" s="12" t="inlineStr">
        <x:is>
          <x:t xml:space="preserve">extension2_new</x:t>
        </x:is>
      </x:c>
      <x:c r="D222" s="13" t="inlineStr">
        <x:is>
          <x:t xml:space="preserve">Research, evaluation, philanthropy infrastructure, and policy</x:t>
        </x:is>
      </x:c>
      <x:c r="E222" s="12" t="inlineStr">
        <x:is>
          <x:t xml:space="preserve">functional-only</x:t>
        </x:is>
      </x:c>
      <x:c r="F222" s="12" t="inlineStr">
        <x:is>
          <x:t xml:space="preserve">independent nonprofit</x:t>
        </x:is>
      </x:c>
      <x:c r="G222" s="12" t="inlineStr">
        <x:is>
          <x:t xml:space="preserve">no</x:t>
        </x:is>
      </x:c>
      <x:c r="H222" s="12" t="inlineStr">
        <x:is>
          <x:t xml:space="preserve">frozen_candidate_not_selected</x:t>
        </x:is>
      </x:c>
      <x:c r="I222" s="12" t="inlineStr">
        <x:is>
          <x:t xml:space="preserve">not selected</x:t>
        </x:is>
      </x:c>
      <x:c r="J222" s="13" t="inlineStr">
        <x:is>
          <x:t xml:space="preserve">Frozen candidate; not promoted into the 144-organization quantitative reference set during this pass.</x:t>
        </x:is>
      </x:c>
      <x:c r="K222" s="12" t="inlineStr">
        <x:is>
          <x:t xml:space="preserve">not collected</x:t>
        </x:is>
      </x:c>
      <x:c r="L222" s="17" t="n"/>
    </x:row>
    <x:row r="223">
      <x:c r="A223" s="12" t="inlineStr">
        <x:is>
          <x:t xml:space="preserve">EXT2-059</x:t>
        </x:is>
      </x:c>
      <x:c r="B223" s="12" t="inlineStr">
        <x:is>
          <x:t xml:space="preserve">Center for Science in the Public Interest</x:t>
        </x:is>
      </x:c>
      <x:c r="C223" s="12" t="inlineStr">
        <x:is>
          <x:t xml:space="preserve">extension2_new</x:t>
        </x:is>
      </x:c>
      <x:c r="D223" s="13" t="inlineStr">
        <x:is>
          <x:t xml:space="preserve">Research, evaluation, philanthropy infrastructure, and policy</x:t>
        </x:is>
      </x:c>
      <x:c r="E223" s="12" t="inlineStr">
        <x:is>
          <x:t xml:space="preserve">EA-adjacent</x:t>
        </x:is>
      </x:c>
      <x:c r="F223" s="12" t="inlineStr">
        <x:is>
          <x:t xml:space="preserve">independent nonprofit</x:t>
        </x:is>
      </x:c>
      <x:c r="G223" s="12" t="inlineStr">
        <x:is>
          <x:t xml:space="preserve">no</x:t>
        </x:is>
      </x:c>
      <x:c r="H223" s="12" t="inlineStr">
        <x:is>
          <x:t xml:space="preserve">frozen_candidate_not_selected</x:t>
        </x:is>
      </x:c>
      <x:c r="I223" s="12" t="inlineStr">
        <x:is>
          <x:t xml:space="preserve">not selected</x:t>
        </x:is>
      </x:c>
      <x:c r="J223" s="13" t="inlineStr">
        <x:is>
          <x:t xml:space="preserve">Frozen candidate; not promoted into the 144-organization quantitative reference set during this pass.</x:t>
        </x:is>
      </x:c>
      <x:c r="K223" s="12" t="inlineStr">
        <x:is>
          <x:t xml:space="preserve">not collected</x:t>
        </x:is>
      </x:c>
      <x:c r="L223" s="17" t="n"/>
    </x:row>
    <x:row r="224">
      <x:c r="A224" s="12" t="inlineStr">
        <x:is>
          <x:t xml:space="preserve">EXT2-060</x:t>
        </x:is>
      </x:c>
      <x:c r="B224" s="12" t="inlineStr">
        <x:is>
          <x:t xml:space="preserve">Population Council</x:t>
        </x:is>
      </x:c>
      <x:c r="C224" s="12" t="inlineStr">
        <x:is>
          <x:t xml:space="preserve">extension2_new</x:t>
        </x:is>
      </x:c>
      <x:c r="D224" s="12" t="inlineStr">
        <x:is>
          <x:t xml:space="preserve">Global health, development, and evidence</x:t>
        </x:is>
      </x:c>
      <x:c r="E224" s="12" t="inlineStr">
        <x:is>
          <x:t xml:space="preserve">EA-adjacent</x:t>
        </x:is>
      </x:c>
      <x:c r="F224" s="12" t="inlineStr">
        <x:is>
          <x:t xml:space="preserve">independent nonprofit</x:t>
        </x:is>
      </x:c>
      <x:c r="G224" s="12" t="inlineStr">
        <x:is>
          <x:t xml:space="preserve">no</x:t>
        </x:is>
      </x:c>
      <x:c r="H224" s="12" t="inlineStr">
        <x:is>
          <x:t xml:space="preserve">frozen_candidate_not_selected</x:t>
        </x:is>
      </x:c>
      <x:c r="I224" s="12" t="inlineStr">
        <x:is>
          <x:t xml:space="preserve">not selected</x:t>
        </x:is>
      </x:c>
      <x:c r="J224" s="13" t="inlineStr">
        <x:is>
          <x:t xml:space="preserve">Frozen candidate; not promoted into the 144-organization quantitative reference set during this pass.</x:t>
        </x:is>
      </x:c>
      <x:c r="K224" s="12" t="inlineStr">
        <x:is>
          <x:t xml:space="preserve">not collected</x:t>
        </x:is>
      </x:c>
      <x:c r="L224" s="17" t="n"/>
    </x:row>
    <x:row r="225">
      <x:c r="A225" s="12" t="inlineStr">
        <x:is>
          <x:t xml:space="preserve">EXT2-061</x:t>
        </x:is>
      </x:c>
      <x:c r="B225" s="12" t="inlineStr">
        <x:is>
          <x:t xml:space="preserve">International Center for Research on Women</x:t>
        </x:is>
      </x:c>
      <x:c r="C225" s="12" t="inlineStr">
        <x:is>
          <x:t xml:space="preserve">extension2_new</x:t>
        </x:is>
      </x:c>
      <x:c r="D225" s="12" t="inlineStr">
        <x:is>
          <x:t xml:space="preserve">Global health, development, and evidence</x:t>
        </x:is>
      </x:c>
      <x:c r="E225" s="12" t="inlineStr">
        <x:is>
          <x:t xml:space="preserve">EA-adjacent</x:t>
        </x:is>
      </x:c>
      <x:c r="F225" s="12" t="inlineStr">
        <x:is>
          <x:t xml:space="preserve">independent nonprofit</x:t>
        </x:is>
      </x:c>
      <x:c r="G225" s="12" t="inlineStr">
        <x:is>
          <x:t xml:space="preserve">no</x:t>
        </x:is>
      </x:c>
      <x:c r="H225" s="12" t="inlineStr">
        <x:is>
          <x:t xml:space="preserve">frozen_candidate_not_selected</x:t>
        </x:is>
      </x:c>
      <x:c r="I225" s="12" t="inlineStr">
        <x:is>
          <x:t xml:space="preserve">not selected</x:t>
        </x:is>
      </x:c>
      <x:c r="J225" s="13" t="inlineStr">
        <x:is>
          <x:t xml:space="preserve">Frozen candidate; not promoted into the 144-organization quantitative reference set during this pass.</x:t>
        </x:is>
      </x:c>
      <x:c r="K225" s="12" t="inlineStr">
        <x:is>
          <x:t xml:space="preserve">not collected</x:t>
        </x:is>
      </x:c>
      <x:c r="L225" s="17" t="n"/>
    </x:row>
    <x:row r="226">
      <x:c r="A226" s="12" t="inlineStr">
        <x:is>
          <x:t xml:space="preserve">EXT2-062</x:t>
        </x:is>
      </x:c>
      <x:c r="B226" s="12" t="inlineStr">
        <x:is>
          <x:t xml:space="preserve">Development Gateway</x:t>
        </x:is>
      </x:c>
      <x:c r="C226" s="12" t="inlineStr">
        <x:is>
          <x:t xml:space="preserve">extension2_new</x:t>
        </x:is>
      </x:c>
      <x:c r="D226" s="12" t="inlineStr">
        <x:is>
          <x:t xml:space="preserve">Global health, development, and evidence</x:t>
        </x:is>
      </x:c>
      <x:c r="E226" s="12" t="inlineStr">
        <x:is>
          <x:t xml:space="preserve">EA-adjacent</x:t>
        </x:is>
      </x:c>
      <x:c r="F226" s="12" t="inlineStr">
        <x:is>
          <x:t xml:space="preserve">independent nonprofit</x:t>
        </x:is>
      </x:c>
      <x:c r="G226" s="12" t="inlineStr">
        <x:is>
          <x:t xml:space="preserve">no</x:t>
        </x:is>
      </x:c>
      <x:c r="H226" s="12" t="inlineStr">
        <x:is>
          <x:t xml:space="preserve">frozen_candidate_not_selected</x:t>
        </x:is>
      </x:c>
      <x:c r="I226" s="12" t="inlineStr">
        <x:is>
          <x:t xml:space="preserve">not selected</x:t>
        </x:is>
      </x:c>
      <x:c r="J226" s="13" t="inlineStr">
        <x:is>
          <x:t xml:space="preserve">Frozen candidate; not promoted into the 144-organization quantitative reference set during this pass.</x:t>
        </x:is>
      </x:c>
      <x:c r="K226" s="12" t="inlineStr">
        <x:is>
          <x:t xml:space="preserve">not collected</x:t>
        </x:is>
      </x:c>
      <x:c r="L226" s="17" t="n"/>
    </x:row>
    <x:row r="227">
      <x:c r="A227" s="12" t="inlineStr">
        <x:is>
          <x:t xml:space="preserve">EXT2-063</x:t>
        </x:is>
      </x:c>
      <x:c r="B227" s="12" t="inlineStr">
        <x:is>
          <x:t xml:space="preserve">Social Finance</x:t>
        </x:is>
      </x:c>
      <x:c r="C227" s="12" t="inlineStr">
        <x:is>
          <x:t xml:space="preserve">extension2_new</x:t>
        </x:is>
      </x:c>
      <x:c r="D227" s="13" t="inlineStr">
        <x:is>
          <x:t xml:space="preserve">Research, evaluation, philanthropy infrastructure, and policy</x:t>
        </x:is>
      </x:c>
      <x:c r="E227" s="12" t="inlineStr">
        <x:is>
          <x:t xml:space="preserve">EA-adjacent</x:t>
        </x:is>
      </x:c>
      <x:c r="F227" s="12" t="inlineStr">
        <x:is>
          <x:t xml:space="preserve">independent nonprofit</x:t>
        </x:is>
      </x:c>
      <x:c r="G227" s="12" t="inlineStr">
        <x:is>
          <x:t xml:space="preserve">no</x:t>
        </x:is>
      </x:c>
      <x:c r="H227" s="12" t="inlineStr">
        <x:is>
          <x:t xml:space="preserve">frozen_candidate_not_selected</x:t>
        </x:is>
      </x:c>
      <x:c r="I227" s="12" t="inlineStr">
        <x:is>
          <x:t xml:space="preserve">not selected</x:t>
        </x:is>
      </x:c>
      <x:c r="J227" s="13" t="inlineStr">
        <x:is>
          <x:t xml:space="preserve">Frozen candidate; not promoted into the 144-organization quantitative reference set during this pass.</x:t>
        </x:is>
      </x:c>
      <x:c r="K227" s="12" t="inlineStr">
        <x:is>
          <x:t xml:space="preserve">not collected</x:t>
        </x:is>
      </x:c>
      <x:c r="L227" s="17" t="n"/>
    </x:row>
    <x:row r="228">
      <x:c r="A228" s="12" t="inlineStr">
        <x:is>
          <x:t xml:space="preserve">EXT2-064</x:t>
        </x:is>
      </x:c>
      <x:c r="B228" s="12" t="inlineStr">
        <x:is>
          <x:t xml:space="preserve">REDF</x:t>
        </x:is>
      </x:c>
      <x:c r="C228" s="12" t="inlineStr">
        <x:is>
          <x:t xml:space="preserve">extension2_new</x:t>
        </x:is>
      </x:c>
      <x:c r="D228" s="13" t="inlineStr">
        <x:is>
          <x:t xml:space="preserve">Research, evaluation, philanthropy infrastructure, and policy</x:t>
        </x:is>
      </x:c>
      <x:c r="E228" s="12" t="inlineStr">
        <x:is>
          <x:t xml:space="preserve">EA-adjacent</x:t>
        </x:is>
      </x:c>
      <x:c r="F228" s="12" t="inlineStr">
        <x:is>
          <x:t xml:space="preserve">public charity / grantmaker</x:t>
        </x:is>
      </x:c>
      <x:c r="G228" s="12" t="inlineStr">
        <x:is>
          <x:t xml:space="preserve">no</x:t>
        </x:is>
      </x:c>
      <x:c r="H228" s="12" t="inlineStr">
        <x:is>
          <x:t xml:space="preserve">frozen_candidate_not_selected</x:t>
        </x:is>
      </x:c>
      <x:c r="I228" s="12" t="inlineStr">
        <x:is>
          <x:t xml:space="preserve">not selected</x:t>
        </x:is>
      </x:c>
      <x:c r="J228" s="13" t="inlineStr">
        <x:is>
          <x:t xml:space="preserve">Frozen candidate; not promoted into the 144-organization quantitative reference set during this pass.</x:t>
        </x:is>
      </x:c>
      <x:c r="K228" s="12" t="inlineStr">
        <x:is>
          <x:t xml:space="preserve">not collected</x:t>
        </x:is>
      </x:c>
      <x:c r="L228" s="17" t="n"/>
    </x:row>
    <x:row r="229">
      <x:c r="A229" s="12" t="inlineStr">
        <x:is>
          <x:t xml:space="preserve">EXT2-065</x:t>
        </x:is>
      </x:c>
      <x:c r="B229" s="12" t="inlineStr">
        <x:is>
          <x:t xml:space="preserve">Acumen</x:t>
        </x:is>
      </x:c>
      <x:c r="C229" s="12" t="inlineStr">
        <x:is>
          <x:t xml:space="preserve">extension2_new</x:t>
        </x:is>
      </x:c>
      <x:c r="D229" s="12" t="inlineStr">
        <x:is>
          <x:t xml:space="preserve">Global health, development, and evidence</x:t>
        </x:is>
      </x:c>
      <x:c r="E229" s="12" t="inlineStr">
        <x:is>
          <x:t xml:space="preserve">EA-adjacent</x:t>
        </x:is>
      </x:c>
      <x:c r="F229" s="12" t="inlineStr">
        <x:is>
          <x:t xml:space="preserve">independent nonprofit</x:t>
        </x:is>
      </x:c>
      <x:c r="G229" s="12" t="inlineStr">
        <x:is>
          <x:t xml:space="preserve">no</x:t>
        </x:is>
      </x:c>
      <x:c r="H229" s="12" t="inlineStr">
        <x:is>
          <x:t xml:space="preserve">frozen_candidate_not_selected</x:t>
        </x:is>
      </x:c>
      <x:c r="I229" s="12" t="inlineStr">
        <x:is>
          <x:t xml:space="preserve">not selected</x:t>
        </x:is>
      </x:c>
      <x:c r="J229" s="13" t="inlineStr">
        <x:is>
          <x:t xml:space="preserve">Frozen candidate; not promoted into the 144-organization quantitative reference set during this pass.</x:t>
        </x:is>
      </x:c>
      <x:c r="K229" s="12" t="inlineStr">
        <x:is>
          <x:t xml:space="preserve">not collected</x:t>
        </x:is>
      </x:c>
      <x:c r="L229" s="17" t="n"/>
    </x:row>
    <x:row r="230">
      <x:c r="A230" s="12" t="inlineStr">
        <x:is>
          <x:t xml:space="preserve">EXT2-066</x:t>
        </x:is>
      </x:c>
      <x:c r="B230" s="12" t="inlineStr">
        <x:is>
          <x:t xml:space="preserve">Bridgespan Group</x:t>
        </x:is>
      </x:c>
      <x:c r="C230" s="12" t="inlineStr">
        <x:is>
          <x:t xml:space="preserve">extension2_new</x:t>
        </x:is>
      </x:c>
      <x:c r="D230" s="13" t="inlineStr">
        <x:is>
          <x:t xml:space="preserve">Research, evaluation, philanthropy infrastructure, and policy</x:t>
        </x:is>
      </x:c>
      <x:c r="E230" s="12" t="inlineStr">
        <x:is>
          <x:t xml:space="preserve">EA-adjacent</x:t>
        </x:is>
      </x:c>
      <x:c r="F230" s="12" t="inlineStr">
        <x:is>
          <x:t xml:space="preserve">independent nonprofit</x:t>
        </x:is>
      </x:c>
      <x:c r="G230" s="12" t="inlineStr">
        <x:is>
          <x:t xml:space="preserve">no</x:t>
        </x:is>
      </x:c>
      <x:c r="H230" s="12" t="inlineStr">
        <x:is>
          <x:t xml:space="preserve">frozen_candidate_not_selected</x:t>
        </x:is>
      </x:c>
      <x:c r="I230" s="12" t="inlineStr">
        <x:is>
          <x:t xml:space="preserve">not selected</x:t>
        </x:is>
      </x:c>
      <x:c r="J230" s="13" t="inlineStr">
        <x:is>
          <x:t xml:space="preserve">Frozen candidate; not promoted into the 144-organization quantitative reference set during this pass.</x:t>
        </x:is>
      </x:c>
      <x:c r="K230" s="12" t="inlineStr">
        <x:is>
          <x:t xml:space="preserve">not collected</x:t>
        </x:is>
      </x:c>
      <x:c r="L230" s="17" t="n"/>
    </x:row>
    <x:row r="231">
      <x:c r="A231" s="12" t="inlineStr">
        <x:is>
          <x:t xml:space="preserve">EXT2-067</x:t>
        </x:is>
      </x:c>
      <x:c r="B231" s="12" t="inlineStr">
        <x:is>
          <x:t xml:space="preserve">Nonprofit Finance Fund</x:t>
        </x:is>
      </x:c>
      <x:c r="C231" s="12" t="inlineStr">
        <x:is>
          <x:t xml:space="preserve">extension2_new</x:t>
        </x:is>
      </x:c>
      <x:c r="D231" s="13" t="inlineStr">
        <x:is>
          <x:t xml:space="preserve">Research, evaluation, philanthropy infrastructure, and policy</x:t>
        </x:is>
      </x:c>
      <x:c r="E231" s="12" t="inlineStr">
        <x:is>
          <x:t xml:space="preserve">functional-only</x:t>
        </x:is>
      </x:c>
      <x:c r="F231" s="12" t="inlineStr">
        <x:is>
          <x:t xml:space="preserve">independent nonprofit</x:t>
        </x:is>
      </x:c>
      <x:c r="G231" s="12" t="inlineStr">
        <x:is>
          <x:t xml:space="preserve">no</x:t>
        </x:is>
      </x:c>
      <x:c r="H231" s="12" t="inlineStr">
        <x:is>
          <x:t xml:space="preserve">frozen_candidate_not_selected</x:t>
        </x:is>
      </x:c>
      <x:c r="I231" s="12" t="inlineStr">
        <x:is>
          <x:t xml:space="preserve">not selected</x:t>
        </x:is>
      </x:c>
      <x:c r="J231" s="13" t="inlineStr">
        <x:is>
          <x:t xml:space="preserve">Frozen candidate; not promoted into the 144-organization quantitative reference set during this pass.</x:t>
        </x:is>
      </x:c>
      <x:c r="K231" s="12" t="inlineStr">
        <x:is>
          <x:t xml:space="preserve">not collected</x:t>
        </x:is>
      </x:c>
      <x:c r="L231" s="17" t="n"/>
    </x:row>
    <x:row r="232">
      <x:c r="A232" s="12" t="inlineStr">
        <x:is>
          <x:t xml:space="preserve">EXT2-068</x:t>
        </x:is>
      </x:c>
      <x:c r="B232" s="12" t="inlineStr">
        <x:is>
          <x:t xml:space="preserve">FSG</x:t>
        </x:is>
      </x:c>
      <x:c r="C232" s="12" t="inlineStr">
        <x:is>
          <x:t xml:space="preserve">extension2_new</x:t>
        </x:is>
      </x:c>
      <x:c r="D232" s="13" t="inlineStr">
        <x:is>
          <x:t xml:space="preserve">Research, evaluation, philanthropy infrastructure, and policy</x:t>
        </x:is>
      </x:c>
      <x:c r="E232" s="12" t="inlineStr">
        <x:is>
          <x:t xml:space="preserve">functional-only</x:t>
        </x:is>
      </x:c>
      <x:c r="F232" s="12" t="inlineStr">
        <x:is>
          <x:t xml:space="preserve">independent nonprofit</x:t>
        </x:is>
      </x:c>
      <x:c r="G232" s="12" t="inlineStr">
        <x:is>
          <x:t xml:space="preserve">no</x:t>
        </x:is>
      </x:c>
      <x:c r="H232" s="12" t="inlineStr">
        <x:is>
          <x:t xml:space="preserve">frozen_candidate_not_selected</x:t>
        </x:is>
      </x:c>
      <x:c r="I232" s="12" t="inlineStr">
        <x:is>
          <x:t xml:space="preserve">not selected</x:t>
        </x:is>
      </x:c>
      <x:c r="J232" s="13" t="inlineStr">
        <x:is>
          <x:t xml:space="preserve">Frozen candidate; not promoted into the 144-organization quantitative reference set during this pass.</x:t>
        </x:is>
      </x:c>
      <x:c r="K232" s="12" t="inlineStr">
        <x:is>
          <x:t xml:space="preserve">not collected</x:t>
        </x:is>
      </x:c>
      <x:c r="L232" s="17" t="n"/>
    </x:row>
    <x:row r="233">
      <x:c r="A233" s="12" t="inlineStr">
        <x:is>
          <x:t xml:space="preserve">EXT2-069</x:t>
        </x:is>
      </x:c>
      <x:c r="B233" s="12" t="inlineStr">
        <x:is>
          <x:t xml:space="preserve">National Center for Family Philanthropy</x:t>
        </x:is>
      </x:c>
      <x:c r="C233" s="12" t="inlineStr">
        <x:is>
          <x:t xml:space="preserve">extension2_new</x:t>
        </x:is>
      </x:c>
      <x:c r="D233" s="13" t="inlineStr">
        <x:is>
          <x:t xml:space="preserve">Research, evaluation, philanthropy infrastructure, and policy</x:t>
        </x:is>
      </x:c>
      <x:c r="E233" s="12" t="inlineStr">
        <x:is>
          <x:t xml:space="preserve">functional-only</x:t>
        </x:is>
      </x:c>
      <x:c r="F233" s="12" t="inlineStr">
        <x:is>
          <x:t xml:space="preserve">independent nonprofit</x:t>
        </x:is>
      </x:c>
      <x:c r="G233" s="12" t="inlineStr">
        <x:is>
          <x:t xml:space="preserve">no</x:t>
        </x:is>
      </x:c>
      <x:c r="H233" s="12" t="inlineStr">
        <x:is>
          <x:t xml:space="preserve">frozen_candidate_not_selected</x:t>
        </x:is>
      </x:c>
      <x:c r="I233" s="12" t="inlineStr">
        <x:is>
          <x:t xml:space="preserve">not selected</x:t>
        </x:is>
      </x:c>
      <x:c r="J233" s="13" t="inlineStr">
        <x:is>
          <x:t xml:space="preserve">Frozen candidate; not promoted into the 144-organization quantitative reference set during this pass.</x:t>
        </x:is>
      </x:c>
      <x:c r="K233" s="12" t="inlineStr">
        <x:is>
          <x:t xml:space="preserve">not collected</x:t>
        </x:is>
      </x:c>
      <x:c r="L233" s="17" t="n"/>
    </x:row>
    <x:row r="234">
      <x:c r="A234" s="12" t="inlineStr">
        <x:is>
          <x:t xml:space="preserve">EXT2-070</x:t>
        </x:is>
      </x:c>
      <x:c r="B234" s="12" t="inlineStr">
        <x:is>
          <x:t xml:space="preserve">Council on Foundations</x:t>
        </x:is>
      </x:c>
      <x:c r="C234" s="12" t="inlineStr">
        <x:is>
          <x:t xml:space="preserve">extension2_new</x:t>
        </x:is>
      </x:c>
      <x:c r="D234" s="13" t="inlineStr">
        <x:is>
          <x:t xml:space="preserve">Research, evaluation, philanthropy infrastructure, and policy</x:t>
        </x:is>
      </x:c>
      <x:c r="E234" s="12" t="inlineStr">
        <x:is>
          <x:t xml:space="preserve">functional-only</x:t>
        </x:is>
      </x:c>
      <x:c r="F234" s="12" t="inlineStr">
        <x:is>
          <x:t xml:space="preserve">membership nonprofit</x:t>
        </x:is>
      </x:c>
      <x:c r="G234" s="12" t="inlineStr">
        <x:is>
          <x:t xml:space="preserve">no</x:t>
        </x:is>
      </x:c>
      <x:c r="H234" s="12" t="inlineStr">
        <x:is>
          <x:t xml:space="preserve">frozen_candidate_not_selected</x:t>
        </x:is>
      </x:c>
      <x:c r="I234" s="12" t="inlineStr">
        <x:is>
          <x:t xml:space="preserve">not selected</x:t>
        </x:is>
      </x:c>
      <x:c r="J234" s="13" t="inlineStr">
        <x:is>
          <x:t xml:space="preserve">Frozen candidate; not promoted into the 144-organization quantitative reference set during this pass.</x:t>
        </x:is>
      </x:c>
      <x:c r="K234" s="12" t="inlineStr">
        <x:is>
          <x:t xml:space="preserve">not collected</x:t>
        </x:is>
      </x:c>
      <x:c r="L234" s="17" t="n"/>
    </x:row>
    <x:row r="235">
      <x:c r="A235" s="12" t="inlineStr">
        <x:is>
          <x:t xml:space="preserve">EXT2-071</x:t>
        </x:is>
      </x:c>
      <x:c r="B235" s="12" t="inlineStr">
        <x:is>
          <x:t xml:space="preserve">United Philanthropy Forum</x:t>
        </x:is>
      </x:c>
      <x:c r="C235" s="12" t="inlineStr">
        <x:is>
          <x:t xml:space="preserve">extension2_new</x:t>
        </x:is>
      </x:c>
      <x:c r="D235" s="13" t="inlineStr">
        <x:is>
          <x:t xml:space="preserve">Research, evaluation, philanthropy infrastructure, and policy</x:t>
        </x:is>
      </x:c>
      <x:c r="E235" s="12" t="inlineStr">
        <x:is>
          <x:t xml:space="preserve">functional-only</x:t>
        </x:is>
      </x:c>
      <x:c r="F235" s="12" t="inlineStr">
        <x:is>
          <x:t xml:space="preserve">membership nonprofit</x:t>
        </x:is>
      </x:c>
      <x:c r="G235" s="12" t="inlineStr">
        <x:is>
          <x:t xml:space="preserve">no</x:t>
        </x:is>
      </x:c>
      <x:c r="H235" s="12" t="inlineStr">
        <x:is>
          <x:t xml:space="preserve">frozen_candidate_not_selected</x:t>
        </x:is>
      </x:c>
      <x:c r="I235" s="12" t="inlineStr">
        <x:is>
          <x:t xml:space="preserve">not selected</x:t>
        </x:is>
      </x:c>
      <x:c r="J235" s="13" t="inlineStr">
        <x:is>
          <x:t xml:space="preserve">Frozen candidate; not promoted into the 144-organization quantitative reference set during this pass.</x:t>
        </x:is>
      </x:c>
      <x:c r="K235" s="12" t="inlineStr">
        <x:is>
          <x:t xml:space="preserve">not collected</x:t>
        </x:is>
      </x:c>
      <x:c r="L235" s="17" t="n"/>
    </x:row>
    <x:row r="236">
      <x:c r="A236" s="12" t="inlineStr">
        <x:is>
          <x:t xml:space="preserve">EXT2-072</x:t>
        </x:is>
      </x:c>
      <x:c r="B236" s="12" t="inlineStr">
        <x:is>
          <x:t xml:space="preserve">Rockefeller Philanthropy Advisors</x:t>
        </x:is>
      </x:c>
      <x:c r="C236" s="12" t="inlineStr">
        <x:is>
          <x:t xml:space="preserve">extension2_new</x:t>
        </x:is>
      </x:c>
      <x:c r="D236" s="13" t="inlineStr">
        <x:is>
          <x:t xml:space="preserve">Research, evaluation, philanthropy infrastructure, and policy</x:t>
        </x:is>
      </x:c>
      <x:c r="E236" s="12" t="inlineStr">
        <x:is>
          <x:t xml:space="preserve">EA-adjacent</x:t>
        </x:is>
      </x:c>
      <x:c r="F236" s="12" t="inlineStr">
        <x:is>
          <x:t xml:space="preserve">public charity / fiscal sponsor</x:t>
        </x:is>
      </x:c>
      <x:c r="G236" s="12" t="inlineStr">
        <x:is>
          <x:t xml:space="preserve">no</x:t>
        </x:is>
      </x:c>
      <x:c r="H236" s="12" t="inlineStr">
        <x:is>
          <x:t xml:space="preserve">frozen_candidate_not_selected</x:t>
        </x:is>
      </x:c>
      <x:c r="I236" s="12" t="inlineStr">
        <x:is>
          <x:t xml:space="preserve">not selected</x:t>
        </x:is>
      </x:c>
      <x:c r="J236" s="13" t="inlineStr">
        <x:is>
          <x:t xml:space="preserve">Frozen candidate; not promoted into the 144-organization quantitative reference set during this pass.</x:t>
        </x:is>
      </x:c>
      <x:c r="K236" s="12" t="inlineStr">
        <x:is>
          <x:t xml:space="preserve">not collected</x:t>
        </x:is>
      </x:c>
      <x:c r="L236" s="17" t="n"/>
    </x:row>
    <x:row r="237">
      <x:c r="A237" s="12" t="inlineStr">
        <x:is>
          <x:t xml:space="preserve">EXT2-073</x:t>
        </x:is>
      </x:c>
      <x:c r="B237" s="12" t="inlineStr">
        <x:is>
          <x:t xml:space="preserve">Grantmakers in Health</x:t>
        </x:is>
      </x:c>
      <x:c r="C237" s="12" t="inlineStr">
        <x:is>
          <x:t xml:space="preserve">extension2_new</x:t>
        </x:is>
      </x:c>
      <x:c r="D237" s="13" t="inlineStr">
        <x:is>
          <x:t xml:space="preserve">Research, evaluation, philanthropy infrastructure, and policy</x:t>
        </x:is>
      </x:c>
      <x:c r="E237" s="12" t="inlineStr">
        <x:is>
          <x:t xml:space="preserve">functional-only</x:t>
        </x:is>
      </x:c>
      <x:c r="F237" s="12" t="inlineStr">
        <x:is>
          <x:t xml:space="preserve">membership nonprofit</x:t>
        </x:is>
      </x:c>
      <x:c r="G237" s="12" t="inlineStr">
        <x:is>
          <x:t xml:space="preserve">no</x:t>
        </x:is>
      </x:c>
      <x:c r="H237" s="12" t="inlineStr">
        <x:is>
          <x:t xml:space="preserve">frozen_candidate_not_selected</x:t>
        </x:is>
      </x:c>
      <x:c r="I237" s="12" t="inlineStr">
        <x:is>
          <x:t xml:space="preserve">not selected</x:t>
        </x:is>
      </x:c>
      <x:c r="J237" s="13" t="inlineStr">
        <x:is>
          <x:t xml:space="preserve">Frozen candidate; not promoted into the 144-organization quantitative reference set during this pass.</x:t>
        </x:is>
      </x:c>
      <x:c r="K237" s="12" t="inlineStr">
        <x:is>
          <x:t xml:space="preserve">not collected</x:t>
        </x:is>
      </x:c>
      <x:c r="L237" s="17" t="n"/>
    </x:row>
    <x:row r="238">
      <x:c r="A238" s="12" t="inlineStr">
        <x:is>
          <x:t xml:space="preserve">EXT2-074</x:t>
        </x:is>
      </x:c>
      <x:c r="B238" s="12" t="inlineStr">
        <x:is>
          <x:t xml:space="preserve">Grantmakers in the Arts</x:t>
        </x:is>
      </x:c>
      <x:c r="C238" s="12" t="inlineStr">
        <x:is>
          <x:t xml:space="preserve">extension2_new</x:t>
        </x:is>
      </x:c>
      <x:c r="D238" s="13" t="inlineStr">
        <x:is>
          <x:t xml:space="preserve">Research, evaluation, philanthropy infrastructure, and policy</x:t>
        </x:is>
      </x:c>
      <x:c r="E238" s="12" t="inlineStr">
        <x:is>
          <x:t xml:space="preserve">functional-only</x:t>
        </x:is>
      </x:c>
      <x:c r="F238" s="12" t="inlineStr">
        <x:is>
          <x:t xml:space="preserve">membership nonprofit</x:t>
        </x:is>
      </x:c>
      <x:c r="G238" s="12" t="inlineStr">
        <x:is>
          <x:t xml:space="preserve">no</x:t>
        </x:is>
      </x:c>
      <x:c r="H238" s="12" t="inlineStr">
        <x:is>
          <x:t xml:space="preserve">frozen_candidate_not_selected</x:t>
        </x:is>
      </x:c>
      <x:c r="I238" s="12" t="inlineStr">
        <x:is>
          <x:t xml:space="preserve">not selected</x:t>
        </x:is>
      </x:c>
      <x:c r="J238" s="13" t="inlineStr">
        <x:is>
          <x:t xml:space="preserve">Frozen candidate; not promoted into the 144-organization quantitative reference set during this pass.</x:t>
        </x:is>
      </x:c>
      <x:c r="K238" s="12" t="inlineStr">
        <x:is>
          <x:t xml:space="preserve">not collected</x:t>
        </x:is>
      </x:c>
      <x:c r="L238" s="17" t="n"/>
    </x:row>
    <x:row r="239">
      <x:c r="A239" s="12" t="inlineStr">
        <x:is>
          <x:t xml:space="preserve">EXT2-075</x:t>
        </x:is>
      </x:c>
      <x:c r="B239" s="12" t="inlineStr">
        <x:is>
          <x:t xml:space="preserve">Funders Together to End Homelessness</x:t>
        </x:is>
      </x:c>
      <x:c r="C239" s="12" t="inlineStr">
        <x:is>
          <x:t xml:space="preserve">extension2_new</x:t>
        </x:is>
      </x:c>
      <x:c r="D239" s="13" t="inlineStr">
        <x:is>
          <x:t xml:space="preserve">Research, evaluation, philanthropy infrastructure, and policy</x:t>
        </x:is>
      </x:c>
      <x:c r="E239" s="12" t="inlineStr">
        <x:is>
          <x:t xml:space="preserve">functional-only</x:t>
        </x:is>
      </x:c>
      <x:c r="F239" s="12" t="inlineStr">
        <x:is>
          <x:t xml:space="preserve">membership nonprofit</x:t>
        </x:is>
      </x:c>
      <x:c r="G239" s="12" t="inlineStr">
        <x:is>
          <x:t xml:space="preserve">no</x:t>
        </x:is>
      </x:c>
      <x:c r="H239" s="12" t="inlineStr">
        <x:is>
          <x:t xml:space="preserve">frozen_candidate_not_selected</x:t>
        </x:is>
      </x:c>
      <x:c r="I239" s="12" t="inlineStr">
        <x:is>
          <x:t xml:space="preserve">not selected</x:t>
        </x:is>
      </x:c>
      <x:c r="J239" s="13" t="inlineStr">
        <x:is>
          <x:t xml:space="preserve">Frozen candidate; not promoted into the 144-organization quantitative reference set during this pass.</x:t>
        </x:is>
      </x:c>
      <x:c r="K239" s="12" t="inlineStr">
        <x:is>
          <x:t xml:space="preserve">not collected</x:t>
        </x:is>
      </x:c>
      <x:c r="L239" s="17" t="n"/>
    </x:row>
    <x:row r="240">
      <x:c r="A240" s="12" t="inlineStr">
        <x:is>
          <x:t xml:space="preserve">EXT2-076</x:t>
        </x:is>
      </x:c>
      <x:c r="B240" s="12" t="inlineStr">
        <x:is>
          <x:t xml:space="preserve">Philanthropy Roundtable</x:t>
        </x:is>
      </x:c>
      <x:c r="C240" s="12" t="inlineStr">
        <x:is>
          <x:t xml:space="preserve">extension2_new</x:t>
        </x:is>
      </x:c>
      <x:c r="D240" s="13" t="inlineStr">
        <x:is>
          <x:t xml:space="preserve">Research, evaluation, philanthropy infrastructure, and policy</x:t>
        </x:is>
      </x:c>
      <x:c r="E240" s="12" t="inlineStr">
        <x:is>
          <x:t xml:space="preserve">functional-only</x:t>
        </x:is>
      </x:c>
      <x:c r="F240" s="12" t="inlineStr">
        <x:is>
          <x:t xml:space="preserve">independent nonprofit</x:t>
        </x:is>
      </x:c>
      <x:c r="G240" s="12" t="inlineStr">
        <x:is>
          <x:t xml:space="preserve">no</x:t>
        </x:is>
      </x:c>
      <x:c r="H240" s="12" t="inlineStr">
        <x:is>
          <x:t xml:space="preserve">frozen_candidate_not_selected</x:t>
        </x:is>
      </x:c>
      <x:c r="I240" s="12" t="inlineStr">
        <x:is>
          <x:t xml:space="preserve">not selected</x:t>
        </x:is>
      </x:c>
      <x:c r="J240" s="13" t="inlineStr">
        <x:is>
          <x:t xml:space="preserve">Frozen candidate; not promoted into the 144-organization quantitative reference set during this pass.</x:t>
        </x:is>
      </x:c>
      <x:c r="K240" s="12" t="inlineStr">
        <x:is>
          <x:t xml:space="preserve">not collected</x:t>
        </x:is>
      </x:c>
      <x:c r="L240" s="17" t="n"/>
    </x:row>
    <x:row r="241">
      <x:c r="A241" s="12" t="inlineStr">
        <x:is>
          <x:t xml:space="preserve">EXT2-077</x:t>
        </x:is>
      </x:c>
      <x:c r="B241" s="12" t="inlineStr">
        <x:is>
          <x:t xml:space="preserve">BBB Wise Giving Alliance</x:t>
        </x:is>
      </x:c>
      <x:c r="C241" s="12" t="inlineStr">
        <x:is>
          <x:t xml:space="preserve">extension2_new</x:t>
        </x:is>
      </x:c>
      <x:c r="D241" s="13" t="inlineStr">
        <x:is>
          <x:t xml:space="preserve">Research, evaluation, philanthropy infrastructure, and policy</x:t>
        </x:is>
      </x:c>
      <x:c r="E241" s="12" t="inlineStr">
        <x:is>
          <x:t xml:space="preserve">functional-only</x:t>
        </x:is>
      </x:c>
      <x:c r="F241" s="12" t="inlineStr">
        <x:is>
          <x:t xml:space="preserve">independent nonprofit</x:t>
        </x:is>
      </x:c>
      <x:c r="G241" s="12" t="inlineStr">
        <x:is>
          <x:t xml:space="preserve">no</x:t>
        </x:is>
      </x:c>
      <x:c r="H241" s="12" t="inlineStr">
        <x:is>
          <x:t xml:space="preserve">frozen_candidate_not_selected</x:t>
        </x:is>
      </x:c>
      <x:c r="I241" s="12" t="inlineStr">
        <x:is>
          <x:t xml:space="preserve">not selected</x:t>
        </x:is>
      </x:c>
      <x:c r="J241" s="13" t="inlineStr">
        <x:is>
          <x:t xml:space="preserve">Frozen candidate; not promoted into the 144-organization quantitative reference set during this pass.</x:t>
        </x:is>
      </x:c>
      <x:c r="K241" s="12" t="inlineStr">
        <x:is>
          <x:t xml:space="preserve">not collected</x:t>
        </x:is>
      </x:c>
      <x:c r="L241" s="17" t="n"/>
    </x:row>
    <x:row r="242">
      <x:c r="A242" s="12" t="inlineStr">
        <x:is>
          <x:t xml:space="preserve">EXT2-078</x:t>
        </x:is>
      </x:c>
      <x:c r="B242" s="12" t="inlineStr">
        <x:is>
          <x:t xml:space="preserve">CharityWatch</x:t>
        </x:is>
      </x:c>
      <x:c r="C242" s="12" t="inlineStr">
        <x:is>
          <x:t xml:space="preserve">extension2_new</x:t>
        </x:is>
      </x:c>
      <x:c r="D242" s="13" t="inlineStr">
        <x:is>
          <x:t xml:space="preserve">Research, evaluation, philanthropy infrastructure, and policy</x:t>
        </x:is>
      </x:c>
      <x:c r="E242" s="12" t="inlineStr">
        <x:is>
          <x:t xml:space="preserve">functional-only</x:t>
        </x:is>
      </x:c>
      <x:c r="F242" s="12" t="inlineStr">
        <x:is>
          <x:t xml:space="preserve">independent nonprofit</x:t>
        </x:is>
      </x:c>
      <x:c r="G242" s="12" t="inlineStr">
        <x:is>
          <x:t xml:space="preserve">no</x:t>
        </x:is>
      </x:c>
      <x:c r="H242" s="12" t="inlineStr">
        <x:is>
          <x:t xml:space="preserve">frozen_candidate_not_selected</x:t>
        </x:is>
      </x:c>
      <x:c r="I242" s="12" t="inlineStr">
        <x:is>
          <x:t xml:space="preserve">not selected</x:t>
        </x:is>
      </x:c>
      <x:c r="J242" s="13" t="inlineStr">
        <x:is>
          <x:t xml:space="preserve">Frozen candidate; not promoted into the 144-organization quantitative reference set during this pass.</x:t>
        </x:is>
      </x:c>
      <x:c r="K242" s="12" t="inlineStr">
        <x:is>
          <x:t xml:space="preserve">not collected</x:t>
        </x:is>
      </x:c>
      <x:c r="L242" s="17" t="n"/>
    </x:row>
    <x:row r="243">
      <x:c r="A243" s="12" t="inlineStr">
        <x:is>
          <x:t xml:space="preserve">EXT2-079</x:t>
        </x:is>
      </x:c>
      <x:c r="B243" s="12" t="inlineStr">
        <x:is>
          <x:t xml:space="preserve">Institute for Nonprofit News</x:t>
        </x:is>
      </x:c>
      <x:c r="C243" s="12" t="inlineStr">
        <x:is>
          <x:t xml:space="preserve">extension2_new</x:t>
        </x:is>
      </x:c>
      <x:c r="D243" s="13" t="inlineStr">
        <x:is>
          <x:t xml:space="preserve">Open science, research infrastructure, and knowledge dissemination</x:t>
        </x:is>
      </x:c>
      <x:c r="E243" s="12" t="inlineStr">
        <x:is>
          <x:t xml:space="preserve">functional-only</x:t>
        </x:is>
      </x:c>
      <x:c r="F243" s="12" t="inlineStr">
        <x:is>
          <x:t xml:space="preserve">membership nonprofit</x:t>
        </x:is>
      </x:c>
      <x:c r="G243" s="12" t="inlineStr">
        <x:is>
          <x:t xml:space="preserve">no</x:t>
        </x:is>
      </x:c>
      <x:c r="H243" s="12" t="inlineStr">
        <x:is>
          <x:t xml:space="preserve">included</x:t>
        </x:is>
      </x:c>
      <x:c r="I243" s="12" t="inlineStr">
        <x:is>
          <x:t xml:space="preserve">Tier A</x:t>
        </x:is>
      </x:c>
      <x:c r="J243" s="13" t="inlineStr">
        <x:is>
          <x:t xml:space="preserve">Selected under frozen function/scale/EA/structure rules; compensation did not determine selection.</x:t>
        </x:is>
      </x:c>
      <x:c r="K243" s="12" t="inlineStr">
        <x:is>
          <x:t xml:space="preserve">primary</x:t>
        </x:is>
      </x:c>
      <x:c r="L243" s="17" t="n"/>
    </x:row>
    <x:row r="244">
      <x:c r="A244" s="12" t="inlineStr">
        <x:is>
          <x:t xml:space="preserve">EXT2-080</x:t>
        </x:is>
      </x:c>
      <x:c r="B244" s="12" t="inlineStr">
        <x:is>
          <x:t xml:space="preserve">ProPublica</x:t>
        </x:is>
      </x:c>
      <x:c r="C244" s="12" t="inlineStr">
        <x:is>
          <x:t xml:space="preserve">extension2_new</x:t>
        </x:is>
      </x:c>
      <x:c r="D244" s="13" t="inlineStr">
        <x:is>
          <x:t xml:space="preserve">Open science, research infrastructure, and knowledge dissemination</x:t>
        </x:is>
      </x:c>
      <x:c r="E244" s="12" t="inlineStr">
        <x:is>
          <x:t xml:space="preserve">functional-only</x:t>
        </x:is>
      </x:c>
      <x:c r="F244" s="12" t="inlineStr">
        <x:is>
          <x:t xml:space="preserve">independent nonprofit</x:t>
        </x:is>
      </x:c>
      <x:c r="G244" s="12" t="inlineStr">
        <x:is>
          <x:t xml:space="preserve">no</x:t>
        </x:is>
      </x:c>
      <x:c r="H244" s="12" t="inlineStr">
        <x:is>
          <x:t xml:space="preserve">frozen_candidate_not_selected</x:t>
        </x:is>
      </x:c>
      <x:c r="I244" s="12" t="inlineStr">
        <x:is>
          <x:t xml:space="preserve">not selected</x:t>
        </x:is>
      </x:c>
      <x:c r="J244" s="13" t="inlineStr">
        <x:is>
          <x:t xml:space="preserve">Frozen candidate; not promoted into the 144-organization quantitative reference set during this pass.</x:t>
        </x:is>
      </x:c>
      <x:c r="K244" s="12" t="inlineStr">
        <x:is>
          <x:t xml:space="preserve">not collected</x:t>
        </x:is>
      </x:c>
      <x:c r="L244" s="17" t="n"/>
    </x:row>
    <x:row r="245">
      <x:c r="A245" s="12" t="inlineStr">
        <x:is>
          <x:t xml:space="preserve">EXT2-081</x:t>
        </x:is>
      </x:c>
      <x:c r="B245" s="12" t="inlineStr">
        <x:is>
          <x:t xml:space="preserve">The Conversation US</x:t>
        </x:is>
      </x:c>
      <x:c r="C245" s="12" t="inlineStr">
        <x:is>
          <x:t xml:space="preserve">extension2_new</x:t>
        </x:is>
      </x:c>
      <x:c r="D245" s="13" t="inlineStr">
        <x:is>
          <x:t xml:space="preserve">Open science, research infrastructure, and knowledge dissemination</x:t>
        </x:is>
      </x:c>
      <x:c r="E245" s="12" t="inlineStr">
        <x:is>
          <x:t xml:space="preserve">functional-only</x:t>
        </x:is>
      </x:c>
      <x:c r="F245" s="12" t="inlineStr">
        <x:is>
          <x:t xml:space="preserve">independent nonprofit</x:t>
        </x:is>
      </x:c>
      <x:c r="G245" s="12" t="inlineStr">
        <x:is>
          <x:t xml:space="preserve">no</x:t>
        </x:is>
      </x:c>
      <x:c r="H245" s="12" t="inlineStr">
        <x:is>
          <x:t xml:space="preserve">frozen_candidate_not_selected</x:t>
        </x:is>
      </x:c>
      <x:c r="I245" s="12" t="inlineStr">
        <x:is>
          <x:t xml:space="preserve">not selected</x:t>
        </x:is>
      </x:c>
      <x:c r="J245" s="13" t="inlineStr">
        <x:is>
          <x:t xml:space="preserve">Frozen candidate; not promoted into the 144-organization quantitative reference set during this pass.</x:t>
        </x:is>
      </x:c>
      <x:c r="K245" s="12" t="inlineStr">
        <x:is>
          <x:t xml:space="preserve">not collected</x:t>
        </x:is>
      </x:c>
      <x:c r="L245" s="17" t="n"/>
    </x:row>
    <x:row r="246">
      <x:c r="A246" s="12" t="inlineStr">
        <x:is>
          <x:t xml:space="preserve">EXT2-082</x:t>
        </x:is>
      </x:c>
      <x:c r="B246" s="12" t="inlineStr">
        <x:is>
          <x:t xml:space="preserve">Center for Investigative Reporting</x:t>
        </x:is>
      </x:c>
      <x:c r="C246" s="12" t="inlineStr">
        <x:is>
          <x:t xml:space="preserve">extension2_new</x:t>
        </x:is>
      </x:c>
      <x:c r="D246" s="13" t="inlineStr">
        <x:is>
          <x:t xml:space="preserve">Open science, research infrastructure, and knowledge dissemination</x:t>
        </x:is>
      </x:c>
      <x:c r="E246" s="12" t="inlineStr">
        <x:is>
          <x:t xml:space="preserve">functional-only</x:t>
        </x:is>
      </x:c>
      <x:c r="F246" s="12" t="inlineStr">
        <x:is>
          <x:t xml:space="preserve">independent nonprofit</x:t>
        </x:is>
      </x:c>
      <x:c r="G246" s="12" t="inlineStr">
        <x:is>
          <x:t xml:space="preserve">no</x:t>
        </x:is>
      </x:c>
      <x:c r="H246" s="12" t="inlineStr">
        <x:is>
          <x:t xml:space="preserve">frozen_candidate_not_selected</x:t>
        </x:is>
      </x:c>
      <x:c r="I246" s="12" t="inlineStr">
        <x:is>
          <x:t xml:space="preserve">not selected</x:t>
        </x:is>
      </x:c>
      <x:c r="J246" s="13" t="inlineStr">
        <x:is>
          <x:t xml:space="preserve">Frozen candidate; not promoted into the 144-organization quantitative reference set during this pass.</x:t>
        </x:is>
      </x:c>
      <x:c r="K246" s="12" t="inlineStr">
        <x:is>
          <x:t xml:space="preserve">not collected</x:t>
        </x:is>
      </x:c>
      <x:c r="L246" s="17" t="n"/>
    </x:row>
    <x:row r="247">
      <x:c r="A247" s="12" t="inlineStr">
        <x:is>
          <x:t xml:space="preserve">EXT2-083</x:t>
        </x:is>
      </x:c>
      <x:c r="B247" s="12" t="inlineStr">
        <x:is>
          <x:t xml:space="preserve">News Revenue Hub</x:t>
        </x:is>
      </x:c>
      <x:c r="C247" s="12" t="inlineStr">
        <x:is>
          <x:t xml:space="preserve">extension2_new</x:t>
        </x:is>
      </x:c>
      <x:c r="D247" s="13" t="inlineStr">
        <x:is>
          <x:t xml:space="preserve">Research, evaluation, philanthropy infrastructure, and policy</x:t>
        </x:is>
      </x:c>
      <x:c r="E247" s="12" t="inlineStr">
        <x:is>
          <x:t xml:space="preserve">functional-only</x:t>
        </x:is>
      </x:c>
      <x:c r="F247" s="12" t="inlineStr">
        <x:is>
          <x:t xml:space="preserve">independent nonprofit</x:t>
        </x:is>
      </x:c>
      <x:c r="G247" s="12" t="inlineStr">
        <x:is>
          <x:t xml:space="preserve">no</x:t>
        </x:is>
      </x:c>
      <x:c r="H247" s="12" t="inlineStr">
        <x:is>
          <x:t xml:space="preserve">frozen_candidate_not_selected</x:t>
        </x:is>
      </x:c>
      <x:c r="I247" s="12" t="inlineStr">
        <x:is>
          <x:t xml:space="preserve">not selected</x:t>
        </x:is>
      </x:c>
      <x:c r="J247" s="13" t="inlineStr">
        <x:is>
          <x:t xml:space="preserve">Frozen candidate; not promoted into the 144-organization quantitative reference set during this pass.</x:t>
        </x:is>
      </x:c>
      <x:c r="K247" s="12" t="inlineStr">
        <x:is>
          <x:t xml:space="preserve">not collected</x:t>
        </x:is>
      </x:c>
      <x:c r="L247" s="17" t="n"/>
    </x:row>
    <x:row r="248">
      <x:c r="A248" s="12" t="inlineStr">
        <x:is>
          <x:t xml:space="preserve">EXT2-084</x:t>
        </x:is>
      </x:c>
      <x:c r="B248" s="12" t="inlineStr">
        <x:is>
          <x:t xml:space="preserve">GivingTuesday</x:t>
        </x:is>
      </x:c>
      <x:c r="C248" s="12" t="inlineStr">
        <x:is>
          <x:t xml:space="preserve">extension2_new</x:t>
        </x:is>
      </x:c>
      <x:c r="D248" s="12" t="inlineStr">
        <x:is>
          <x:t xml:space="preserve">EA infrastructure and effective giving</x:t>
        </x:is>
      </x:c>
      <x:c r="E248" s="12" t="inlineStr">
        <x:is>
          <x:t xml:space="preserve">EA-adjacent</x:t>
        </x:is>
      </x:c>
      <x:c r="F248" s="12" t="inlineStr">
        <x:is>
          <x:t xml:space="preserve">independent nonprofit</x:t>
        </x:is>
      </x:c>
      <x:c r="G248" s="12" t="inlineStr">
        <x:is>
          <x:t xml:space="preserve">no</x:t>
        </x:is>
      </x:c>
      <x:c r="H248" s="12" t="inlineStr">
        <x:is>
          <x:t xml:space="preserve">included</x:t>
        </x:is>
      </x:c>
      <x:c r="I248" s="12" t="inlineStr">
        <x:is>
          <x:t xml:space="preserve">Tier A</x:t>
        </x:is>
      </x:c>
      <x:c r="J248" s="13" t="inlineStr">
        <x:is>
          <x:t xml:space="preserve">Selected under frozen function/scale/EA/structure rules; compensation did not determine selection.</x:t>
        </x:is>
      </x:c>
      <x:c r="K248" s="12" t="inlineStr">
        <x:is>
          <x:t xml:space="preserve">primary</x:t>
        </x:is>
      </x:c>
      <x:c r="L248" s="17" t="n"/>
    </x:row>
    <x:row r="249">
      <x:c r="A249" s="12" t="inlineStr">
        <x:is>
          <x:t xml:space="preserve">EXT2-085</x:t>
        </x:is>
      </x:c>
      <x:c r="B249" s="12" t="inlineStr">
        <x:is>
          <x:t xml:space="preserve">New Profit</x:t>
        </x:is>
      </x:c>
      <x:c r="C249" s="12" t="inlineStr">
        <x:is>
          <x:t xml:space="preserve">extension2_new</x:t>
        </x:is>
      </x:c>
      <x:c r="D249" s="13" t="inlineStr">
        <x:is>
          <x:t xml:space="preserve">Research, evaluation, philanthropy infrastructure, and policy</x:t>
        </x:is>
      </x:c>
      <x:c r="E249" s="12" t="inlineStr">
        <x:is>
          <x:t xml:space="preserve">EA-adjacent</x:t>
        </x:is>
      </x:c>
      <x:c r="F249" s="12" t="inlineStr">
        <x:is>
          <x:t xml:space="preserve">public charity / grantmaker</x:t>
        </x:is>
      </x:c>
      <x:c r="G249" s="12" t="inlineStr">
        <x:is>
          <x:t xml:space="preserve">no</x:t>
        </x:is>
      </x:c>
      <x:c r="H249" s="12" t="inlineStr">
        <x:is>
          <x:t xml:space="preserve">frozen_candidate_not_selected</x:t>
        </x:is>
      </x:c>
      <x:c r="I249" s="12" t="inlineStr">
        <x:is>
          <x:t xml:space="preserve">not selected</x:t>
        </x:is>
      </x:c>
      <x:c r="J249" s="13" t="inlineStr">
        <x:is>
          <x:t xml:space="preserve">Frozen candidate; not promoted into the 144-organization quantitative reference set during this pass.</x:t>
        </x:is>
      </x:c>
      <x:c r="K249" s="12" t="inlineStr">
        <x:is>
          <x:t xml:space="preserve">not collected</x:t>
        </x:is>
      </x:c>
      <x:c r="L249" s="17" t="n"/>
    </x:row>
    <x:row r="250">
      <x:c r="A250" s="12" t="inlineStr">
        <x:is>
          <x:t xml:space="preserve">EXT2-086</x:t>
        </x:is>
      </x:c>
      <x:c r="B250" s="12" t="inlineStr">
        <x:is>
          <x:t xml:space="preserve">Common Future</x:t>
        </x:is>
      </x:c>
      <x:c r="C250" s="12" t="inlineStr">
        <x:is>
          <x:t xml:space="preserve">extension2_new</x:t>
        </x:is>
      </x:c>
      <x:c r="D250" s="13" t="inlineStr">
        <x:is>
          <x:t xml:space="preserve">Research, evaluation, philanthropy infrastructure, and policy</x:t>
        </x:is>
      </x:c>
      <x:c r="E250" s="12" t="inlineStr">
        <x:is>
          <x:t xml:space="preserve">functional-only</x:t>
        </x:is>
      </x:c>
      <x:c r="F250" s="12" t="inlineStr">
        <x:is>
          <x:t xml:space="preserve">independent nonprofit</x:t>
        </x:is>
      </x:c>
      <x:c r="G250" s="12" t="inlineStr">
        <x:is>
          <x:t xml:space="preserve">no</x:t>
        </x:is>
      </x:c>
      <x:c r="H250" s="12" t="inlineStr">
        <x:is>
          <x:t xml:space="preserve">frozen_candidate_not_selected</x:t>
        </x:is>
      </x:c>
      <x:c r="I250" s="12" t="inlineStr">
        <x:is>
          <x:t xml:space="preserve">not selected</x:t>
        </x:is>
      </x:c>
      <x:c r="J250" s="13" t="inlineStr">
        <x:is>
          <x:t xml:space="preserve">Frozen candidate; not promoted into the 144-organization quantitative reference set during this pass.</x:t>
        </x:is>
      </x:c>
      <x:c r="K250" s="12" t="inlineStr">
        <x:is>
          <x:t xml:space="preserve">not collected</x:t>
        </x:is>
      </x:c>
      <x:c r="L250" s="17" t="n"/>
    </x:row>
    <x:row r="251">
      <x:c r="A251" s="12" t="inlineStr">
        <x:is>
          <x:t xml:space="preserve">EXT2-087</x:t>
        </x:is>
      </x:c>
      <x:c r="B251" s="12" t="inlineStr">
        <x:is>
          <x:t xml:space="preserve">Creative Commons</x:t>
        </x:is>
      </x:c>
      <x:c r="C251" s="12" t="inlineStr">
        <x:is>
          <x:t xml:space="preserve">extension2_new</x:t>
        </x:is>
      </x:c>
      <x:c r="D251" s="13" t="inlineStr">
        <x:is>
          <x:t xml:space="preserve">Open science, research infrastructure, and knowledge dissemination</x:t>
        </x:is>
      </x:c>
      <x:c r="E251" s="12" t="inlineStr">
        <x:is>
          <x:t xml:space="preserve">EA-adjacent</x:t>
        </x:is>
      </x:c>
      <x:c r="F251" s="12" t="inlineStr">
        <x:is>
          <x:t xml:space="preserve">independent nonprofit</x:t>
        </x:is>
      </x:c>
      <x:c r="G251" s="12" t="inlineStr">
        <x:is>
          <x:t xml:space="preserve">no</x:t>
        </x:is>
      </x:c>
      <x:c r="H251" s="12" t="inlineStr">
        <x:is>
          <x:t xml:space="preserve">included</x:t>
        </x:is>
      </x:c>
      <x:c r="I251" s="12" t="inlineStr">
        <x:is>
          <x:t xml:space="preserve">Tier B</x:t>
        </x:is>
      </x:c>
      <x:c r="J251" s="13" t="inlineStr">
        <x:is>
          <x:t xml:space="preserve">Selected under frozen function/scale/EA/structure rules; compensation did not determine selection.</x:t>
        </x:is>
      </x:c>
      <x:c r="K251" s="12" t="inlineStr">
        <x:is>
          <x:t xml:space="preserve">primary</x:t>
        </x:is>
      </x:c>
      <x:c r="L251" s="17" t="n"/>
    </x:row>
    <x:row r="252">
      <x:c r="A252" s="12" t="inlineStr">
        <x:is>
          <x:t xml:space="preserve">EXT2-088</x:t>
        </x:is>
      </x:c>
      <x:c r="B252" s="12" t="inlineStr">
        <x:is>
          <x:t xml:space="preserve">Crossref</x:t>
        </x:is>
      </x:c>
      <x:c r="C252" s="12" t="inlineStr">
        <x:is>
          <x:t xml:space="preserve">extension2_new</x:t>
        </x:is>
      </x:c>
      <x:c r="D252" s="13" t="inlineStr">
        <x:is>
          <x:t xml:space="preserve">Open science, research infrastructure, and knowledge dissemination</x:t>
        </x:is>
      </x:c>
      <x:c r="E252" s="12" t="inlineStr">
        <x:is>
          <x:t xml:space="preserve">EA-adjacent</x:t>
        </x:is>
      </x:c>
      <x:c r="F252" s="12" t="inlineStr">
        <x:is>
          <x:t xml:space="preserve">membership nonprofit</x:t>
        </x:is>
      </x:c>
      <x:c r="G252" s="12" t="inlineStr">
        <x:is>
          <x:t xml:space="preserve">no</x:t>
        </x:is>
      </x:c>
      <x:c r="H252" s="12" t="inlineStr">
        <x:is>
          <x:t xml:space="preserve">frozen_candidate_not_selected</x:t>
        </x:is>
      </x:c>
      <x:c r="I252" s="12" t="inlineStr">
        <x:is>
          <x:t xml:space="preserve">not selected</x:t>
        </x:is>
      </x:c>
      <x:c r="J252" s="13" t="inlineStr">
        <x:is>
          <x:t xml:space="preserve">Frozen candidate; not promoted into the 144-organization quantitative reference set during this pass.</x:t>
        </x:is>
      </x:c>
      <x:c r="K252" s="12" t="inlineStr">
        <x:is>
          <x:t xml:space="preserve">not collected</x:t>
        </x:is>
      </x:c>
      <x:c r="L252" s="17" t="n"/>
    </x:row>
    <x:row r="253">
      <x:c r="A253" s="12" t="inlineStr">
        <x:is>
          <x:t xml:space="preserve">EXT2-089</x:t>
        </x:is>
      </x:c>
      <x:c r="B253" s="12" t="inlineStr">
        <x:is>
          <x:t xml:space="preserve">Internet Society Foundation</x:t>
        </x:is>
      </x:c>
      <x:c r="C253" s="12" t="inlineStr">
        <x:is>
          <x:t xml:space="preserve">extension2_new</x:t>
        </x:is>
      </x:c>
      <x:c r="D253" s="13" t="inlineStr">
        <x:is>
          <x:t xml:space="preserve">Open science, research infrastructure, and knowledge dissemination</x:t>
        </x:is>
      </x:c>
      <x:c r="E253" s="12" t="inlineStr">
        <x:is>
          <x:t xml:space="preserve">EA-adjacent</x:t>
        </x:is>
      </x:c>
      <x:c r="F253" s="12" t="inlineStr">
        <x:is>
          <x:t xml:space="preserve">public charity / grantmaker</x:t>
        </x:is>
      </x:c>
      <x:c r="G253" s="12" t="inlineStr">
        <x:is>
          <x:t xml:space="preserve">no</x:t>
        </x:is>
      </x:c>
      <x:c r="H253" s="12" t="inlineStr">
        <x:is>
          <x:t xml:space="preserve">frozen_candidate_not_selected</x:t>
        </x:is>
      </x:c>
      <x:c r="I253" s="12" t="inlineStr">
        <x:is>
          <x:t xml:space="preserve">not selected</x:t>
        </x:is>
      </x:c>
      <x:c r="J253" s="13" t="inlineStr">
        <x:is>
          <x:t xml:space="preserve">Frozen candidate; not promoted into the 144-organization quantitative reference set during this pass.</x:t>
        </x:is>
      </x:c>
      <x:c r="K253" s="12" t="inlineStr">
        <x:is>
          <x:t xml:space="preserve">not collected</x:t>
        </x:is>
      </x:c>
      <x:c r="L253" s="17" t="n"/>
    </x:row>
    <x:row r="254">
      <x:c r="A254" s="12" t="inlineStr">
        <x:is>
          <x:t xml:space="preserve">EXT2-090</x:t>
        </x:is>
      </x:c>
      <x:c r="B254" s="12" t="inlineStr">
        <x:is>
          <x:t xml:space="preserve">Wikimedia Foundation</x:t>
        </x:is>
      </x:c>
      <x:c r="C254" s="12" t="inlineStr">
        <x:is>
          <x:t xml:space="preserve">extension2_new</x:t>
        </x:is>
      </x:c>
      <x:c r="D254" s="13" t="inlineStr">
        <x:is>
          <x:t xml:space="preserve">Open science, research infrastructure, and knowledge dissemination</x:t>
        </x:is>
      </x:c>
      <x:c r="E254" s="12" t="inlineStr">
        <x:is>
          <x:t xml:space="preserve">EA-adjacent</x:t>
        </x:is>
      </x:c>
      <x:c r="F254" s="12" t="inlineStr">
        <x:is>
          <x:t xml:space="preserve">independent nonprofit</x:t>
        </x:is>
      </x:c>
      <x:c r="G254" s="12" t="inlineStr">
        <x:is>
          <x:t xml:space="preserve">no</x:t>
        </x:is>
      </x:c>
      <x:c r="H254" s="12" t="inlineStr">
        <x:is>
          <x:t xml:space="preserve">frozen_candidate_not_selected</x:t>
        </x:is>
      </x:c>
      <x:c r="I254" s="12" t="inlineStr">
        <x:is>
          <x:t xml:space="preserve">not selected</x:t>
        </x:is>
      </x:c>
      <x:c r="J254" s="13" t="inlineStr">
        <x:is>
          <x:t xml:space="preserve">Frozen candidate; not promoted into the 144-organization quantitative reference set during this pass.</x:t>
        </x:is>
      </x:c>
      <x:c r="K254" s="12" t="inlineStr">
        <x:is>
          <x:t xml:space="preserve">not collected</x:t>
        </x:is>
      </x:c>
      <x:c r="L254" s="17" t="n"/>
    </x:row>
    <x:row r="255">
      <x:c r="A255" s="12" t="inlineStr">
        <x:is>
          <x:t xml:space="preserve">EXT2-091</x:t>
        </x:is>
      </x:c>
      <x:c r="B255" s="12" t="inlineStr">
        <x:is>
          <x:t xml:space="preserve">The Markup</x:t>
        </x:is>
      </x:c>
      <x:c r="C255" s="12" t="inlineStr">
        <x:is>
          <x:t xml:space="preserve">extension2_new</x:t>
        </x:is>
      </x:c>
      <x:c r="D255" s="13" t="inlineStr">
        <x:is>
          <x:t xml:space="preserve">Open science, research infrastructure, and knowledge dissemination</x:t>
        </x:is>
      </x:c>
      <x:c r="E255" s="12" t="inlineStr">
        <x:is>
          <x:t xml:space="preserve">EA-adjacent</x:t>
        </x:is>
      </x:c>
      <x:c r="F255" s="12" t="inlineStr">
        <x:is>
          <x:t xml:space="preserve">independent nonprofit</x:t>
        </x:is>
      </x:c>
      <x:c r="G255" s="12" t="inlineStr">
        <x:is>
          <x:t xml:space="preserve">no</x:t>
        </x:is>
      </x:c>
      <x:c r="H255" s="12" t="inlineStr">
        <x:is>
          <x:t xml:space="preserve">frozen_candidate_not_selected</x:t>
        </x:is>
      </x:c>
      <x:c r="I255" s="12" t="inlineStr">
        <x:is>
          <x:t xml:space="preserve">not selected</x:t>
        </x:is>
      </x:c>
      <x:c r="J255" s="13" t="inlineStr">
        <x:is>
          <x:t xml:space="preserve">Frozen candidate; not promoted into the 144-organization quantitative reference set during this pass.</x:t>
        </x:is>
      </x:c>
      <x:c r="K255" s="12" t="inlineStr">
        <x:is>
          <x:t xml:space="preserve">not collected</x:t>
        </x:is>
      </x:c>
      <x:c r="L255" s="17" t="n"/>
    </x:row>
    <x:row r="256">
      <x:c r="A256" s="12" t="inlineStr">
        <x:is>
          <x:t xml:space="preserve">EXT2-092</x:t>
        </x:is>
      </x:c>
      <x:c r="B256" s="12" t="inlineStr">
        <x:is>
          <x:t xml:space="preserve">Center for Tech and Civic Life</x:t>
        </x:is>
      </x:c>
      <x:c r="C256" s="12" t="inlineStr">
        <x:is>
          <x:t xml:space="preserve">extension2_new</x:t>
        </x:is>
      </x:c>
      <x:c r="D256" s="13" t="inlineStr">
        <x:is>
          <x:t xml:space="preserve">Open science, research infrastructure, and knowledge dissemination</x:t>
        </x:is>
      </x:c>
      <x:c r="E256" s="12" t="inlineStr">
        <x:is>
          <x:t xml:space="preserve">EA-adjacent</x:t>
        </x:is>
      </x:c>
      <x:c r="F256" s="12" t="inlineStr">
        <x:is>
          <x:t xml:space="preserve">independent nonprofit</x:t>
        </x:is>
      </x:c>
      <x:c r="G256" s="12" t="inlineStr">
        <x:is>
          <x:t xml:space="preserve">no</x:t>
        </x:is>
      </x:c>
      <x:c r="H256" s="12" t="inlineStr">
        <x:is>
          <x:t xml:space="preserve">frozen_candidate_not_selected</x:t>
        </x:is>
      </x:c>
      <x:c r="I256" s="12" t="inlineStr">
        <x:is>
          <x:t xml:space="preserve">not selected</x:t>
        </x:is>
      </x:c>
      <x:c r="J256" s="13" t="inlineStr">
        <x:is>
          <x:t xml:space="preserve">Frozen candidate; not promoted into the 144-organization quantitative reference set during this pass.</x:t>
        </x:is>
      </x:c>
      <x:c r="K256" s="12" t="inlineStr">
        <x:is>
          <x:t xml:space="preserve">not collected</x:t>
        </x:is>
      </x:c>
      <x:c r="L256" s="17" t="n"/>
    </x:row>
    <x:row r="257">
      <x:c r="A257" s="12" t="inlineStr">
        <x:is>
          <x:t xml:space="preserve">EXT2-093</x:t>
        </x:is>
      </x:c>
      <x:c r="B257" s="12" t="inlineStr">
        <x:is>
          <x:t xml:space="preserve">American Institute of Biological Sciences</x:t>
        </x:is>
      </x:c>
      <x:c r="C257" s="12" t="inlineStr">
        <x:is>
          <x:t xml:space="preserve">extension2_new</x:t>
        </x:is>
      </x:c>
      <x:c r="D257" s="13" t="inlineStr">
        <x:is>
          <x:t xml:space="preserve">Open science, research infrastructure, and knowledge dissemination</x:t>
        </x:is>
      </x:c>
      <x:c r="E257" s="12" t="inlineStr">
        <x:is>
          <x:t xml:space="preserve">functional-only</x:t>
        </x:is>
      </x:c>
      <x:c r="F257" s="12" t="inlineStr">
        <x:is>
          <x:t xml:space="preserve">membership nonprofit</x:t>
        </x:is>
      </x:c>
      <x:c r="G257" s="12" t="inlineStr">
        <x:is>
          <x:t xml:space="preserve">no</x:t>
        </x:is>
      </x:c>
      <x:c r="H257" s="12" t="inlineStr">
        <x:is>
          <x:t xml:space="preserve">frozen_candidate_not_selected</x:t>
        </x:is>
      </x:c>
      <x:c r="I257" s="12" t="inlineStr">
        <x:is>
          <x:t xml:space="preserve">not selected</x:t>
        </x:is>
      </x:c>
      <x:c r="J257" s="13" t="inlineStr">
        <x:is>
          <x:t xml:space="preserve">Frozen candidate; not promoted into the 144-organization quantitative reference set during this pass.</x:t>
        </x:is>
      </x:c>
      <x:c r="K257" s="12" t="inlineStr">
        <x:is>
          <x:t xml:space="preserve">not collected</x:t>
        </x:is>
      </x:c>
      <x:c r="L257" s="17" t="n"/>
    </x:row>
    <x:row r="258">
      <x:c r="A258" s="12" t="inlineStr">
        <x:is>
          <x:t xml:space="preserve">EXT2-094</x:t>
        </x:is>
      </x:c>
      <x:c r="B258" s="12" t="inlineStr">
        <x:is>
          <x:t xml:space="preserve">National Center for Science Education</x:t>
        </x:is>
      </x:c>
      <x:c r="C258" s="12" t="inlineStr">
        <x:is>
          <x:t xml:space="preserve">extension2_new</x:t>
        </x:is>
      </x:c>
      <x:c r="D258" s="13" t="inlineStr">
        <x:is>
          <x:t xml:space="preserve">Open science, research infrastructure, and knowledge dissemination</x:t>
        </x:is>
      </x:c>
      <x:c r="E258" s="12" t="inlineStr">
        <x:is>
          <x:t xml:space="preserve">functional-only</x:t>
        </x:is>
      </x:c>
      <x:c r="F258" s="12" t="inlineStr">
        <x:is>
          <x:t xml:space="preserve">independent nonprofit</x:t>
        </x:is>
      </x:c>
      <x:c r="G258" s="12" t="inlineStr">
        <x:is>
          <x:t xml:space="preserve">no</x:t>
        </x:is>
      </x:c>
      <x:c r="H258" s="12" t="inlineStr">
        <x:is>
          <x:t xml:space="preserve">frozen_candidate_not_selected</x:t>
        </x:is>
      </x:c>
      <x:c r="I258" s="12" t="inlineStr">
        <x:is>
          <x:t xml:space="preserve">not selected</x:t>
        </x:is>
      </x:c>
      <x:c r="J258" s="13" t="inlineStr">
        <x:is>
          <x:t xml:space="preserve">Frozen candidate; not promoted into the 144-organization quantitative reference set during this pass.</x:t>
        </x:is>
      </x:c>
      <x:c r="K258" s="12" t="inlineStr">
        <x:is>
          <x:t xml:space="preserve">not collected</x:t>
        </x:is>
      </x:c>
      <x:c r="L258" s="17" t="n"/>
    </x:row>
    <x:row r="259">
      <x:c r="A259" s="12" t="inlineStr">
        <x:is>
          <x:t xml:space="preserve">EXT2-095</x:t>
        </x:is>
      </x:c>
      <x:c r="B259" s="12" t="inlineStr">
        <x:is>
          <x:t xml:space="preserve">Research Data Alliance US</x:t>
        </x:is>
      </x:c>
      <x:c r="C259" s="12" t="inlineStr">
        <x:is>
          <x:t xml:space="preserve">extension2_new</x:t>
        </x:is>
      </x:c>
      <x:c r="D259" s="13" t="inlineStr">
        <x:is>
          <x:t xml:space="preserve">Open science, research infrastructure, and knowledge dissemination</x:t>
        </x:is>
      </x:c>
      <x:c r="E259" s="12" t="inlineStr">
        <x:is>
          <x:t xml:space="preserve">functional-only</x:t>
        </x:is>
      </x:c>
      <x:c r="F259" s="12" t="inlineStr">
        <x:is>
          <x:t xml:space="preserve">nonprofit/project</x:t>
        </x:is>
      </x:c>
      <x:c r="G259" s="12" t="inlineStr">
        <x:is>
          <x:t xml:space="preserve">no</x:t>
        </x:is>
      </x:c>
      <x:c r="H259" s="12" t="inlineStr">
        <x:is>
          <x:t xml:space="preserve">frozen_candidate_not_selected</x:t>
        </x:is>
      </x:c>
      <x:c r="I259" s="12" t="inlineStr">
        <x:is>
          <x:t xml:space="preserve">not selected</x:t>
        </x:is>
      </x:c>
      <x:c r="J259" s="13" t="inlineStr">
        <x:is>
          <x:t xml:space="preserve">Frozen candidate; not promoted into the 144-organization quantitative reference set during this pass.</x:t>
        </x:is>
      </x:c>
      <x:c r="K259" s="12" t="inlineStr">
        <x:is>
          <x:t xml:space="preserve">not collected</x:t>
        </x:is>
      </x:c>
      <x:c r="L259" s="17" t="n"/>
    </x:row>
    <x:row r="260">
      <x:c r="A260" s="12" t="inlineStr">
        <x:is>
          <x:t xml:space="preserve">EXT2-096</x:t>
        </x:is>
      </x:c>
      <x:c r="B260" s="12" t="inlineStr">
        <x:is>
          <x:t xml:space="preserve">OurResearch</x:t>
        </x:is>
      </x:c>
      <x:c r="C260" s="12" t="inlineStr">
        <x:is>
          <x:t xml:space="preserve">extension2_new</x:t>
        </x:is>
      </x:c>
      <x:c r="D260" s="13" t="inlineStr">
        <x:is>
          <x:t xml:space="preserve">Open science, research infrastructure, and knowledge dissemination</x:t>
        </x:is>
      </x:c>
      <x:c r="E260" s="12" t="inlineStr">
        <x:is>
          <x:t xml:space="preserve">EA-adjacent</x:t>
        </x:is>
      </x:c>
      <x:c r="F260" s="12" t="inlineStr">
        <x:is>
          <x:t xml:space="preserve">independent nonprofit</x:t>
        </x:is>
      </x:c>
      <x:c r="G260" s="12" t="inlineStr">
        <x:is>
          <x:t xml:space="preserve">no</x:t>
        </x:is>
      </x:c>
      <x:c r="H260" s="12" t="inlineStr">
        <x:is>
          <x:t xml:space="preserve">frozen_candidate_not_selected</x:t>
        </x:is>
      </x:c>
      <x:c r="I260" s="12" t="inlineStr">
        <x:is>
          <x:t xml:space="preserve">not selected</x:t>
        </x:is>
      </x:c>
      <x:c r="J260" s="13" t="inlineStr">
        <x:is>
          <x:t xml:space="preserve">Frozen candidate; not promoted into the 144-organization quantitative reference set during this pass.</x:t>
        </x:is>
      </x:c>
      <x:c r="K260" s="12" t="inlineStr">
        <x:is>
          <x:t xml:space="preserve">not collected</x:t>
        </x:is>
      </x:c>
      <x:c r="L260" s="17" t="n"/>
    </x:row>
    <x:row r="261">
      <x:c r="A261" s="12" t="inlineStr">
        <x:is>
          <x:t xml:space="preserve">EXT2-097</x:t>
        </x:is>
      </x:c>
      <x:c r="B261" s="12" t="inlineStr">
        <x:is>
          <x:t xml:space="preserve">Dryad</x:t>
        </x:is>
      </x:c>
      <x:c r="C261" s="12" t="inlineStr">
        <x:is>
          <x:t xml:space="preserve">extension2_new</x:t>
        </x:is>
      </x:c>
      <x:c r="D261" s="13" t="inlineStr">
        <x:is>
          <x:t xml:space="preserve">Open science, research infrastructure, and knowledge dissemination</x:t>
        </x:is>
      </x:c>
      <x:c r="E261" s="12" t="inlineStr">
        <x:is>
          <x:t xml:space="preserve">EA-adjacent</x:t>
        </x:is>
      </x:c>
      <x:c r="F261" s="12" t="inlineStr">
        <x:is>
          <x:t xml:space="preserve">membership nonprofit</x:t>
        </x:is>
      </x:c>
      <x:c r="G261" s="12" t="inlineStr">
        <x:is>
          <x:t xml:space="preserve">no</x:t>
        </x:is>
      </x:c>
      <x:c r="H261" s="12" t="inlineStr">
        <x:is>
          <x:t xml:space="preserve">frozen_candidate_not_selected</x:t>
        </x:is>
      </x:c>
      <x:c r="I261" s="12" t="inlineStr">
        <x:is>
          <x:t xml:space="preserve">not selected</x:t>
        </x:is>
      </x:c>
      <x:c r="J261" s="13" t="inlineStr">
        <x:is>
          <x:t xml:space="preserve">Frozen candidate; not promoted into the 144-organization quantitative reference set during this pass.</x:t>
        </x:is>
      </x:c>
      <x:c r="K261" s="12" t="inlineStr">
        <x:is>
          <x:t xml:space="preserve">not collected</x:t>
        </x:is>
      </x:c>
      <x:c r="L261" s="17" t="n"/>
    </x:row>
    <x:row r="262">
      <x:c r="A262" s="12" t="inlineStr">
        <x:is>
          <x:t xml:space="preserve">EXT2-098</x:t>
        </x:is>
      </x:c>
      <x:c r="B262" s="12" t="inlineStr">
        <x:is>
          <x:t xml:space="preserve">Society for Science</x:t>
        </x:is>
      </x:c>
      <x:c r="C262" s="12" t="inlineStr">
        <x:is>
          <x:t xml:space="preserve">extension2_new</x:t>
        </x:is>
      </x:c>
      <x:c r="D262" s="13" t="inlineStr">
        <x:is>
          <x:t xml:space="preserve">Open science, research infrastructure, and knowledge dissemination</x:t>
        </x:is>
      </x:c>
      <x:c r="E262" s="12" t="inlineStr">
        <x:is>
          <x:t xml:space="preserve">functional-only</x:t>
        </x:is>
      </x:c>
      <x:c r="F262" s="12" t="inlineStr">
        <x:is>
          <x:t xml:space="preserve">independent nonprofit</x:t>
        </x:is>
      </x:c>
      <x:c r="G262" s="12" t="inlineStr">
        <x:is>
          <x:t xml:space="preserve">no</x:t>
        </x:is>
      </x:c>
      <x:c r="H262" s="12" t="inlineStr">
        <x:is>
          <x:t xml:space="preserve">frozen_candidate_not_selected</x:t>
        </x:is>
      </x:c>
      <x:c r="I262" s="12" t="inlineStr">
        <x:is>
          <x:t xml:space="preserve">not selected</x:t>
        </x:is>
      </x:c>
      <x:c r="J262" s="13" t="inlineStr">
        <x:is>
          <x:t xml:space="preserve">Frozen candidate; not promoted into the 144-organization quantitative reference set during this pass.</x:t>
        </x:is>
      </x:c>
      <x:c r="K262" s="12" t="inlineStr">
        <x:is>
          <x:t xml:space="preserve">not collected</x:t>
        </x:is>
      </x:c>
      <x:c r="L262" s="17" t="n"/>
    </x:row>
    <x:row r="263">
      <x:c r="A263" s="12" t="inlineStr">
        <x:is>
          <x:t xml:space="preserve">EXT2-099</x:t>
        </x:is>
      </x:c>
      <x:c r="B263" s="12" t="inlineStr">
        <x:is>
          <x:t xml:space="preserve">Climate Central</x:t>
        </x:is>
      </x:c>
      <x:c r="C263" s="12" t="inlineStr">
        <x:is>
          <x:t xml:space="preserve">extension2_new</x:t>
        </x:is>
      </x:c>
      <x:c r="D263" s="12" t="inlineStr">
        <x:is>
          <x:t xml:space="preserve">Climate, environment, and evidence</x:t>
        </x:is>
      </x:c>
      <x:c r="E263" s="12" t="inlineStr">
        <x:is>
          <x:t xml:space="preserve">EA-adjacent</x:t>
        </x:is>
      </x:c>
      <x:c r="F263" s="12" t="inlineStr">
        <x:is>
          <x:t xml:space="preserve">independent nonprofit</x:t>
        </x:is>
      </x:c>
      <x:c r="G263" s="12" t="inlineStr">
        <x:is>
          <x:t xml:space="preserve">no</x:t>
        </x:is>
      </x:c>
      <x:c r="H263" s="12" t="inlineStr">
        <x:is>
          <x:t xml:space="preserve">included</x:t>
        </x:is>
      </x:c>
      <x:c r="I263" s="12" t="inlineStr">
        <x:is>
          <x:t xml:space="preserve">Tier A</x:t>
        </x:is>
      </x:c>
      <x:c r="J263" s="13" t="inlineStr">
        <x:is>
          <x:t xml:space="preserve">Selected under frozen function/scale/EA/structure rules; compensation did not determine selection.</x:t>
        </x:is>
      </x:c>
      <x:c r="K263" s="12" t="inlineStr">
        <x:is>
          <x:t xml:space="preserve">primary</x:t>
        </x:is>
      </x:c>
      <x:c r="L263" s="17" t="n"/>
    </x:row>
    <x:row r="264">
      <x:c r="A264" s="12" t="inlineStr">
        <x:is>
          <x:t xml:space="preserve">EXT2-100</x:t>
        </x:is>
      </x:c>
      <x:c r="B264" s="12" t="inlineStr">
        <x:is>
          <x:t xml:space="preserve">Breakthrough Institute</x:t>
        </x:is>
      </x:c>
      <x:c r="C264" s="12" t="inlineStr">
        <x:is>
          <x:t xml:space="preserve">extension2_new</x:t>
        </x:is>
      </x:c>
      <x:c r="D264" s="12" t="inlineStr">
        <x:is>
          <x:t xml:space="preserve">Climate, environment, and evidence</x:t>
        </x:is>
      </x:c>
      <x:c r="E264" s="12" t="inlineStr">
        <x:is>
          <x:t xml:space="preserve">EA-adjacent</x:t>
        </x:is>
      </x:c>
      <x:c r="F264" s="12" t="inlineStr">
        <x:is>
          <x:t xml:space="preserve">independent nonprofit</x:t>
        </x:is>
      </x:c>
      <x:c r="G264" s="12" t="inlineStr">
        <x:is>
          <x:t xml:space="preserve">no</x:t>
        </x:is>
      </x:c>
      <x:c r="H264" s="12" t="inlineStr">
        <x:is>
          <x:t xml:space="preserve">included</x:t>
        </x:is>
      </x:c>
      <x:c r="I264" s="12" t="inlineStr">
        <x:is>
          <x:t xml:space="preserve">Tier A</x:t>
        </x:is>
      </x:c>
      <x:c r="J264" s="13" t="inlineStr">
        <x:is>
          <x:t xml:space="preserve">Selected under frozen function/scale/EA/structure rules; compensation did not determine selection.</x:t>
        </x:is>
      </x:c>
      <x:c r="K264" s="12" t="inlineStr">
        <x:is>
          <x:t xml:space="preserve">primary</x:t>
        </x:is>
      </x:c>
      <x:c r="L264" s="17" t="n"/>
    </x:row>
    <x:row r="265">
      <x:c r="A265" s="12" t="inlineStr">
        <x:is>
          <x:t xml:space="preserve">EXT2-101</x:t>
        </x:is>
      </x:c>
      <x:c r="B265" s="12" t="inlineStr">
        <x:is>
          <x:t xml:space="preserve">Carbon180</x:t>
        </x:is>
      </x:c>
      <x:c r="C265" s="12" t="inlineStr">
        <x:is>
          <x:t xml:space="preserve">extension2_new</x:t>
        </x:is>
      </x:c>
      <x:c r="D265" s="12" t="inlineStr">
        <x:is>
          <x:t xml:space="preserve">Climate, environment, and evidence</x:t>
        </x:is>
      </x:c>
      <x:c r="E265" s="12" t="inlineStr">
        <x:is>
          <x:t xml:space="preserve">EA-adjacent</x:t>
        </x:is>
      </x:c>
      <x:c r="F265" s="12" t="inlineStr">
        <x:is>
          <x:t xml:space="preserve">independent nonprofit</x:t>
        </x:is>
      </x:c>
      <x:c r="G265" s="12" t="inlineStr">
        <x:is>
          <x:t xml:space="preserve">no</x:t>
        </x:is>
      </x:c>
      <x:c r="H265" s="12" t="inlineStr">
        <x:is>
          <x:t xml:space="preserve">frozen_candidate_not_selected</x:t>
        </x:is>
      </x:c>
      <x:c r="I265" s="12" t="inlineStr">
        <x:is>
          <x:t xml:space="preserve">not selected</x:t>
        </x:is>
      </x:c>
      <x:c r="J265" s="13" t="inlineStr">
        <x:is>
          <x:t xml:space="preserve">Frozen candidate; not promoted into the 144-organization quantitative reference set during this pass.</x:t>
        </x:is>
      </x:c>
      <x:c r="K265" s="12" t="inlineStr">
        <x:is>
          <x:t xml:space="preserve">not collected</x:t>
        </x:is>
      </x:c>
      <x:c r="L265" s="17" t="n"/>
    </x:row>
    <x:row r="266">
      <x:c r="A266" s="12" t="inlineStr">
        <x:is>
          <x:t xml:space="preserve">EXT2-102</x:t>
        </x:is>
      </x:c>
      <x:c r="B266" s="12" t="inlineStr">
        <x:is>
          <x:t xml:space="preserve">Center for Climate and Energy Solutions</x:t>
        </x:is>
      </x:c>
      <x:c r="C266" s="12" t="inlineStr">
        <x:is>
          <x:t xml:space="preserve">extension2_new</x:t>
        </x:is>
      </x:c>
      <x:c r="D266" s="12" t="inlineStr">
        <x:is>
          <x:t xml:space="preserve">Climate, environment, and evidence</x:t>
        </x:is>
      </x:c>
      <x:c r="E266" s="12" t="inlineStr">
        <x:is>
          <x:t xml:space="preserve">EA-adjacent</x:t>
        </x:is>
      </x:c>
      <x:c r="F266" s="12" t="inlineStr">
        <x:is>
          <x:t xml:space="preserve">independent nonprofit</x:t>
        </x:is>
      </x:c>
      <x:c r="G266" s="12" t="inlineStr">
        <x:is>
          <x:t xml:space="preserve">no</x:t>
        </x:is>
      </x:c>
      <x:c r="H266" s="12" t="inlineStr">
        <x:is>
          <x:t xml:space="preserve">included</x:t>
        </x:is>
      </x:c>
      <x:c r="I266" s="12" t="inlineStr">
        <x:is>
          <x:t xml:space="preserve">Tier A</x:t>
        </x:is>
      </x:c>
      <x:c r="J266" s="13" t="inlineStr">
        <x:is>
          <x:t xml:space="preserve">Selected under frozen function/scale/EA/structure rules; compensation did not determine selection.</x:t>
        </x:is>
      </x:c>
      <x:c r="K266" s="12" t="inlineStr">
        <x:is>
          <x:t xml:space="preserve">primary_with_structure_flag</x:t>
        </x:is>
      </x:c>
      <x:c r="L266" s="17" t="n"/>
    </x:row>
    <x:row r="267">
      <x:c r="A267" s="12" t="inlineStr">
        <x:is>
          <x:t xml:space="preserve">EXT2-103</x:t>
        </x:is>
      </x:c>
      <x:c r="B267" s="12" t="inlineStr">
        <x:is>
          <x:t xml:space="preserve">Clean Air Task Force</x:t>
        </x:is>
      </x:c>
      <x:c r="C267" s="12" t="inlineStr">
        <x:is>
          <x:t xml:space="preserve">extension2_new</x:t>
        </x:is>
      </x:c>
      <x:c r="D267" s="12" t="inlineStr">
        <x:is>
          <x:t xml:space="preserve">Climate, environment, and evidence</x:t>
        </x:is>
      </x:c>
      <x:c r="E267" s="12" t="inlineStr">
        <x:is>
          <x:t xml:space="preserve">EA-adjacent</x:t>
        </x:is>
      </x:c>
      <x:c r="F267" s="12" t="inlineStr">
        <x:is>
          <x:t xml:space="preserve">independent nonprofit</x:t>
        </x:is>
      </x:c>
      <x:c r="G267" s="12" t="inlineStr">
        <x:is>
          <x:t xml:space="preserve">no</x:t>
        </x:is>
      </x:c>
      <x:c r="H267" s="12" t="inlineStr">
        <x:is>
          <x:t xml:space="preserve">included</x:t>
        </x:is>
      </x:c>
      <x:c r="I267" s="12" t="inlineStr">
        <x:is>
          <x:t xml:space="preserve">Tier C</x:t>
        </x:is>
      </x:c>
      <x:c r="J267" s="13" t="inlineStr">
        <x:is>
          <x:t xml:space="preserve">Selected under frozen function/scale/EA/structure rules; compensation did not determine selection.</x:t>
        </x:is>
      </x:c>
      <x:c r="K267" s="12" t="inlineStr">
        <x:is>
          <x:t xml:space="preserve">primary_with_structure_flag</x:t>
        </x:is>
      </x:c>
      <x:c r="L267" s="17" t="n"/>
    </x:row>
    <x:row r="268">
      <x:c r="A268" s="12" t="inlineStr">
        <x:is>
          <x:t xml:space="preserve">EXT2-104</x:t>
        </x:is>
      </x:c>
      <x:c r="B268" s="12" t="inlineStr">
        <x:is>
          <x:t xml:space="preserve">Union of Concerned Scientists</x:t>
        </x:is>
      </x:c>
      <x:c r="C268" s="12" t="inlineStr">
        <x:is>
          <x:t xml:space="preserve">extension2_new</x:t>
        </x:is>
      </x:c>
      <x:c r="D268" s="12" t="inlineStr">
        <x:is>
          <x:t xml:space="preserve">Climate, environment, and evidence</x:t>
        </x:is>
      </x:c>
      <x:c r="E268" s="12" t="inlineStr">
        <x:is>
          <x:t xml:space="preserve">EA-adjacent</x:t>
        </x:is>
      </x:c>
      <x:c r="F268" s="12" t="inlineStr">
        <x:is>
          <x:t xml:space="preserve">independent nonprofit</x:t>
        </x:is>
      </x:c>
      <x:c r="G268" s="12" t="inlineStr">
        <x:is>
          <x:t xml:space="preserve">no</x:t>
        </x:is>
      </x:c>
      <x:c r="H268" s="12" t="inlineStr">
        <x:is>
          <x:t xml:space="preserve">frozen_candidate_not_selected</x:t>
        </x:is>
      </x:c>
      <x:c r="I268" s="12" t="inlineStr">
        <x:is>
          <x:t xml:space="preserve">not selected</x:t>
        </x:is>
      </x:c>
      <x:c r="J268" s="13" t="inlineStr">
        <x:is>
          <x:t xml:space="preserve">Frozen candidate; not promoted into the 144-organization quantitative reference set during this pass.</x:t>
        </x:is>
      </x:c>
      <x:c r="K268" s="12" t="inlineStr">
        <x:is>
          <x:t xml:space="preserve">not collected</x:t>
        </x:is>
      </x:c>
      <x:c r="L268" s="17" t="n"/>
    </x:row>
    <x:row r="269">
      <x:c r="A269" s="12" t="inlineStr">
        <x:is>
          <x:t xml:space="preserve">EXT2-105</x:t>
        </x:is>
      </x:c>
      <x:c r="B269" s="12" t="inlineStr">
        <x:is>
          <x:t xml:space="preserve">Rocky Mountain Institute</x:t>
        </x:is>
      </x:c>
      <x:c r="C269" s="12" t="inlineStr">
        <x:is>
          <x:t xml:space="preserve">extension2_new</x:t>
        </x:is>
      </x:c>
      <x:c r="D269" s="12" t="inlineStr">
        <x:is>
          <x:t xml:space="preserve">Climate, environment, and evidence</x:t>
        </x:is>
      </x:c>
      <x:c r="E269" s="12" t="inlineStr">
        <x:is>
          <x:t xml:space="preserve">EA-adjacent</x:t>
        </x:is>
      </x:c>
      <x:c r="F269" s="12" t="inlineStr">
        <x:is>
          <x:t xml:space="preserve">independent nonprofit</x:t>
        </x:is>
      </x:c>
      <x:c r="G269" s="12" t="inlineStr">
        <x:is>
          <x:t xml:space="preserve">no</x:t>
        </x:is>
      </x:c>
      <x:c r="H269" s="12" t="inlineStr">
        <x:is>
          <x:t xml:space="preserve">frozen_candidate_not_selected</x:t>
        </x:is>
      </x:c>
      <x:c r="I269" s="12" t="inlineStr">
        <x:is>
          <x:t xml:space="preserve">not selected</x:t>
        </x:is>
      </x:c>
      <x:c r="J269" s="13" t="inlineStr">
        <x:is>
          <x:t xml:space="preserve">Frozen candidate; not promoted into the 144-organization quantitative reference set during this pass.</x:t>
        </x:is>
      </x:c>
      <x:c r="K269" s="12" t="inlineStr">
        <x:is>
          <x:t xml:space="preserve">not collected</x:t>
        </x:is>
      </x:c>
      <x:c r="L269" s="17" t="n"/>
    </x:row>
    <x:row r="270">
      <x:c r="A270" s="12" t="inlineStr">
        <x:is>
          <x:t xml:space="preserve">EXT2-106</x:t>
        </x:is>
      </x:c>
      <x:c r="B270" s="12" t="inlineStr">
        <x:is>
          <x:t xml:space="preserve">Climate Policy Initiative</x:t>
        </x:is>
      </x:c>
      <x:c r="C270" s="12" t="inlineStr">
        <x:is>
          <x:t xml:space="preserve">extension2_new</x:t>
        </x:is>
      </x:c>
      <x:c r="D270" s="12" t="inlineStr">
        <x:is>
          <x:t xml:space="preserve">Climate, environment, and evidence</x:t>
        </x:is>
      </x:c>
      <x:c r="E270" s="12" t="inlineStr">
        <x:is>
          <x:t xml:space="preserve">EA-adjacent</x:t>
        </x:is>
      </x:c>
      <x:c r="F270" s="12" t="inlineStr">
        <x:is>
          <x:t xml:space="preserve">independent nonprofit</x:t>
        </x:is>
      </x:c>
      <x:c r="G270" s="12" t="inlineStr">
        <x:is>
          <x:t xml:space="preserve">no</x:t>
        </x:is>
      </x:c>
      <x:c r="H270" s="12" t="inlineStr">
        <x:is>
          <x:t xml:space="preserve">frozen_candidate_not_selected</x:t>
        </x:is>
      </x:c>
      <x:c r="I270" s="12" t="inlineStr">
        <x:is>
          <x:t xml:space="preserve">not selected</x:t>
        </x:is>
      </x:c>
      <x:c r="J270" s="13" t="inlineStr">
        <x:is>
          <x:t xml:space="preserve">Frozen candidate; not promoted into the 144-organization quantitative reference set during this pass.</x:t>
        </x:is>
      </x:c>
      <x:c r="K270" s="12" t="inlineStr">
        <x:is>
          <x:t xml:space="preserve">not collected</x:t>
        </x:is>
      </x:c>
      <x:c r="L270" s="17" t="n"/>
    </x:row>
    <x:row r="271">
      <x:c r="A271" s="12" t="inlineStr">
        <x:is>
          <x:t xml:space="preserve">EXT2-107</x:t>
        </x:is>
      </x:c>
      <x:c r="B271" s="12" t="inlineStr">
        <x:is>
          <x:t xml:space="preserve">Climate Leadership Council</x:t>
        </x:is>
      </x:c>
      <x:c r="C271" s="12" t="inlineStr">
        <x:is>
          <x:t xml:space="preserve">extension2_new</x:t>
        </x:is>
      </x:c>
      <x:c r="D271" s="12" t="inlineStr">
        <x:is>
          <x:t xml:space="preserve">Climate, environment, and evidence</x:t>
        </x:is>
      </x:c>
      <x:c r="E271" s="12" t="inlineStr">
        <x:is>
          <x:t xml:space="preserve">functional-only</x:t>
        </x:is>
      </x:c>
      <x:c r="F271" s="12" t="inlineStr">
        <x:is>
          <x:t xml:space="preserve">independent nonprofit</x:t>
        </x:is>
      </x:c>
      <x:c r="G271" s="12" t="inlineStr">
        <x:is>
          <x:t xml:space="preserve">no</x:t>
        </x:is>
      </x:c>
      <x:c r="H271" s="12" t="inlineStr">
        <x:is>
          <x:t xml:space="preserve">frozen_candidate_not_selected</x:t>
        </x:is>
      </x:c>
      <x:c r="I271" s="12" t="inlineStr">
        <x:is>
          <x:t xml:space="preserve">not selected</x:t>
        </x:is>
      </x:c>
      <x:c r="J271" s="13" t="inlineStr">
        <x:is>
          <x:t xml:space="preserve">Frozen candidate; not promoted into the 144-organization quantitative reference set during this pass.</x:t>
        </x:is>
      </x:c>
      <x:c r="K271" s="12" t="inlineStr">
        <x:is>
          <x:t xml:space="preserve">not collected</x:t>
        </x:is>
      </x:c>
      <x:c r="L271" s="17" t="n"/>
    </x:row>
    <x:row r="272">
      <x:c r="A272" s="12" t="inlineStr">
        <x:is>
          <x:t xml:space="preserve">EXT2-108</x:t>
        </x:is>
      </x:c>
      <x:c r="B272" s="12" t="inlineStr">
        <x:is>
          <x:t xml:space="preserve">The Climate Reality Project</x:t>
        </x:is>
      </x:c>
      <x:c r="C272" s="12" t="inlineStr">
        <x:is>
          <x:t xml:space="preserve">extension2_new</x:t>
        </x:is>
      </x:c>
      <x:c r="D272" s="12" t="inlineStr">
        <x:is>
          <x:t xml:space="preserve">Climate, environment, and evidence</x:t>
        </x:is>
      </x:c>
      <x:c r="E272" s="12" t="inlineStr">
        <x:is>
          <x:t xml:space="preserve">functional-only</x:t>
        </x:is>
      </x:c>
      <x:c r="F272" s="12" t="inlineStr">
        <x:is>
          <x:t xml:space="preserve">independent nonprofit</x:t>
        </x:is>
      </x:c>
      <x:c r="G272" s="12" t="inlineStr">
        <x:is>
          <x:t xml:space="preserve">no</x:t>
        </x:is>
      </x:c>
      <x:c r="H272" s="12" t="inlineStr">
        <x:is>
          <x:t xml:space="preserve">frozen_candidate_not_selected</x:t>
        </x:is>
      </x:c>
      <x:c r="I272" s="12" t="inlineStr">
        <x:is>
          <x:t xml:space="preserve">not selected</x:t>
        </x:is>
      </x:c>
      <x:c r="J272" s="13" t="inlineStr">
        <x:is>
          <x:t xml:space="preserve">Frozen candidate; not promoted into the 144-organization quantitative reference set during this pass.</x:t>
        </x:is>
      </x:c>
      <x:c r="K272" s="12" t="inlineStr">
        <x:is>
          <x:t xml:space="preserve">not collected</x:t>
        </x:is>
      </x:c>
      <x:c r="L272" s="17" t="n"/>
    </x:row>
    <x:row r="273">
      <x:c r="A273" s="12" t="inlineStr">
        <x:is>
          <x:t xml:space="preserve">EXT2-109</x:t>
        </x:is>
      </x:c>
      <x:c r="B273" s="12" t="inlineStr">
        <x:is>
          <x:t xml:space="preserve">Environmental Law Institute</x:t>
        </x:is>
      </x:c>
      <x:c r="C273" s="12" t="inlineStr">
        <x:is>
          <x:t xml:space="preserve">extension2_new</x:t>
        </x:is>
      </x:c>
      <x:c r="D273" s="12" t="inlineStr">
        <x:is>
          <x:t xml:space="preserve">Climate, environment, and evidence</x:t>
        </x:is>
      </x:c>
      <x:c r="E273" s="12" t="inlineStr">
        <x:is>
          <x:t xml:space="preserve">functional-only</x:t>
        </x:is>
      </x:c>
      <x:c r="F273" s="12" t="inlineStr">
        <x:is>
          <x:t xml:space="preserve">independent nonprofit</x:t>
        </x:is>
      </x:c>
      <x:c r="G273" s="12" t="inlineStr">
        <x:is>
          <x:t xml:space="preserve">no</x:t>
        </x:is>
      </x:c>
      <x:c r="H273" s="12" t="inlineStr">
        <x:is>
          <x:t xml:space="preserve">included</x:t>
        </x:is>
      </x:c>
      <x:c r="I273" s="12" t="inlineStr">
        <x:is>
          <x:t xml:space="preserve">Tier A</x:t>
        </x:is>
      </x:c>
      <x:c r="J273" s="13" t="inlineStr">
        <x:is>
          <x:t xml:space="preserve">Selected under frozen function/scale/EA/structure rules; compensation did not determine selection.</x:t>
        </x:is>
      </x:c>
      <x:c r="K273" s="12" t="inlineStr">
        <x:is>
          <x:t xml:space="preserve">primary</x:t>
        </x:is>
      </x:c>
      <x:c r="L273" s="17" t="n"/>
    </x:row>
    <x:row r="274">
      <x:c r="A274" s="12" t="inlineStr">
        <x:is>
          <x:t xml:space="preserve">EXT2-110</x:t>
        </x:is>
      </x:c>
      <x:c r="B274" s="12" t="inlineStr">
        <x:is>
          <x:t xml:space="preserve">Environmental and Energy Study Institute</x:t>
        </x:is>
      </x:c>
      <x:c r="C274" s="12" t="inlineStr">
        <x:is>
          <x:t xml:space="preserve">extension2_new</x:t>
        </x:is>
      </x:c>
      <x:c r="D274" s="12" t="inlineStr">
        <x:is>
          <x:t xml:space="preserve">Climate, environment, and evidence</x:t>
        </x:is>
      </x:c>
      <x:c r="E274" s="12" t="inlineStr">
        <x:is>
          <x:t xml:space="preserve">functional-only</x:t>
        </x:is>
      </x:c>
      <x:c r="F274" s="12" t="inlineStr">
        <x:is>
          <x:t xml:space="preserve">independent nonprofit</x:t>
        </x:is>
      </x:c>
      <x:c r="G274" s="12" t="inlineStr">
        <x:is>
          <x:t xml:space="preserve">no</x:t>
        </x:is>
      </x:c>
      <x:c r="H274" s="12" t="inlineStr">
        <x:is>
          <x:t xml:space="preserve">frozen_candidate_not_selected</x:t>
        </x:is>
      </x:c>
      <x:c r="I274" s="12" t="inlineStr">
        <x:is>
          <x:t xml:space="preserve">not selected</x:t>
        </x:is>
      </x:c>
      <x:c r="J274" s="13" t="inlineStr">
        <x:is>
          <x:t xml:space="preserve">Frozen candidate; not promoted into the 144-organization quantitative reference set during this pass.</x:t>
        </x:is>
      </x:c>
      <x:c r="K274" s="12" t="inlineStr">
        <x:is>
          <x:t xml:space="preserve">not collected</x:t>
        </x:is>
      </x:c>
      <x:c r="L274" s="17" t="n"/>
    </x:row>
    <x:row r="275">
      <x:c r="A275" s="12" t="inlineStr">
        <x:is>
          <x:t xml:space="preserve">EXT2-111</x:t>
        </x:is>
      </x:c>
      <x:c r="B275" s="13" t="inlineStr">
        <x:is>
          <x:t xml:space="preserve">Institute for Energy Economics and Financial Analysis</x:t>
        </x:is>
      </x:c>
      <x:c r="C275" s="12" t="inlineStr">
        <x:is>
          <x:t xml:space="preserve">extension2_new</x:t>
        </x:is>
      </x:c>
      <x:c r="D275" s="12" t="inlineStr">
        <x:is>
          <x:t xml:space="preserve">Climate, environment, and evidence</x:t>
        </x:is>
      </x:c>
      <x:c r="E275" s="12" t="inlineStr">
        <x:is>
          <x:t xml:space="preserve">EA-adjacent</x:t>
        </x:is>
      </x:c>
      <x:c r="F275" s="12" t="inlineStr">
        <x:is>
          <x:t xml:space="preserve">independent nonprofit</x:t>
        </x:is>
      </x:c>
      <x:c r="G275" s="12" t="inlineStr">
        <x:is>
          <x:t xml:space="preserve">no</x:t>
        </x:is>
      </x:c>
      <x:c r="H275" s="12" t="inlineStr">
        <x:is>
          <x:t xml:space="preserve">included</x:t>
        </x:is>
      </x:c>
      <x:c r="I275" s="12" t="inlineStr">
        <x:is>
          <x:t xml:space="preserve">Tier A</x:t>
        </x:is>
      </x:c>
      <x:c r="J275" s="13" t="inlineStr">
        <x:is>
          <x:t xml:space="preserve">Selected under frozen function/scale/EA/structure rules; compensation did not determine selection.</x:t>
        </x:is>
      </x:c>
      <x:c r="K275" s="12" t="inlineStr">
        <x:is>
          <x:t xml:space="preserve">primary</x:t>
        </x:is>
      </x:c>
      <x:c r="L275" s="17" t="n"/>
    </x:row>
    <x:row r="276">
      <x:c r="A276" s="12" t="inlineStr">
        <x:is>
          <x:t xml:space="preserve">EXT2-112</x:t>
        </x:is>
      </x:c>
      <x:c r="B276" s="12" t="inlineStr">
        <x:is>
          <x:t xml:space="preserve">Sightline Institute</x:t>
        </x:is>
      </x:c>
      <x:c r="C276" s="12" t="inlineStr">
        <x:is>
          <x:t xml:space="preserve">extension2_new</x:t>
        </x:is>
      </x:c>
      <x:c r="D276" s="12" t="inlineStr">
        <x:is>
          <x:t xml:space="preserve">Climate, environment, and evidence</x:t>
        </x:is>
      </x:c>
      <x:c r="E276" s="12" t="inlineStr">
        <x:is>
          <x:t xml:space="preserve">functional-only</x:t>
        </x:is>
      </x:c>
      <x:c r="F276" s="12" t="inlineStr">
        <x:is>
          <x:t xml:space="preserve">independent nonprofit</x:t>
        </x:is>
      </x:c>
      <x:c r="G276" s="12" t="inlineStr">
        <x:is>
          <x:t xml:space="preserve">no</x:t>
        </x:is>
      </x:c>
      <x:c r="H276" s="12" t="inlineStr">
        <x:is>
          <x:t xml:space="preserve">included</x:t>
        </x:is>
      </x:c>
      <x:c r="I276" s="12" t="inlineStr">
        <x:is>
          <x:t xml:space="preserve">Tier B</x:t>
        </x:is>
      </x:c>
      <x:c r="J276" s="13" t="inlineStr">
        <x:is>
          <x:t xml:space="preserve">Selected under frozen function/scale/EA/structure rules; compensation did not determine selection.</x:t>
        </x:is>
      </x:c>
      <x:c r="K276" s="12" t="inlineStr">
        <x:is>
          <x:t xml:space="preserve">primary</x:t>
        </x:is>
      </x:c>
      <x:c r="L276" s="17" t="n"/>
    </x:row>
    <x:row r="277">
      <x:c r="A277" s="12" t="inlineStr">
        <x:is>
          <x:t xml:space="preserve">EXT2-113</x:t>
        </x:is>
      </x:c>
      <x:c r="B277" s="12" t="inlineStr">
        <x:is>
          <x:t xml:space="preserve">Resources Legacy Fund</x:t>
        </x:is>
      </x:c>
      <x:c r="C277" s="12" t="inlineStr">
        <x:is>
          <x:t xml:space="preserve">extension2_new</x:t>
        </x:is>
      </x:c>
      <x:c r="D277" s="12" t="inlineStr">
        <x:is>
          <x:t xml:space="preserve">Climate, environment, and evidence</x:t>
        </x:is>
      </x:c>
      <x:c r="E277" s="12" t="inlineStr">
        <x:is>
          <x:t xml:space="preserve">functional-only</x:t>
        </x:is>
      </x:c>
      <x:c r="F277" s="12" t="inlineStr">
        <x:is>
          <x:t xml:space="preserve">public charity / grantmaker</x:t>
        </x:is>
      </x:c>
      <x:c r="G277" s="12" t="inlineStr">
        <x:is>
          <x:t xml:space="preserve">no</x:t>
        </x:is>
      </x:c>
      <x:c r="H277" s="12" t="inlineStr">
        <x:is>
          <x:t xml:space="preserve">frozen_candidate_not_selected</x:t>
        </x:is>
      </x:c>
      <x:c r="I277" s="12" t="inlineStr">
        <x:is>
          <x:t xml:space="preserve">not selected</x:t>
        </x:is>
      </x:c>
      <x:c r="J277" s="13" t="inlineStr">
        <x:is>
          <x:t xml:space="preserve">Frozen candidate; not promoted into the 144-organization quantitative reference set during this pass.</x:t>
        </x:is>
      </x:c>
      <x:c r="K277" s="12" t="inlineStr">
        <x:is>
          <x:t xml:space="preserve">not collected</x:t>
        </x:is>
      </x:c>
      <x:c r="L277" s="17" t="n"/>
    </x:row>
    <x:row r="278">
      <x:c r="A278" s="12" t="inlineStr">
        <x:is>
          <x:t xml:space="preserve">EXT2-114</x:t>
        </x:is>
      </x:c>
      <x:c r="B278" s="12" t="inlineStr">
        <x:is>
          <x:t xml:space="preserve">ClimateWorks Foundation</x:t>
        </x:is>
      </x:c>
      <x:c r="C278" s="12" t="inlineStr">
        <x:is>
          <x:t xml:space="preserve">extension2_new</x:t>
        </x:is>
      </x:c>
      <x:c r="D278" s="12" t="inlineStr">
        <x:is>
          <x:t xml:space="preserve">Climate, environment, and evidence</x:t>
        </x:is>
      </x:c>
      <x:c r="E278" s="12" t="inlineStr">
        <x:is>
          <x:t xml:space="preserve">EA-adjacent</x:t>
        </x:is>
      </x:c>
      <x:c r="F278" s="12" t="inlineStr">
        <x:is>
          <x:t xml:space="preserve">public charity / grantmaker</x:t>
        </x:is>
      </x:c>
      <x:c r="G278" s="12" t="inlineStr">
        <x:is>
          <x:t xml:space="preserve">no</x:t>
        </x:is>
      </x:c>
      <x:c r="H278" s="12" t="inlineStr">
        <x:is>
          <x:t xml:space="preserve">frozen_candidate_not_selected</x:t>
        </x:is>
      </x:c>
      <x:c r="I278" s="12" t="inlineStr">
        <x:is>
          <x:t xml:space="preserve">not selected</x:t>
        </x:is>
      </x:c>
      <x:c r="J278" s="13" t="inlineStr">
        <x:is>
          <x:t xml:space="preserve">Frozen candidate; not promoted into the 144-organization quantitative reference set during this pass.</x:t>
        </x:is>
      </x:c>
      <x:c r="K278" s="12" t="inlineStr">
        <x:is>
          <x:t xml:space="preserve">not collected</x:t>
        </x:is>
      </x:c>
      <x:c r="L278" s="17" t="n"/>
    </x:row>
    <x:row r="279">
      <x:c r="A279" s="12" t="inlineStr">
        <x:is>
          <x:t xml:space="preserve">EXT2-115</x:t>
        </x:is>
      </x:c>
      <x:c r="B279" s="12" t="inlineStr">
        <x:is>
          <x:t xml:space="preserve">Project Healthy Children</x:t>
        </x:is>
      </x:c>
      <x:c r="C279" s="12" t="inlineStr">
        <x:is>
          <x:t xml:space="preserve">extension2_new</x:t>
        </x:is>
      </x:c>
      <x:c r="D279" s="12" t="inlineStr">
        <x:is>
          <x:t xml:space="preserve">Global health, development, and evidence</x:t>
        </x:is>
      </x:c>
      <x:c r="E279" s="12" t="inlineStr">
        <x:is>
          <x:t xml:space="preserve">EA-adjacent</x:t>
        </x:is>
      </x:c>
      <x:c r="F279" s="12" t="inlineStr">
        <x:is>
          <x:t xml:space="preserve">independent nonprofit</x:t>
        </x:is>
      </x:c>
      <x:c r="G279" s="12" t="inlineStr">
        <x:is>
          <x:t xml:space="preserve">no</x:t>
        </x:is>
      </x:c>
      <x:c r="H279" s="12" t="inlineStr">
        <x:is>
          <x:t xml:space="preserve">included</x:t>
        </x:is>
      </x:c>
      <x:c r="I279" s="12" t="inlineStr">
        <x:is>
          <x:t xml:space="preserve">Tier B</x:t>
        </x:is>
      </x:c>
      <x:c r="J279" s="13" t="inlineStr">
        <x:is>
          <x:t xml:space="preserve">Selected under frozen function/scale/EA/structure rules; compensation did not determine selection.</x:t>
        </x:is>
      </x:c>
      <x:c r="K279" s="12" t="inlineStr">
        <x:is>
          <x:t xml:space="preserve">primary_older_clean</x:t>
        </x:is>
      </x:c>
      <x:c r="L279" s="17" t="n"/>
    </x:row>
    <x:row r="280">
      <x:c r="A280" s="12" t="inlineStr">
        <x:is>
          <x:t xml:space="preserve">EXT2-116</x:t>
        </x:is>
      </x:c>
      <x:c r="B280" s="12" t="inlineStr">
        <x:is>
          <x:t xml:space="preserve">Health Builders</x:t>
        </x:is>
      </x:c>
      <x:c r="C280" s="12" t="inlineStr">
        <x:is>
          <x:t xml:space="preserve">extension2_new</x:t>
        </x:is>
      </x:c>
      <x:c r="D280" s="12" t="inlineStr">
        <x:is>
          <x:t xml:space="preserve">Global health, development, and evidence</x:t>
        </x:is>
      </x:c>
      <x:c r="E280" s="12" t="inlineStr">
        <x:is>
          <x:t xml:space="preserve">EA-adjacent</x:t>
        </x:is>
      </x:c>
      <x:c r="F280" s="12" t="inlineStr">
        <x:is>
          <x:t xml:space="preserve">independent nonprofit</x:t>
        </x:is>
      </x:c>
      <x:c r="G280" s="12" t="inlineStr">
        <x:is>
          <x:t xml:space="preserve">no</x:t>
        </x:is>
      </x:c>
      <x:c r="H280" s="12" t="inlineStr">
        <x:is>
          <x:t xml:space="preserve">frozen_candidate_not_selected</x:t>
        </x:is>
      </x:c>
      <x:c r="I280" s="12" t="inlineStr">
        <x:is>
          <x:t xml:space="preserve">not selected</x:t>
        </x:is>
      </x:c>
      <x:c r="J280" s="13" t="inlineStr">
        <x:is>
          <x:t xml:space="preserve">Frozen candidate; not promoted into the 144-organization quantitative reference set during this pass.</x:t>
        </x:is>
      </x:c>
      <x:c r="K280" s="12" t="inlineStr">
        <x:is>
          <x:t xml:space="preserve">not collected</x:t>
        </x:is>
      </x:c>
      <x:c r="L280" s="17" t="n"/>
    </x:row>
    <x:row r="281">
      <x:c r="A281" s="12" t="inlineStr">
        <x:is>
          <x:t xml:space="preserve">EXT2-117</x:t>
        </x:is>
      </x:c>
      <x:c r="B281" s="12" t="inlineStr">
        <x:is>
          <x:t xml:space="preserve">Muso</x:t>
        </x:is>
      </x:c>
      <x:c r="C281" s="12" t="inlineStr">
        <x:is>
          <x:t xml:space="preserve">extension2_new</x:t>
        </x:is>
      </x:c>
      <x:c r="D281" s="12" t="inlineStr">
        <x:is>
          <x:t xml:space="preserve">Global health, development, and evidence</x:t>
        </x:is>
      </x:c>
      <x:c r="E281" s="12" t="inlineStr">
        <x:is>
          <x:t xml:space="preserve">EA-adjacent</x:t>
        </x:is>
      </x:c>
      <x:c r="F281" s="12" t="inlineStr">
        <x:is>
          <x:t xml:space="preserve">independent nonprofit</x:t>
        </x:is>
      </x:c>
      <x:c r="G281" s="12" t="inlineStr">
        <x:is>
          <x:t xml:space="preserve">no</x:t>
        </x:is>
      </x:c>
      <x:c r="H281" s="12" t="inlineStr">
        <x:is>
          <x:t xml:space="preserve">frozen_candidate_not_selected</x:t>
        </x:is>
      </x:c>
      <x:c r="I281" s="12" t="inlineStr">
        <x:is>
          <x:t xml:space="preserve">not selected</x:t>
        </x:is>
      </x:c>
      <x:c r="J281" s="13" t="inlineStr">
        <x:is>
          <x:t xml:space="preserve">Frozen candidate; not promoted into the 144-organization quantitative reference set during this pass.</x:t>
        </x:is>
      </x:c>
      <x:c r="K281" s="12" t="inlineStr">
        <x:is>
          <x:t xml:space="preserve">not collected</x:t>
        </x:is>
      </x:c>
      <x:c r="L281" s="17" t="n"/>
    </x:row>
    <x:row r="282">
      <x:c r="A282" s="12" t="inlineStr">
        <x:is>
          <x:t xml:space="preserve">EXT2-118</x:t>
        </x:is>
      </x:c>
      <x:c r="B282" s="12" t="inlineStr">
        <x:is>
          <x:t xml:space="preserve">Medic</x:t>
        </x:is>
      </x:c>
      <x:c r="C282" s="12" t="inlineStr">
        <x:is>
          <x:t xml:space="preserve">extension2_new</x:t>
        </x:is>
      </x:c>
      <x:c r="D282" s="12" t="inlineStr">
        <x:is>
          <x:t xml:space="preserve">Global health, development, and evidence</x:t>
        </x:is>
      </x:c>
      <x:c r="E282" s="12" t="inlineStr">
        <x:is>
          <x:t xml:space="preserve">EA-adjacent</x:t>
        </x:is>
      </x:c>
      <x:c r="F282" s="12" t="inlineStr">
        <x:is>
          <x:t xml:space="preserve">independent nonprofit</x:t>
        </x:is>
      </x:c>
      <x:c r="G282" s="12" t="inlineStr">
        <x:is>
          <x:t xml:space="preserve">no</x:t>
        </x:is>
      </x:c>
      <x:c r="H282" s="12" t="inlineStr">
        <x:is>
          <x:t xml:space="preserve">frozen_candidate_not_selected</x:t>
        </x:is>
      </x:c>
      <x:c r="I282" s="12" t="inlineStr">
        <x:is>
          <x:t xml:space="preserve">not selected</x:t>
        </x:is>
      </x:c>
      <x:c r="J282" s="13" t="inlineStr">
        <x:is>
          <x:t xml:space="preserve">Frozen candidate; not promoted into the 144-organization quantitative reference set during this pass.</x:t>
        </x:is>
      </x:c>
      <x:c r="K282" s="12" t="inlineStr">
        <x:is>
          <x:t xml:space="preserve">not collected</x:t>
        </x:is>
      </x:c>
      <x:c r="L282" s="17" t="n"/>
    </x:row>
    <x:row r="283">
      <x:c r="A283" s="12" t="inlineStr">
        <x:is>
          <x:t xml:space="preserve">EXT2-119</x:t>
        </x:is>
      </x:c>
      <x:c r="B283" s="13" t="inlineStr">
        <x:is>
          <x:t xml:space="preserve">International Initiative for Impact Evaluation</x:t>
        </x:is>
      </x:c>
      <x:c r="C283" s="12" t="inlineStr">
        <x:is>
          <x:t xml:space="preserve">extension2_new</x:t>
        </x:is>
      </x:c>
      <x:c r="D283" s="12" t="inlineStr">
        <x:is>
          <x:t xml:space="preserve">Global health, development, and evidence</x:t>
        </x:is>
      </x:c>
      <x:c r="E283" s="12" t="inlineStr">
        <x:is>
          <x:t xml:space="preserve">EA-adjacent</x:t>
        </x:is>
      </x:c>
      <x:c r="F283" s="12" t="inlineStr">
        <x:is>
          <x:t xml:space="preserve">international nonprofit</x:t>
        </x:is>
      </x:c>
      <x:c r="G283" s="12" t="inlineStr">
        <x:is>
          <x:t xml:space="preserve">no</x:t>
        </x:is>
      </x:c>
      <x:c r="H283" s="12" t="inlineStr">
        <x:is>
          <x:t xml:space="preserve">frozen_candidate_not_selected</x:t>
        </x:is>
      </x:c>
      <x:c r="I283" s="12" t="inlineStr">
        <x:is>
          <x:t xml:space="preserve">not selected</x:t>
        </x:is>
      </x:c>
      <x:c r="J283" s="13" t="inlineStr">
        <x:is>
          <x:t xml:space="preserve">Frozen candidate; not promoted into the 144-organization quantitative reference set during this pass.</x:t>
        </x:is>
      </x:c>
      <x:c r="K283" s="12" t="inlineStr">
        <x:is>
          <x:t xml:space="preserve">not collected</x:t>
        </x:is>
      </x:c>
      <x:c r="L283" s="17" t="n"/>
    </x:row>
    <x:row r="284">
      <x:c r="A284" s="12" t="inlineStr">
        <x:is>
          <x:t xml:space="preserve">EXT2-120</x:t>
        </x:is>
      </x:c>
      <x:c r="B284" s="12" t="inlineStr">
        <x:is>
          <x:t xml:space="preserve">Center for Global Health Innovation</x:t>
        </x:is>
      </x:c>
      <x:c r="C284" s="12" t="inlineStr">
        <x:is>
          <x:t xml:space="preserve">extension2_new</x:t>
        </x:is>
      </x:c>
      <x:c r="D284" s="12" t="inlineStr">
        <x:is>
          <x:t xml:space="preserve">Global health, development, and evidence</x:t>
        </x:is>
      </x:c>
      <x:c r="E284" s="12" t="inlineStr">
        <x:is>
          <x:t xml:space="preserve">functional-only</x:t>
        </x:is>
      </x:c>
      <x:c r="F284" s="12" t="inlineStr">
        <x:is>
          <x:t xml:space="preserve">membership nonprofit</x:t>
        </x:is>
      </x:c>
      <x:c r="G284" s="12" t="inlineStr">
        <x:is>
          <x:t xml:space="preserve">no</x:t>
        </x:is>
      </x:c>
      <x:c r="H284" s="12" t="inlineStr">
        <x:is>
          <x:t xml:space="preserve">frozen_candidate_not_selected</x:t>
        </x:is>
      </x:c>
      <x:c r="I284" s="12" t="inlineStr">
        <x:is>
          <x:t xml:space="preserve">not selected</x:t>
        </x:is>
      </x:c>
      <x:c r="J284" s="13" t="inlineStr">
        <x:is>
          <x:t xml:space="preserve">Frozen candidate; not promoted into the 144-organization quantitative reference set during this pass.</x:t>
        </x:is>
      </x:c>
      <x:c r="K284" s="12" t="inlineStr">
        <x:is>
          <x:t xml:space="preserve">not collected</x:t>
        </x:is>
      </x:c>
      <x:c r="L284" s="17" t="n"/>
    </x:row>
    <x:row r="285">
      <x:c r="A285" s="12" t="inlineStr">
        <x:is>
          <x:t xml:space="preserve">EXT2-121</x:t>
        </x:is>
      </x:c>
      <x:c r="B285" s="12" t="inlineStr">
        <x:is>
          <x:t xml:space="preserve">JSI Research &amp; Training Institute</x:t>
        </x:is>
      </x:c>
      <x:c r="C285" s="12" t="inlineStr">
        <x:is>
          <x:t xml:space="preserve">extension2_new</x:t>
        </x:is>
      </x:c>
      <x:c r="D285" s="12" t="inlineStr">
        <x:is>
          <x:t xml:space="preserve">Global health, development, and evidence</x:t>
        </x:is>
      </x:c>
      <x:c r="E285" s="12" t="inlineStr">
        <x:is>
          <x:t xml:space="preserve">functional-only</x:t>
        </x:is>
      </x:c>
      <x:c r="F285" s="12" t="inlineStr">
        <x:is>
          <x:t xml:space="preserve">independent nonprofit</x:t>
        </x:is>
      </x:c>
      <x:c r="G285" s="12" t="inlineStr">
        <x:is>
          <x:t xml:space="preserve">no</x:t>
        </x:is>
      </x:c>
      <x:c r="H285" s="12" t="inlineStr">
        <x:is>
          <x:t xml:space="preserve">frozen_candidate_not_selected</x:t>
        </x:is>
      </x:c>
      <x:c r="I285" s="12" t="inlineStr">
        <x:is>
          <x:t xml:space="preserve">not selected</x:t>
        </x:is>
      </x:c>
      <x:c r="J285" s="13" t="inlineStr">
        <x:is>
          <x:t xml:space="preserve">Frozen candidate; not promoted into the 144-organization quantitative reference set during this pass.</x:t>
        </x:is>
      </x:c>
      <x:c r="K285" s="12" t="inlineStr">
        <x:is>
          <x:t xml:space="preserve">not collected</x:t>
        </x:is>
      </x:c>
      <x:c r="L285" s="17" t="n"/>
    </x:row>
    <x:row r="286">
      <x:c r="A286" s="12" t="inlineStr">
        <x:is>
          <x:t xml:space="preserve">EXT2-122</x:t>
        </x:is>
      </x:c>
      <x:c r="B286" s="12" t="inlineStr">
        <x:is>
          <x:t xml:space="preserve">Management Sciences for Health</x:t>
        </x:is>
      </x:c>
      <x:c r="C286" s="12" t="inlineStr">
        <x:is>
          <x:t xml:space="preserve">extension2_new</x:t>
        </x:is>
      </x:c>
      <x:c r="D286" s="12" t="inlineStr">
        <x:is>
          <x:t xml:space="preserve">Global health, development, and evidence</x:t>
        </x:is>
      </x:c>
      <x:c r="E286" s="12" t="inlineStr">
        <x:is>
          <x:t xml:space="preserve">EA-adjacent</x:t>
        </x:is>
      </x:c>
      <x:c r="F286" s="12" t="inlineStr">
        <x:is>
          <x:t xml:space="preserve">independent nonprofit</x:t>
        </x:is>
      </x:c>
      <x:c r="G286" s="12" t="inlineStr">
        <x:is>
          <x:t xml:space="preserve">no</x:t>
        </x:is>
      </x:c>
      <x:c r="H286" s="12" t="inlineStr">
        <x:is>
          <x:t xml:space="preserve">frozen_candidate_not_selected</x:t>
        </x:is>
      </x:c>
      <x:c r="I286" s="12" t="inlineStr">
        <x:is>
          <x:t xml:space="preserve">not selected</x:t>
        </x:is>
      </x:c>
      <x:c r="J286" s="13" t="inlineStr">
        <x:is>
          <x:t xml:space="preserve">Frozen candidate; not promoted into the 144-organization quantitative reference set during this pass.</x:t>
        </x:is>
      </x:c>
      <x:c r="K286" s="12" t="inlineStr">
        <x:is>
          <x:t xml:space="preserve">not collected</x:t>
        </x:is>
      </x:c>
      <x:c r="L286" s="17" t="n"/>
    </x:row>
    <x:row r="287">
      <x:c r="A287" s="12" t="inlineStr">
        <x:is>
          <x:t xml:space="preserve">EXT2-123</x:t>
        </x:is>
      </x:c>
      <x:c r="B287" s="12" t="inlineStr">
        <x:is>
          <x:t xml:space="preserve">EngenderHealth</x:t>
        </x:is>
      </x:c>
      <x:c r="C287" s="12" t="inlineStr">
        <x:is>
          <x:t xml:space="preserve">extension2_new</x:t>
        </x:is>
      </x:c>
      <x:c r="D287" s="12" t="inlineStr">
        <x:is>
          <x:t xml:space="preserve">Global health, development, and evidence</x:t>
        </x:is>
      </x:c>
      <x:c r="E287" s="12" t="inlineStr">
        <x:is>
          <x:t xml:space="preserve">EA-adjacent</x:t>
        </x:is>
      </x:c>
      <x:c r="F287" s="12" t="inlineStr">
        <x:is>
          <x:t xml:space="preserve">independent nonprofit</x:t>
        </x:is>
      </x:c>
      <x:c r="G287" s="12" t="inlineStr">
        <x:is>
          <x:t xml:space="preserve">no</x:t>
        </x:is>
      </x:c>
      <x:c r="H287" s="12" t="inlineStr">
        <x:is>
          <x:t xml:space="preserve">frozen_candidate_not_selected</x:t>
        </x:is>
      </x:c>
      <x:c r="I287" s="12" t="inlineStr">
        <x:is>
          <x:t xml:space="preserve">not selected</x:t>
        </x:is>
      </x:c>
      <x:c r="J287" s="13" t="inlineStr">
        <x:is>
          <x:t xml:space="preserve">Frozen candidate; not promoted into the 144-organization quantitative reference set during this pass.</x:t>
        </x:is>
      </x:c>
      <x:c r="K287" s="12" t="inlineStr">
        <x:is>
          <x:t xml:space="preserve">not collected</x:t>
        </x:is>
      </x:c>
      <x:c r="L287" s="17" t="n"/>
    </x:row>
    <x:row r="288">
      <x:c r="A288" s="12" t="inlineStr">
        <x:is>
          <x:t xml:space="preserve">EXT2-124</x:t>
        </x:is>
      </x:c>
      <x:c r="B288" s="12" t="inlineStr">
        <x:is>
          <x:t xml:space="preserve">PATH</x:t>
        </x:is>
      </x:c>
      <x:c r="C288" s="12" t="inlineStr">
        <x:is>
          <x:t xml:space="preserve">extension2_new</x:t>
        </x:is>
      </x:c>
      <x:c r="D288" s="12" t="inlineStr">
        <x:is>
          <x:t xml:space="preserve">Global health, development, and evidence</x:t>
        </x:is>
      </x:c>
      <x:c r="E288" s="12" t="inlineStr">
        <x:is>
          <x:t xml:space="preserve">EA-adjacent</x:t>
        </x:is>
      </x:c>
      <x:c r="F288" s="12" t="inlineStr">
        <x:is>
          <x:t xml:space="preserve">independent nonprofit</x:t>
        </x:is>
      </x:c>
      <x:c r="G288" s="12" t="inlineStr">
        <x:is>
          <x:t xml:space="preserve">no</x:t>
        </x:is>
      </x:c>
      <x:c r="H288" s="12" t="inlineStr">
        <x:is>
          <x:t xml:space="preserve">frozen_candidate_not_selected</x:t>
        </x:is>
      </x:c>
      <x:c r="I288" s="12" t="inlineStr">
        <x:is>
          <x:t xml:space="preserve">not selected</x:t>
        </x:is>
      </x:c>
      <x:c r="J288" s="13" t="inlineStr">
        <x:is>
          <x:t xml:space="preserve">Frozen candidate; not promoted into the 144-organization quantitative reference set during this pass.</x:t>
        </x:is>
      </x:c>
      <x:c r="K288" s="12" t="inlineStr">
        <x:is>
          <x:t xml:space="preserve">not collected</x:t>
        </x:is>
      </x:c>
      <x:c r="L288" s="17" t="n"/>
    </x:row>
    <x:row r="289">
      <x:c r="A289" s="12" t="inlineStr">
        <x:is>
          <x:t xml:space="preserve">EXT2-125</x:t>
        </x:is>
      </x:c>
      <x:c r="B289" s="12" t="inlineStr">
        <x:is>
          <x:t xml:space="preserve">Clinton Health Access Initiative</x:t>
        </x:is>
      </x:c>
      <x:c r="C289" s="12" t="inlineStr">
        <x:is>
          <x:t xml:space="preserve">extension2_new</x:t>
        </x:is>
      </x:c>
      <x:c r="D289" s="12" t="inlineStr">
        <x:is>
          <x:t xml:space="preserve">Global health, development, and evidence</x:t>
        </x:is>
      </x:c>
      <x:c r="E289" s="12" t="inlineStr">
        <x:is>
          <x:t xml:space="preserve">EA-adjacent</x:t>
        </x:is>
      </x:c>
      <x:c r="F289" s="12" t="inlineStr">
        <x:is>
          <x:t xml:space="preserve">independent nonprofit</x:t>
        </x:is>
      </x:c>
      <x:c r="G289" s="12" t="inlineStr">
        <x:is>
          <x:t xml:space="preserve">no</x:t>
        </x:is>
      </x:c>
      <x:c r="H289" s="12" t="inlineStr">
        <x:is>
          <x:t xml:space="preserve">frozen_candidate_not_selected</x:t>
        </x:is>
      </x:c>
      <x:c r="I289" s="12" t="inlineStr">
        <x:is>
          <x:t xml:space="preserve">not selected</x:t>
        </x:is>
      </x:c>
      <x:c r="J289" s="13" t="inlineStr">
        <x:is>
          <x:t xml:space="preserve">Frozen candidate; not promoted into the 144-organization quantitative reference set during this pass.</x:t>
        </x:is>
      </x:c>
      <x:c r="K289" s="12" t="inlineStr">
        <x:is>
          <x:t xml:space="preserve">not collected</x:t>
        </x:is>
      </x:c>
      <x:c r="L289" s="17" t="n"/>
    </x:row>
    <x:row r="290">
      <x:c r="A290" s="12" t="inlineStr">
        <x:is>
          <x:t xml:space="preserve">EXT2-126</x:t>
        </x:is>
      </x:c>
      <x:c r="B290" s="12" t="inlineStr">
        <x:is>
          <x:t xml:space="preserve">Population Services International</x:t>
        </x:is>
      </x:c>
      <x:c r="C290" s="12" t="inlineStr">
        <x:is>
          <x:t xml:space="preserve">extension2_new</x:t>
        </x:is>
      </x:c>
      <x:c r="D290" s="12" t="inlineStr">
        <x:is>
          <x:t xml:space="preserve">Global health, development, and evidence</x:t>
        </x:is>
      </x:c>
      <x:c r="E290" s="12" t="inlineStr">
        <x:is>
          <x:t xml:space="preserve">EA-adjacent</x:t>
        </x:is>
      </x:c>
      <x:c r="F290" s="12" t="inlineStr">
        <x:is>
          <x:t xml:space="preserve">independent nonprofit</x:t>
        </x:is>
      </x:c>
      <x:c r="G290" s="12" t="inlineStr">
        <x:is>
          <x:t xml:space="preserve">no</x:t>
        </x:is>
      </x:c>
      <x:c r="H290" s="12" t="inlineStr">
        <x:is>
          <x:t xml:space="preserve">frozen_candidate_not_selected</x:t>
        </x:is>
      </x:c>
      <x:c r="I290" s="12" t="inlineStr">
        <x:is>
          <x:t xml:space="preserve">not selected</x:t>
        </x:is>
      </x:c>
      <x:c r="J290" s="13" t="inlineStr">
        <x:is>
          <x:t xml:space="preserve">Frozen candidate; not promoted into the 144-organization quantitative reference set during this pass.</x:t>
        </x:is>
      </x:c>
      <x:c r="K290" s="12" t="inlineStr">
        <x:is>
          <x:t xml:space="preserve">not collected</x:t>
        </x:is>
      </x:c>
      <x:c r="L290" s="17" t="n"/>
    </x:row>
    <x:row r="291">
      <x:c r="A291" s="12" t="inlineStr">
        <x:is>
          <x:t xml:space="preserve">EXT2-127</x:t>
        </x:is>
      </x:c>
      <x:c r="B291" s="12" t="inlineStr">
        <x:is>
          <x:t xml:space="preserve">Root Capital</x:t>
        </x:is>
      </x:c>
      <x:c r="C291" s="12" t="inlineStr">
        <x:is>
          <x:t xml:space="preserve">extension2_new</x:t>
        </x:is>
      </x:c>
      <x:c r="D291" s="12" t="inlineStr">
        <x:is>
          <x:t xml:space="preserve">Global health, development, and evidence</x:t>
        </x:is>
      </x:c>
      <x:c r="E291" s="12" t="inlineStr">
        <x:is>
          <x:t xml:space="preserve">EA-adjacent</x:t>
        </x:is>
      </x:c>
      <x:c r="F291" s="12" t="inlineStr">
        <x:is>
          <x:t xml:space="preserve">independent nonprofit</x:t>
        </x:is>
      </x:c>
      <x:c r="G291" s="12" t="inlineStr">
        <x:is>
          <x:t xml:space="preserve">no</x:t>
        </x:is>
      </x:c>
      <x:c r="H291" s="12" t="inlineStr">
        <x:is>
          <x:t xml:space="preserve">frozen_candidate_not_selected</x:t>
        </x:is>
      </x:c>
      <x:c r="I291" s="12" t="inlineStr">
        <x:is>
          <x:t xml:space="preserve">not selected</x:t>
        </x:is>
      </x:c>
      <x:c r="J291" s="13" t="inlineStr">
        <x:is>
          <x:t xml:space="preserve">Frozen candidate; not promoted into the 144-organization quantitative reference set during this pass.</x:t>
        </x:is>
      </x:c>
      <x:c r="K291" s="12" t="inlineStr">
        <x:is>
          <x:t xml:space="preserve">not collected</x:t>
        </x:is>
      </x:c>
      <x:c r="L291" s="17" t="n"/>
    </x:row>
    <x:row r="292">
      <x:c r="A292" s="12" t="inlineStr">
        <x:is>
          <x:t xml:space="preserve">EXT2-128</x:t>
        </x:is>
      </x:c>
      <x:c r="B292" s="12" t="inlineStr">
        <x:is>
          <x:t xml:space="preserve">TechnoServe</x:t>
        </x:is>
      </x:c>
      <x:c r="C292" s="12" t="inlineStr">
        <x:is>
          <x:t xml:space="preserve">extension2_new</x:t>
        </x:is>
      </x:c>
      <x:c r="D292" s="12" t="inlineStr">
        <x:is>
          <x:t xml:space="preserve">Global health, development, and evidence</x:t>
        </x:is>
      </x:c>
      <x:c r="E292" s="12" t="inlineStr">
        <x:is>
          <x:t xml:space="preserve">EA-adjacent</x:t>
        </x:is>
      </x:c>
      <x:c r="F292" s="12" t="inlineStr">
        <x:is>
          <x:t xml:space="preserve">independent nonprofit</x:t>
        </x:is>
      </x:c>
      <x:c r="G292" s="12" t="inlineStr">
        <x:is>
          <x:t xml:space="preserve">no</x:t>
        </x:is>
      </x:c>
      <x:c r="H292" s="12" t="inlineStr">
        <x:is>
          <x:t xml:space="preserve">frozen_candidate_not_selected</x:t>
        </x:is>
      </x:c>
      <x:c r="I292" s="12" t="inlineStr">
        <x:is>
          <x:t xml:space="preserve">not selected</x:t>
        </x:is>
      </x:c>
      <x:c r="J292" s="13" t="inlineStr">
        <x:is>
          <x:t xml:space="preserve">Frozen candidate; not promoted into the 144-organization quantitative reference set during this pass.</x:t>
        </x:is>
      </x:c>
      <x:c r="K292" s="12" t="inlineStr">
        <x:is>
          <x:t xml:space="preserve">not collected</x:t>
        </x:is>
      </x:c>
      <x:c r="L292" s="17" t="n"/>
    </x:row>
    <x:row r="293">
      <x:c r="A293" s="12" t="inlineStr">
        <x:is>
          <x:t xml:space="preserve">EXT2-129</x:t>
        </x:is>
      </x:c>
      <x:c r="B293" s="12" t="inlineStr">
        <x:is>
          <x:t xml:space="preserve">Kiva</x:t>
        </x:is>
      </x:c>
      <x:c r="C293" s="12" t="inlineStr">
        <x:is>
          <x:t xml:space="preserve">extension2_new</x:t>
        </x:is>
      </x:c>
      <x:c r="D293" s="12" t="inlineStr">
        <x:is>
          <x:t xml:space="preserve">Global health, development, and evidence</x:t>
        </x:is>
      </x:c>
      <x:c r="E293" s="12" t="inlineStr">
        <x:is>
          <x:t xml:space="preserve">EA-adjacent</x:t>
        </x:is>
      </x:c>
      <x:c r="F293" s="12" t="inlineStr">
        <x:is>
          <x:t xml:space="preserve">independent nonprofit</x:t>
        </x:is>
      </x:c>
      <x:c r="G293" s="12" t="inlineStr">
        <x:is>
          <x:t xml:space="preserve">no</x:t>
        </x:is>
      </x:c>
      <x:c r="H293" s="12" t="inlineStr">
        <x:is>
          <x:t xml:space="preserve">frozen_candidate_not_selected</x:t>
        </x:is>
      </x:c>
      <x:c r="I293" s="12" t="inlineStr">
        <x:is>
          <x:t xml:space="preserve">not selected</x:t>
        </x:is>
      </x:c>
      <x:c r="J293" s="13" t="inlineStr">
        <x:is>
          <x:t xml:space="preserve">Frozen candidate; not promoted into the 144-organization quantitative reference set during this pass.</x:t>
        </x:is>
      </x:c>
      <x:c r="K293" s="12" t="inlineStr">
        <x:is>
          <x:t xml:space="preserve">not collected</x:t>
        </x:is>
      </x:c>
      <x:c r="L293" s="17" t="n"/>
    </x:row>
    <x:row r="294">
      <x:c r="A294" s="12" t="inlineStr">
        <x:is>
          <x:t xml:space="preserve">EXT2-130</x:t>
        </x:is>
      </x:c>
      <x:c r="B294" s="12" t="inlineStr">
        <x:is>
          <x:t xml:space="preserve">Sentient Media</x:t>
        </x:is>
      </x:c>
      <x:c r="C294" s="12" t="inlineStr">
        <x:is>
          <x:t xml:space="preserve">extension2_new</x:t>
        </x:is>
      </x:c>
      <x:c r="D294" s="12" t="inlineStr">
        <x:is>
          <x:t xml:space="preserve">Animal welfare and food systems</x:t>
        </x:is>
      </x:c>
      <x:c r="E294" s="12" t="inlineStr">
        <x:is>
          <x:t xml:space="preserve">EA-adjacent</x:t>
        </x:is>
      </x:c>
      <x:c r="F294" s="12" t="inlineStr">
        <x:is>
          <x:t xml:space="preserve">independent nonprofit</x:t>
        </x:is>
      </x:c>
      <x:c r="G294" s="12" t="inlineStr">
        <x:is>
          <x:t xml:space="preserve">no</x:t>
        </x:is>
      </x:c>
      <x:c r="H294" s="12" t="inlineStr">
        <x:is>
          <x:t xml:space="preserve">included</x:t>
        </x:is>
      </x:c>
      <x:c r="I294" s="12" t="inlineStr">
        <x:is>
          <x:t xml:space="preserve">Tier C</x:t>
        </x:is>
      </x:c>
      <x:c r="J294" s="13" t="inlineStr">
        <x:is>
          <x:t xml:space="preserve">Selected under frozen function/scale/EA/structure rules; compensation did not determine selection.</x:t>
        </x:is>
      </x:c>
      <x:c r="K294" s="12" t="inlineStr">
        <x:is>
          <x:t xml:space="preserve">primary_with_structure_flag</x:t>
        </x:is>
      </x:c>
      <x:c r="L294" s="17" t="n"/>
    </x:row>
    <x:row r="295">
      <x:c r="A295" s="12" t="inlineStr">
        <x:is>
          <x:t xml:space="preserve">EXT2-131</x:t>
        </x:is>
      </x:c>
      <x:c r="B295" s="12" t="inlineStr">
        <x:is>
          <x:t xml:space="preserve">In Defense of Animals</x:t>
        </x:is>
      </x:c>
      <x:c r="C295" s="12" t="inlineStr">
        <x:is>
          <x:t xml:space="preserve">extension2_new</x:t>
        </x:is>
      </x:c>
      <x:c r="D295" s="12" t="inlineStr">
        <x:is>
          <x:t xml:space="preserve">Animal welfare and food systems</x:t>
        </x:is>
      </x:c>
      <x:c r="E295" s="12" t="inlineStr">
        <x:is>
          <x:t xml:space="preserve">EA-adjacent</x:t>
        </x:is>
      </x:c>
      <x:c r="F295" s="12" t="inlineStr">
        <x:is>
          <x:t xml:space="preserve">independent nonprofit</x:t>
        </x:is>
      </x:c>
      <x:c r="G295" s="12" t="inlineStr">
        <x:is>
          <x:t xml:space="preserve">no</x:t>
        </x:is>
      </x:c>
      <x:c r="H295" s="12" t="inlineStr">
        <x:is>
          <x:t xml:space="preserve">frozen_candidate_not_selected</x:t>
        </x:is>
      </x:c>
      <x:c r="I295" s="12" t="inlineStr">
        <x:is>
          <x:t xml:space="preserve">not selected</x:t>
        </x:is>
      </x:c>
      <x:c r="J295" s="13" t="inlineStr">
        <x:is>
          <x:t xml:space="preserve">Frozen candidate; not promoted into the 144-organization quantitative reference set during this pass.</x:t>
        </x:is>
      </x:c>
      <x:c r="K295" s="12" t="inlineStr">
        <x:is>
          <x:t xml:space="preserve">not collected</x:t>
        </x:is>
      </x:c>
      <x:c r="L295" s="17" t="n"/>
    </x:row>
    <x:row r="296">
      <x:c r="A296" s="12" t="inlineStr">
        <x:is>
          <x:t xml:space="preserve">EXT2-132</x:t>
        </x:is>
      </x:c>
      <x:c r="B296" s="12" t="inlineStr">
        <x:is>
          <x:t xml:space="preserve">Animal Place</x:t>
        </x:is>
      </x:c>
      <x:c r="C296" s="12" t="inlineStr">
        <x:is>
          <x:t xml:space="preserve">extension2_new</x:t>
        </x:is>
      </x:c>
      <x:c r="D296" s="12" t="inlineStr">
        <x:is>
          <x:t xml:space="preserve">Animal welfare and food systems</x:t>
        </x:is>
      </x:c>
      <x:c r="E296" s="12" t="inlineStr">
        <x:is>
          <x:t xml:space="preserve">EA-adjacent</x:t>
        </x:is>
      </x:c>
      <x:c r="F296" s="12" t="inlineStr">
        <x:is>
          <x:t xml:space="preserve">independent nonprofit</x:t>
        </x:is>
      </x:c>
      <x:c r="G296" s="12" t="inlineStr">
        <x:is>
          <x:t xml:space="preserve">no</x:t>
        </x:is>
      </x:c>
      <x:c r="H296" s="12" t="inlineStr">
        <x:is>
          <x:t xml:space="preserve">frozen_candidate_not_selected</x:t>
        </x:is>
      </x:c>
      <x:c r="I296" s="12" t="inlineStr">
        <x:is>
          <x:t xml:space="preserve">not selected</x:t>
        </x:is>
      </x:c>
      <x:c r="J296" s="13" t="inlineStr">
        <x:is>
          <x:t xml:space="preserve">Frozen candidate; not promoted into the 144-organization quantitative reference set during this pass.</x:t>
        </x:is>
      </x:c>
      <x:c r="K296" s="12" t="inlineStr">
        <x:is>
          <x:t xml:space="preserve">not collected</x:t>
        </x:is>
      </x:c>
      <x:c r="L296" s="17" t="n"/>
    </x:row>
    <x:row r="297">
      <x:c r="A297" s="12" t="inlineStr">
        <x:is>
          <x:t xml:space="preserve">EXT2-133</x:t>
        </x:is>
      </x:c>
      <x:c r="B297" s="12" t="inlineStr">
        <x:is>
          <x:t xml:space="preserve">Woodstock Farm Sanctuary</x:t>
        </x:is>
      </x:c>
      <x:c r="C297" s="12" t="inlineStr">
        <x:is>
          <x:t xml:space="preserve">extension2_new</x:t>
        </x:is>
      </x:c>
      <x:c r="D297" s="12" t="inlineStr">
        <x:is>
          <x:t xml:space="preserve">Animal welfare and food systems</x:t>
        </x:is>
      </x:c>
      <x:c r="E297" s="12" t="inlineStr">
        <x:is>
          <x:t xml:space="preserve">EA-adjacent</x:t>
        </x:is>
      </x:c>
      <x:c r="F297" s="12" t="inlineStr">
        <x:is>
          <x:t xml:space="preserve">independent nonprofit</x:t>
        </x:is>
      </x:c>
      <x:c r="G297" s="12" t="inlineStr">
        <x:is>
          <x:t xml:space="preserve">no</x:t>
        </x:is>
      </x:c>
      <x:c r="H297" s="12" t="inlineStr">
        <x:is>
          <x:t xml:space="preserve">frozen_candidate_not_selected</x:t>
        </x:is>
      </x:c>
      <x:c r="I297" s="12" t="inlineStr">
        <x:is>
          <x:t xml:space="preserve">not selected</x:t>
        </x:is>
      </x:c>
      <x:c r="J297" s="13" t="inlineStr">
        <x:is>
          <x:t xml:space="preserve">Frozen candidate; not promoted into the 144-organization quantitative reference set during this pass.</x:t>
        </x:is>
      </x:c>
      <x:c r="K297" s="12" t="inlineStr">
        <x:is>
          <x:t xml:space="preserve">not collected</x:t>
        </x:is>
      </x:c>
      <x:c r="L297" s="17" t="n"/>
    </x:row>
    <x:row r="298">
      <x:c r="A298" s="12" t="inlineStr">
        <x:is>
          <x:t xml:space="preserve">EXT2-134</x:t>
        </x:is>
      </x:c>
      <x:c r="B298" s="12" t="inlineStr">
        <x:is>
          <x:t xml:space="preserve">A Greener World</x:t>
        </x:is>
      </x:c>
      <x:c r="C298" s="12" t="inlineStr">
        <x:is>
          <x:t xml:space="preserve">extension2_new</x:t>
        </x:is>
      </x:c>
      <x:c r="D298" s="12" t="inlineStr">
        <x:is>
          <x:t xml:space="preserve">Animal welfare and food systems</x:t>
        </x:is>
      </x:c>
      <x:c r="E298" s="12" t="inlineStr">
        <x:is>
          <x:t xml:space="preserve">EA-adjacent</x:t>
        </x:is>
      </x:c>
      <x:c r="F298" s="12" t="inlineStr">
        <x:is>
          <x:t xml:space="preserve">independent nonprofit</x:t>
        </x:is>
      </x:c>
      <x:c r="G298" s="12" t="inlineStr">
        <x:is>
          <x:t xml:space="preserve">no</x:t>
        </x:is>
      </x:c>
      <x:c r="H298" s="12" t="inlineStr">
        <x:is>
          <x:t xml:space="preserve">frozen_candidate_not_selected</x:t>
        </x:is>
      </x:c>
      <x:c r="I298" s="12" t="inlineStr">
        <x:is>
          <x:t xml:space="preserve">not selected</x:t>
        </x:is>
      </x:c>
      <x:c r="J298" s="13" t="inlineStr">
        <x:is>
          <x:t xml:space="preserve">Frozen candidate; not promoted into the 144-organization quantitative reference set during this pass.</x:t>
        </x:is>
      </x:c>
      <x:c r="K298" s="12" t="inlineStr">
        <x:is>
          <x:t xml:space="preserve">not collected</x:t>
        </x:is>
      </x:c>
      <x:c r="L298" s="17" t="n"/>
    </x:row>
    <x:row r="299">
      <x:c r="A299" s="12" t="inlineStr">
        <x:is>
          <x:t xml:space="preserve">EXT2-135</x:t>
        </x:is>
      </x:c>
      <x:c r="B299" s="12" t="inlineStr">
        <x:is>
          <x:t xml:space="preserve">Food Animal Concerns Trust</x:t>
        </x:is>
      </x:c>
      <x:c r="C299" s="12" t="inlineStr">
        <x:is>
          <x:t xml:space="preserve">extension2_new</x:t>
        </x:is>
      </x:c>
      <x:c r="D299" s="12" t="inlineStr">
        <x:is>
          <x:t xml:space="preserve">Animal welfare and food systems</x:t>
        </x:is>
      </x:c>
      <x:c r="E299" s="12" t="inlineStr">
        <x:is>
          <x:t xml:space="preserve">EA-adjacent</x:t>
        </x:is>
      </x:c>
      <x:c r="F299" s="12" t="inlineStr">
        <x:is>
          <x:t xml:space="preserve">independent nonprofit</x:t>
        </x:is>
      </x:c>
      <x:c r="G299" s="12" t="inlineStr">
        <x:is>
          <x:t xml:space="preserve">no</x:t>
        </x:is>
      </x:c>
      <x:c r="H299" s="12" t="inlineStr">
        <x:is>
          <x:t xml:space="preserve">included</x:t>
        </x:is>
      </x:c>
      <x:c r="I299" s="12" t="inlineStr">
        <x:is>
          <x:t xml:space="preserve">Tier C</x:t>
        </x:is>
      </x:c>
      <x:c r="J299" s="13" t="inlineStr">
        <x:is>
          <x:t xml:space="preserve">Selected under frozen function/scale/EA/structure rules; compensation did not determine selection.</x:t>
        </x:is>
      </x:c>
      <x:c r="K299" s="12" t="inlineStr">
        <x:is>
          <x:t xml:space="preserve">primary_with_structure_flag</x:t>
        </x:is>
      </x:c>
      <x:c r="L299" s="17" t="n"/>
    </x:row>
    <x:row r="300">
      <x:c r="A300" s="12" t="inlineStr">
        <x:is>
          <x:t xml:space="preserve">EXT2-136</x:t>
        </x:is>
      </x:c>
      <x:c r="B300" s="12" t="inlineStr">
        <x:is>
          <x:t xml:space="preserve">Center for a Humane Economy</x:t>
        </x:is>
      </x:c>
      <x:c r="C300" s="12" t="inlineStr">
        <x:is>
          <x:t xml:space="preserve">extension2_new</x:t>
        </x:is>
      </x:c>
      <x:c r="D300" s="12" t="inlineStr">
        <x:is>
          <x:t xml:space="preserve">Animal welfare and food systems</x:t>
        </x:is>
      </x:c>
      <x:c r="E300" s="12" t="inlineStr">
        <x:is>
          <x:t xml:space="preserve">EA-adjacent</x:t>
        </x:is>
      </x:c>
      <x:c r="F300" s="12" t="inlineStr">
        <x:is>
          <x:t xml:space="preserve">independent nonprofit</x:t>
        </x:is>
      </x:c>
      <x:c r="G300" s="12" t="inlineStr">
        <x:is>
          <x:t xml:space="preserve">no</x:t>
        </x:is>
      </x:c>
      <x:c r="H300" s="12" t="inlineStr">
        <x:is>
          <x:t xml:space="preserve">excluded_or_structural</x:t>
        </x:is>
      </x:c>
      <x:c r="I300" s="12" t="inlineStr">
        <x:is>
          <x:t xml:space="preserve">excluded_measurement</x:t>
        </x:is>
      </x:c>
      <x:c r="J300" s="13" t="inlineStr">
        <x:is>
          <x:t xml:space="preserve">No clean paid organization-wide CEO/ED observation in accessible filing table.</x:t>
        </x:is>
      </x:c>
      <x:c r="K300" s="12" t="inlineStr">
        <x:is>
          <x:t xml:space="preserve">excluded_measurement</x:t>
        </x:is>
      </x:c>
      <x:c r="L300" s="17" t="n"/>
    </x:row>
    <x:row r="301">
      <x:c r="A301" s="12" t="inlineStr">
        <x:is>
          <x:t xml:space="preserve">EXT2-137</x:t>
        </x:is>
      </x:c>
      <x:c r="B301" s="12" t="inlineStr">
        <x:is>
          <x:t xml:space="preserve">A Well-Fed World</x:t>
        </x:is>
      </x:c>
      <x:c r="C301" s="12" t="inlineStr">
        <x:is>
          <x:t xml:space="preserve">extension2_new</x:t>
        </x:is>
      </x:c>
      <x:c r="D301" s="12" t="inlineStr">
        <x:is>
          <x:t xml:space="preserve">Animal welfare and food systems</x:t>
        </x:is>
      </x:c>
      <x:c r="E301" s="12" t="inlineStr">
        <x:is>
          <x:t xml:space="preserve">EA-adjacent</x:t>
        </x:is>
      </x:c>
      <x:c r="F301" s="12" t="inlineStr">
        <x:is>
          <x:t xml:space="preserve">public charity / grantmaker</x:t>
        </x:is>
      </x:c>
      <x:c r="G301" s="12" t="inlineStr">
        <x:is>
          <x:t xml:space="preserve">no</x:t>
        </x:is>
      </x:c>
      <x:c r="H301" s="12" t="inlineStr">
        <x:is>
          <x:t xml:space="preserve">frozen_candidate_not_selected</x:t>
        </x:is>
      </x:c>
      <x:c r="I301" s="12" t="inlineStr">
        <x:is>
          <x:t xml:space="preserve">not selected</x:t>
        </x:is>
      </x:c>
      <x:c r="J301" s="13" t="inlineStr">
        <x:is>
          <x:t xml:space="preserve">Frozen candidate; not promoted into the 144-organization quantitative reference set during this pass.</x:t>
        </x:is>
      </x:c>
      <x:c r="K301" s="12" t="inlineStr">
        <x:is>
          <x:t xml:space="preserve">not collected</x:t>
        </x:is>
      </x:c>
      <x:c r="L301" s="17" t="n"/>
    </x:row>
    <x:row r="302">
      <x:c r="A302" s="12" t="inlineStr">
        <x:is>
          <x:t xml:space="preserve">EXT2-138</x:t>
        </x:is>
      </x:c>
      <x:c r="B302" s="12" t="inlineStr">
        <x:is>
          <x:t xml:space="preserve">American Anti-Vivisection Society</x:t>
        </x:is>
      </x:c>
      <x:c r="C302" s="12" t="inlineStr">
        <x:is>
          <x:t xml:space="preserve">extension2_new</x:t>
        </x:is>
      </x:c>
      <x:c r="D302" s="12" t="inlineStr">
        <x:is>
          <x:t xml:space="preserve">Animal welfare and food systems</x:t>
        </x:is>
      </x:c>
      <x:c r="E302" s="12" t="inlineStr">
        <x:is>
          <x:t xml:space="preserve">EA-adjacent</x:t>
        </x:is>
      </x:c>
      <x:c r="F302" s="12" t="inlineStr">
        <x:is>
          <x:t xml:space="preserve">independent nonprofit</x:t>
        </x:is>
      </x:c>
      <x:c r="G302" s="12" t="inlineStr">
        <x:is>
          <x:t xml:space="preserve">no</x:t>
        </x:is>
      </x:c>
      <x:c r="H302" s="12" t="inlineStr">
        <x:is>
          <x:t xml:space="preserve">frozen_candidate_not_selected</x:t>
        </x:is>
      </x:c>
      <x:c r="I302" s="12" t="inlineStr">
        <x:is>
          <x:t xml:space="preserve">not selected</x:t>
        </x:is>
      </x:c>
      <x:c r="J302" s="13" t="inlineStr">
        <x:is>
          <x:t xml:space="preserve">Frozen candidate; not promoted into the 144-organization quantitative reference set during this pass.</x:t>
        </x:is>
      </x:c>
      <x:c r="K302" s="12" t="inlineStr">
        <x:is>
          <x:t xml:space="preserve">not collected</x:t>
        </x:is>
      </x:c>
      <x:c r="L302" s="17" t="n"/>
    </x:row>
    <x:row r="303">
      <x:c r="A303" s="12" t="inlineStr">
        <x:is>
          <x:t xml:space="preserve">EXT2-139</x:t>
        </x:is>
      </x:c>
      <x:c r="B303" s="12" t="inlineStr">
        <x:is>
          <x:t xml:space="preserve">National Anti-Vivisection Society</x:t>
        </x:is>
      </x:c>
      <x:c r="C303" s="12" t="inlineStr">
        <x:is>
          <x:t xml:space="preserve">extension2_new</x:t>
        </x:is>
      </x:c>
      <x:c r="D303" s="12" t="inlineStr">
        <x:is>
          <x:t xml:space="preserve">Animal welfare and food systems</x:t>
        </x:is>
      </x:c>
      <x:c r="E303" s="12" t="inlineStr">
        <x:is>
          <x:t xml:space="preserve">EA-adjacent</x:t>
        </x:is>
      </x:c>
      <x:c r="F303" s="12" t="inlineStr">
        <x:is>
          <x:t xml:space="preserve">independent nonprofit</x:t>
        </x:is>
      </x:c>
      <x:c r="G303" s="12" t="inlineStr">
        <x:is>
          <x:t xml:space="preserve">no</x:t>
        </x:is>
      </x:c>
      <x:c r="H303" s="12" t="inlineStr">
        <x:is>
          <x:t xml:space="preserve">frozen_candidate_not_selected</x:t>
        </x:is>
      </x:c>
      <x:c r="I303" s="12" t="inlineStr">
        <x:is>
          <x:t xml:space="preserve">not selected</x:t>
        </x:is>
      </x:c>
      <x:c r="J303" s="13" t="inlineStr">
        <x:is>
          <x:t xml:space="preserve">Frozen candidate; not promoted into the 144-organization quantitative reference set during this pass.</x:t>
        </x:is>
      </x:c>
      <x:c r="K303" s="12" t="inlineStr">
        <x:is>
          <x:t xml:space="preserve">not collected</x:t>
        </x:is>
      </x:c>
      <x:c r="L303" s="17" t="n"/>
    </x:row>
    <x:row r="304">
      <x:c r="A304" s="12" t="inlineStr">
        <x:is>
          <x:t xml:space="preserve">EXT2-140</x:t>
        </x:is>
      </x:c>
      <x:c r="B304" s="12" t="inlineStr">
        <x:is>
          <x:t xml:space="preserve">Humane Farming Association</x:t>
        </x:is>
      </x:c>
      <x:c r="C304" s="12" t="inlineStr">
        <x:is>
          <x:t xml:space="preserve">extension2_new</x:t>
        </x:is>
      </x:c>
      <x:c r="D304" s="12" t="inlineStr">
        <x:is>
          <x:t xml:space="preserve">Animal welfare and food systems</x:t>
        </x:is>
      </x:c>
      <x:c r="E304" s="12" t="inlineStr">
        <x:is>
          <x:t xml:space="preserve">EA-adjacent</x:t>
        </x:is>
      </x:c>
      <x:c r="F304" s="12" t="inlineStr">
        <x:is>
          <x:t xml:space="preserve">independent nonprofit</x:t>
        </x:is>
      </x:c>
      <x:c r="G304" s="12" t="inlineStr">
        <x:is>
          <x:t xml:space="preserve">no</x:t>
        </x:is>
      </x:c>
      <x:c r="H304" s="12" t="inlineStr">
        <x:is>
          <x:t xml:space="preserve">frozen_candidate_not_selected</x:t>
        </x:is>
      </x:c>
      <x:c r="I304" s="12" t="inlineStr">
        <x:is>
          <x:t xml:space="preserve">not selected</x:t>
        </x:is>
      </x:c>
      <x:c r="J304" s="13" t="inlineStr">
        <x:is>
          <x:t xml:space="preserve">Frozen candidate; not promoted into the 144-organization quantitative reference set during this pass.</x:t>
        </x:is>
      </x:c>
      <x:c r="K304" s="12" t="inlineStr">
        <x:is>
          <x:t xml:space="preserve">not collected</x:t>
        </x:is>
      </x:c>
      <x:c r="L304" s="17" t="n"/>
    </x:row>
    <x:row r="305">
      <x:c r="A305" s="12" t="inlineStr">
        <x:is>
          <x:t xml:space="preserve">EXT2-141</x:t>
        </x:is>
      </x:c>
      <x:c r="B305" s="12" t="inlineStr">
        <x:is>
          <x:t xml:space="preserve">Vegetarian Resource Group</x:t>
        </x:is>
      </x:c>
      <x:c r="C305" s="12" t="inlineStr">
        <x:is>
          <x:t xml:space="preserve">extension2_new</x:t>
        </x:is>
      </x:c>
      <x:c r="D305" s="12" t="inlineStr">
        <x:is>
          <x:t xml:space="preserve">Animal welfare and food systems</x:t>
        </x:is>
      </x:c>
      <x:c r="E305" s="12" t="inlineStr">
        <x:is>
          <x:t xml:space="preserve">EA-adjacent</x:t>
        </x:is>
      </x:c>
      <x:c r="F305" s="12" t="inlineStr">
        <x:is>
          <x:t xml:space="preserve">independent nonprofit</x:t>
        </x:is>
      </x:c>
      <x:c r="G305" s="12" t="inlineStr">
        <x:is>
          <x:t xml:space="preserve">no</x:t>
        </x:is>
      </x:c>
      <x:c r="H305" s="12" t="inlineStr">
        <x:is>
          <x:t xml:space="preserve">frozen_candidate_not_selected</x:t>
        </x:is>
      </x:c>
      <x:c r="I305" s="12" t="inlineStr">
        <x:is>
          <x:t xml:space="preserve">not selected</x:t>
        </x:is>
      </x:c>
      <x:c r="J305" s="13" t="inlineStr">
        <x:is>
          <x:t xml:space="preserve">Frozen candidate; not promoted into the 144-organization quantitative reference set during this pass.</x:t>
        </x:is>
      </x:c>
      <x:c r="K305" s="12" t="inlineStr">
        <x:is>
          <x:t xml:space="preserve">not collected</x:t>
        </x:is>
      </x:c>
      <x:c r="L305" s="17" t="n"/>
    </x:row>
    <x:row r="306">
      <x:c r="A306" s="12" t="inlineStr">
        <x:is>
          <x:t xml:space="preserve">EXT2-142</x:t>
        </x:is>
      </x:c>
      <x:c r="B306" s="12" t="inlineStr">
        <x:is>
          <x:t xml:space="preserve">Vegan Action</x:t>
        </x:is>
      </x:c>
      <x:c r="C306" s="12" t="inlineStr">
        <x:is>
          <x:t xml:space="preserve">extension2_new</x:t>
        </x:is>
      </x:c>
      <x:c r="D306" s="12" t="inlineStr">
        <x:is>
          <x:t xml:space="preserve">Animal welfare and food systems</x:t>
        </x:is>
      </x:c>
      <x:c r="E306" s="12" t="inlineStr">
        <x:is>
          <x:t xml:space="preserve">EA-adjacent</x:t>
        </x:is>
      </x:c>
      <x:c r="F306" s="12" t="inlineStr">
        <x:is>
          <x:t xml:space="preserve">independent nonprofit</x:t>
        </x:is>
      </x:c>
      <x:c r="G306" s="12" t="inlineStr">
        <x:is>
          <x:t xml:space="preserve">no</x:t>
        </x:is>
      </x:c>
      <x:c r="H306" s="12" t="inlineStr">
        <x:is>
          <x:t xml:space="preserve">frozen_candidate_not_selected</x:t>
        </x:is>
      </x:c>
      <x:c r="I306" s="12" t="inlineStr">
        <x:is>
          <x:t xml:space="preserve">not selected</x:t>
        </x:is>
      </x:c>
      <x:c r="J306" s="13" t="inlineStr">
        <x:is>
          <x:t xml:space="preserve">Frozen candidate; not promoted into the 144-organization quantitative reference set during this pass.</x:t>
        </x:is>
      </x:c>
      <x:c r="K306" s="12" t="inlineStr">
        <x:is>
          <x:t xml:space="preserve">not collected</x:t>
        </x:is>
      </x:c>
      <x:c r="L306" s="17" t="n"/>
    </x:row>
    <x:row r="307">
      <x:c r="A307" s="12" t="inlineStr">
        <x:is>
          <x:t xml:space="preserve">EXT2-143</x:t>
        </x:is>
      </x:c>
      <x:c r="B307" s="12" t="inlineStr">
        <x:is>
          <x:t xml:space="preserve">Material Innovation Initiative</x:t>
        </x:is>
      </x:c>
      <x:c r="C307" s="12" t="inlineStr">
        <x:is>
          <x:t xml:space="preserve">extension2_new</x:t>
        </x:is>
      </x:c>
      <x:c r="D307" s="12" t="inlineStr">
        <x:is>
          <x:t xml:space="preserve">Animal welfare and food systems</x:t>
        </x:is>
      </x:c>
      <x:c r="E307" s="12" t="inlineStr">
        <x:is>
          <x:t xml:space="preserve">EA-adjacent</x:t>
        </x:is>
      </x:c>
      <x:c r="F307" s="12" t="inlineStr">
        <x:is>
          <x:t xml:space="preserve">independent nonprofit</x:t>
        </x:is>
      </x:c>
      <x:c r="G307" s="12" t="inlineStr">
        <x:is>
          <x:t xml:space="preserve">no</x:t>
        </x:is>
      </x:c>
      <x:c r="H307" s="12" t="inlineStr">
        <x:is>
          <x:t xml:space="preserve">frozen_candidate_not_selected</x:t>
        </x:is>
      </x:c>
      <x:c r="I307" s="12" t="inlineStr">
        <x:is>
          <x:t xml:space="preserve">not selected</x:t>
        </x:is>
      </x:c>
      <x:c r="J307" s="13" t="inlineStr">
        <x:is>
          <x:t xml:space="preserve">Frozen candidate; not promoted into the 144-organization quantitative reference set during this pass.</x:t>
        </x:is>
      </x:c>
      <x:c r="K307" s="12" t="inlineStr">
        <x:is>
          <x:t xml:space="preserve">not collected</x:t>
        </x:is>
      </x:c>
      <x:c r="L307" s="17" t="n"/>
    </x:row>
    <x:row r="308">
      <x:c r="A308" s="12" t="inlineStr">
        <x:is>
          <x:t xml:space="preserve">EXT2-144</x:t>
        </x:is>
      </x:c>
      <x:c r="B308" s="12" t="inlineStr">
        <x:is>
          <x:t xml:space="preserve">Four Paws USA</x:t>
        </x:is>
      </x:c>
      <x:c r="C308" s="12" t="inlineStr">
        <x:is>
          <x:t xml:space="preserve">extension2_new</x:t>
        </x:is>
      </x:c>
      <x:c r="D308" s="12" t="inlineStr">
        <x:is>
          <x:t xml:space="preserve">Animal welfare and food systems</x:t>
        </x:is>
      </x:c>
      <x:c r="E308" s="12" t="inlineStr">
        <x:is>
          <x:t xml:space="preserve">EA-adjacent</x:t>
        </x:is>
      </x:c>
      <x:c r="F308" s="12" t="inlineStr">
        <x:is>
          <x:t xml:space="preserve">international nonprofit affiliate</x:t>
        </x:is>
      </x:c>
      <x:c r="G308" s="12" t="inlineStr">
        <x:is>
          <x:t xml:space="preserve">no</x:t>
        </x:is>
      </x:c>
      <x:c r="H308" s="12" t="inlineStr">
        <x:is>
          <x:t xml:space="preserve">frozen_candidate_not_selected</x:t>
        </x:is>
      </x:c>
      <x:c r="I308" s="12" t="inlineStr">
        <x:is>
          <x:t xml:space="preserve">not selected</x:t>
        </x:is>
      </x:c>
      <x:c r="J308" s="13" t="inlineStr">
        <x:is>
          <x:t xml:space="preserve">Frozen candidate; not promoted into the 144-organization quantitative reference set during this pass.</x:t>
        </x:is>
      </x:c>
      <x:c r="K308" s="12" t="inlineStr">
        <x:is>
          <x:t xml:space="preserve">not collected</x:t>
        </x:is>
      </x:c>
      <x:c r="L308" s="17" t="n"/>
    </x:row>
    <x:row r="309">
      <x:c r="A309" s="12" t="inlineStr">
        <x:is>
          <x:t xml:space="preserve">EXT2-145</x:t>
        </x:is>
      </x:c>
      <x:c r="B309" s="12" t="inlineStr">
        <x:is>
          <x:t xml:space="preserve">The Pollination Project</x:t>
        </x:is>
      </x:c>
      <x:c r="C309" s="12" t="inlineStr">
        <x:is>
          <x:t xml:space="preserve">extension2_new</x:t>
        </x:is>
      </x:c>
      <x:c r="D309" s="12" t="inlineStr">
        <x:is>
          <x:t xml:space="preserve">Animal welfare and food systems</x:t>
        </x:is>
      </x:c>
      <x:c r="E309" s="12" t="inlineStr">
        <x:is>
          <x:t xml:space="preserve">EA-adjacent</x:t>
        </x:is>
      </x:c>
      <x:c r="F309" s="12" t="inlineStr">
        <x:is>
          <x:t xml:space="preserve">public charity / grantmaker</x:t>
        </x:is>
      </x:c>
      <x:c r="G309" s="12" t="inlineStr">
        <x:is>
          <x:t xml:space="preserve">no</x:t>
        </x:is>
      </x:c>
      <x:c r="H309" s="12" t="inlineStr">
        <x:is>
          <x:t xml:space="preserve">frozen_candidate_not_selected</x:t>
        </x:is>
      </x:c>
      <x:c r="I309" s="12" t="inlineStr">
        <x:is>
          <x:t xml:space="preserve">not selected</x:t>
        </x:is>
      </x:c>
      <x:c r="J309" s="13" t="inlineStr">
        <x:is>
          <x:t xml:space="preserve">Frozen candidate; not promoted into the 144-organization quantitative reference set during this pass.</x:t>
        </x:is>
      </x:c>
      <x:c r="K309" s="12" t="inlineStr">
        <x:is>
          <x:t xml:space="preserve">not collected</x:t>
        </x:is>
      </x:c>
      <x:c r="L309" s="17" t="n"/>
    </x:row>
    <x:row r="310">
      <x:c r="A310" s="12" t="inlineStr">
        <x:is>
          <x:t xml:space="preserve">EXT3-001</x:t>
        </x:is>
      </x:c>
      <x:c r="B310" s="12" t="inlineStr">
        <x:is>
          <x:t xml:space="preserve">American Enterprise Institute</x:t>
        </x:is>
      </x:c>
      <x:c r="C310" s="12" t="inlineStr">
        <x:is>
          <x:t xml:space="preserve">extension3_frozen</x:t>
        </x:is>
      </x:c>
      <x:c r="D310" s="12" t="inlineStr">
        <x:is>
          <x:t xml:space="preserve">policy and evidence</x:t>
        </x:is>
      </x:c>
      <x:c r="E310" s="12" t="inlineStr">
        <x:is>
          <x:t xml:space="preserve">functional-only</x:t>
        </x:is>
      </x:c>
      <x:c r="F310" s="12" t="inlineStr">
        <x:is>
          <x:t xml:space="preserve">independent nonprofit</x:t>
        </x:is>
      </x:c>
      <x:c r="G310" s="12" t="inlineStr">
        <x:is>
          <x:t xml:space="preserve">no</x:t>
        </x:is>
      </x:c>
      <x:c r="H310" s="12" t="inlineStr">
        <x:is>
          <x:t xml:space="preserve">frozen_candidate_not_selected</x:t>
        </x:is>
      </x:c>
      <x:c r="I310" s="12" t="inlineStr">
        <x:is>
          <x:t xml:space="preserve">not selected</x:t>
        </x:is>
      </x:c>
      <x:c r="J310" s="13" t="inlineStr">
        <x:is>
          <x:t xml:space="preserve">Frozen candidate; not promoted into the 144-organization quantitative reference set during this pass.</x:t>
        </x:is>
      </x:c>
      <x:c r="K310" s="12" t="inlineStr">
        <x:is>
          <x:t xml:space="preserve">not collected</x:t>
        </x:is>
      </x:c>
      <x:c r="L310" s="16" t="inlineStr">
        <x:is>
          <x:t xml:space="preserve">https://projects.propublica.org/nonprofits/search?q=American%20Enterprise%20Institute</x:t>
        </x:is>
      </x:c>
    </x:row>
    <x:row r="311">
      <x:c r="A311" s="12" t="inlineStr">
        <x:is>
          <x:t xml:space="preserve">EXT3-002</x:t>
        </x:is>
      </x:c>
      <x:c r="B311" s="12" t="inlineStr">
        <x:is>
          <x:t xml:space="preserve">Brookings Institution</x:t>
        </x:is>
      </x:c>
      <x:c r="C311" s="12" t="inlineStr">
        <x:is>
          <x:t xml:space="preserve">extension3_frozen</x:t>
        </x:is>
      </x:c>
      <x:c r="D311" s="12" t="inlineStr">
        <x:is>
          <x:t xml:space="preserve">policy and evidence</x:t>
        </x:is>
      </x:c>
      <x:c r="E311" s="12" t="inlineStr">
        <x:is>
          <x:t xml:space="preserve">functional-only</x:t>
        </x:is>
      </x:c>
      <x:c r="F311" s="12" t="inlineStr">
        <x:is>
          <x:t xml:space="preserve">independent nonprofit</x:t>
        </x:is>
      </x:c>
      <x:c r="G311" s="12" t="inlineStr">
        <x:is>
          <x:t xml:space="preserve">no</x:t>
        </x:is>
      </x:c>
      <x:c r="H311" s="12" t="inlineStr">
        <x:is>
          <x:t xml:space="preserve">frozen_candidate_not_selected</x:t>
        </x:is>
      </x:c>
      <x:c r="I311" s="12" t="inlineStr">
        <x:is>
          <x:t xml:space="preserve">not selected</x:t>
        </x:is>
      </x:c>
      <x:c r="J311" s="13" t="inlineStr">
        <x:is>
          <x:t xml:space="preserve">Frozen candidate; not promoted into the 144-organization quantitative reference set during this pass.</x:t>
        </x:is>
      </x:c>
      <x:c r="K311" s="12" t="inlineStr">
        <x:is>
          <x:t xml:space="preserve">not collected</x:t>
        </x:is>
      </x:c>
      <x:c r="L311" s="16" t="inlineStr">
        <x:is>
          <x:t xml:space="preserve">https://projects.propublica.org/nonprofits/search?q=Brookings%20Institution</x:t>
        </x:is>
      </x:c>
    </x:row>
    <x:row r="312">
      <x:c r="A312" s="12" t="inlineStr">
        <x:is>
          <x:t xml:space="preserve">EXT3-003</x:t>
        </x:is>
      </x:c>
      <x:c r="B312" s="12" t="inlineStr">
        <x:is>
          <x:t xml:space="preserve">Cato Institute</x:t>
        </x:is>
      </x:c>
      <x:c r="C312" s="12" t="inlineStr">
        <x:is>
          <x:t xml:space="preserve">extension3_frozen</x:t>
        </x:is>
      </x:c>
      <x:c r="D312" s="12" t="inlineStr">
        <x:is>
          <x:t xml:space="preserve">policy and evidence</x:t>
        </x:is>
      </x:c>
      <x:c r="E312" s="12" t="inlineStr">
        <x:is>
          <x:t xml:space="preserve">functional-only</x:t>
        </x:is>
      </x:c>
      <x:c r="F312" s="12" t="inlineStr">
        <x:is>
          <x:t xml:space="preserve">independent nonprofit</x:t>
        </x:is>
      </x:c>
      <x:c r="G312" s="12" t="inlineStr">
        <x:is>
          <x:t xml:space="preserve">no</x:t>
        </x:is>
      </x:c>
      <x:c r="H312" s="12" t="inlineStr">
        <x:is>
          <x:t xml:space="preserve">frozen_candidate_not_selected</x:t>
        </x:is>
      </x:c>
      <x:c r="I312" s="12" t="inlineStr">
        <x:is>
          <x:t xml:space="preserve">not selected</x:t>
        </x:is>
      </x:c>
      <x:c r="J312" s="13" t="inlineStr">
        <x:is>
          <x:t xml:space="preserve">Frozen candidate; not promoted into the 144-organization quantitative reference set during this pass.</x:t>
        </x:is>
      </x:c>
      <x:c r="K312" s="12" t="inlineStr">
        <x:is>
          <x:t xml:space="preserve">not collected</x:t>
        </x:is>
      </x:c>
      <x:c r="L312" s="16" t="inlineStr">
        <x:is>
          <x:t xml:space="preserve">https://projects.propublica.org/nonprofits/search?q=Cato%20Institute</x:t>
        </x:is>
      </x:c>
    </x:row>
    <x:row r="313">
      <x:c r="A313" s="12" t="inlineStr">
        <x:is>
          <x:t xml:space="preserve">EXT3-004</x:t>
        </x:is>
      </x:c>
      <x:c r="B313" s="12" t="inlineStr">
        <x:is>
          <x:t xml:space="preserve">Center for American Progress</x:t>
        </x:is>
      </x:c>
      <x:c r="C313" s="12" t="inlineStr">
        <x:is>
          <x:t xml:space="preserve">extension3_frozen</x:t>
        </x:is>
      </x:c>
      <x:c r="D313" s="12" t="inlineStr">
        <x:is>
          <x:t xml:space="preserve">policy and evidence</x:t>
        </x:is>
      </x:c>
      <x:c r="E313" s="12" t="inlineStr">
        <x:is>
          <x:t xml:space="preserve">functional-only</x:t>
        </x:is>
      </x:c>
      <x:c r="F313" s="12" t="inlineStr">
        <x:is>
          <x:t xml:space="preserve">independent nonprofit</x:t>
        </x:is>
      </x:c>
      <x:c r="G313" s="12" t="inlineStr">
        <x:is>
          <x:t xml:space="preserve">no</x:t>
        </x:is>
      </x:c>
      <x:c r="H313" s="12" t="inlineStr">
        <x:is>
          <x:t xml:space="preserve">frozen_candidate_not_selected</x:t>
        </x:is>
      </x:c>
      <x:c r="I313" s="12" t="inlineStr">
        <x:is>
          <x:t xml:space="preserve">not selected</x:t>
        </x:is>
      </x:c>
      <x:c r="J313" s="13" t="inlineStr">
        <x:is>
          <x:t xml:space="preserve">Frozen candidate; not promoted into the 144-organization quantitative reference set during this pass.</x:t>
        </x:is>
      </x:c>
      <x:c r="K313" s="12" t="inlineStr">
        <x:is>
          <x:t xml:space="preserve">not collected</x:t>
        </x:is>
      </x:c>
      <x:c r="L313" s="16" t="inlineStr">
        <x:is>
          <x:t xml:space="preserve">https://projects.propublica.org/nonprofits/search?q=Center%20for%20American%20Progress</x:t>
        </x:is>
      </x:c>
    </x:row>
    <x:row r="314">
      <x:c r="A314" s="12" t="inlineStr">
        <x:is>
          <x:t xml:space="preserve">EXT3-005</x:t>
        </x:is>
      </x:c>
      <x:c r="B314" s="12" t="inlineStr">
        <x:is>
          <x:t xml:space="preserve">Manhattan Institute for Policy Research</x:t>
        </x:is>
      </x:c>
      <x:c r="C314" s="12" t="inlineStr">
        <x:is>
          <x:t xml:space="preserve">extension3_frozen</x:t>
        </x:is>
      </x:c>
      <x:c r="D314" s="12" t="inlineStr">
        <x:is>
          <x:t xml:space="preserve">policy and evidence</x:t>
        </x:is>
      </x:c>
      <x:c r="E314" s="12" t="inlineStr">
        <x:is>
          <x:t xml:space="preserve">functional-only</x:t>
        </x:is>
      </x:c>
      <x:c r="F314" s="12" t="inlineStr">
        <x:is>
          <x:t xml:space="preserve">independent nonprofit</x:t>
        </x:is>
      </x:c>
      <x:c r="G314" s="12" t="inlineStr">
        <x:is>
          <x:t xml:space="preserve">no</x:t>
        </x:is>
      </x:c>
      <x:c r="H314" s="12" t="inlineStr">
        <x:is>
          <x:t xml:space="preserve">frozen_candidate_not_selected</x:t>
        </x:is>
      </x:c>
      <x:c r="I314" s="12" t="inlineStr">
        <x:is>
          <x:t xml:space="preserve">not selected</x:t>
        </x:is>
      </x:c>
      <x:c r="J314" s="13" t="inlineStr">
        <x:is>
          <x:t xml:space="preserve">Frozen candidate; not promoted into the 144-organization quantitative reference set during this pass.</x:t>
        </x:is>
      </x:c>
      <x:c r="K314" s="12" t="inlineStr">
        <x:is>
          <x:t xml:space="preserve">not collected</x:t>
        </x:is>
      </x:c>
      <x:c r="L314" s="16" t="inlineStr">
        <x:is>
          <x:t xml:space="preserve">https://projects.propublica.org/nonprofits/search?q=Manhattan%20Institute%20for%20Policy%20Research</x:t>
        </x:is>
      </x:c>
    </x:row>
    <x:row r="315">
      <x:c r="A315" s="12" t="inlineStr">
        <x:is>
          <x:t xml:space="preserve">EXT3-006</x:t>
        </x:is>
      </x:c>
      <x:c r="B315" s="12" t="inlineStr">
        <x:is>
          <x:t xml:space="preserve">Aspen Institute</x:t>
        </x:is>
      </x:c>
      <x:c r="C315" s="12" t="inlineStr">
        <x:is>
          <x:t xml:space="preserve">extension3_frozen</x:t>
        </x:is>
      </x:c>
      <x:c r="D315" s="12" t="inlineStr">
        <x:is>
          <x:t xml:space="preserve">policy and evidence</x:t>
        </x:is>
      </x:c>
      <x:c r="E315" s="12" t="inlineStr">
        <x:is>
          <x:t xml:space="preserve">functional-only</x:t>
        </x:is>
      </x:c>
      <x:c r="F315" s="12" t="inlineStr">
        <x:is>
          <x:t xml:space="preserve">independent nonprofit</x:t>
        </x:is>
      </x:c>
      <x:c r="G315" s="12" t="inlineStr">
        <x:is>
          <x:t xml:space="preserve">no</x:t>
        </x:is>
      </x:c>
      <x:c r="H315" s="12" t="inlineStr">
        <x:is>
          <x:t xml:space="preserve">frozen_candidate_not_selected</x:t>
        </x:is>
      </x:c>
      <x:c r="I315" s="12" t="inlineStr">
        <x:is>
          <x:t xml:space="preserve">not selected</x:t>
        </x:is>
      </x:c>
      <x:c r="J315" s="13" t="inlineStr">
        <x:is>
          <x:t xml:space="preserve">Frozen candidate; not promoted into the 144-organization quantitative reference set during this pass.</x:t>
        </x:is>
      </x:c>
      <x:c r="K315" s="12" t="inlineStr">
        <x:is>
          <x:t xml:space="preserve">not collected</x:t>
        </x:is>
      </x:c>
      <x:c r="L315" s="16" t="inlineStr">
        <x:is>
          <x:t xml:space="preserve">https://projects.propublica.org/nonprofits/search?q=Aspen%20Institute</x:t>
        </x:is>
      </x:c>
    </x:row>
    <x:row r="316">
      <x:c r="A316" s="12" t="inlineStr">
        <x:is>
          <x:t xml:space="preserve">EXT3-007</x:t>
        </x:is>
      </x:c>
      <x:c r="B316" s="12" t="inlineStr">
        <x:is>
          <x:t xml:space="preserve">Washington Center for Equitable Growth</x:t>
        </x:is>
      </x:c>
      <x:c r="C316" s="12" t="inlineStr">
        <x:is>
          <x:t xml:space="preserve">extension3_frozen</x:t>
        </x:is>
      </x:c>
      <x:c r="D316" s="12" t="inlineStr">
        <x:is>
          <x:t xml:space="preserve">policy and evidence</x:t>
        </x:is>
      </x:c>
      <x:c r="E316" s="12" t="inlineStr">
        <x:is>
          <x:t xml:space="preserve">functional-only</x:t>
        </x:is>
      </x:c>
      <x:c r="F316" s="12" t="inlineStr">
        <x:is>
          <x:t xml:space="preserve">independent nonprofit</x:t>
        </x:is>
      </x:c>
      <x:c r="G316" s="12" t="inlineStr">
        <x:is>
          <x:t xml:space="preserve">no</x:t>
        </x:is>
      </x:c>
      <x:c r="H316" s="12" t="inlineStr">
        <x:is>
          <x:t xml:space="preserve">frozen_candidate_not_selected</x:t>
        </x:is>
      </x:c>
      <x:c r="I316" s="12" t="inlineStr">
        <x:is>
          <x:t xml:space="preserve">not selected</x:t>
        </x:is>
      </x:c>
      <x:c r="J316" s="13" t="inlineStr">
        <x:is>
          <x:t xml:space="preserve">Frozen candidate; not promoted into the 144-organization quantitative reference set during this pass.</x:t>
        </x:is>
      </x:c>
      <x:c r="K316" s="12" t="inlineStr">
        <x:is>
          <x:t xml:space="preserve">not collected</x:t>
        </x:is>
      </x:c>
      <x:c r="L316" s="16" t="inlineStr">
        <x:is>
          <x:t xml:space="preserve">https://projects.propublica.org/nonprofits/search?q=Washington%20Center%20for%20Equitable%20Growth</x:t>
        </x:is>
      </x:c>
    </x:row>
    <x:row r="317">
      <x:c r="A317" s="12" t="inlineStr">
        <x:is>
          <x:t xml:space="preserve">EXT3-008</x:t>
        </x:is>
      </x:c>
      <x:c r="B317" s="12" t="inlineStr">
        <x:is>
          <x:t xml:space="preserve">Economic Innovation Group</x:t>
        </x:is>
      </x:c>
      <x:c r="C317" s="12" t="inlineStr">
        <x:is>
          <x:t xml:space="preserve">extension3_frozen</x:t>
        </x:is>
      </x:c>
      <x:c r="D317" s="12" t="inlineStr">
        <x:is>
          <x:t xml:space="preserve">policy and evidence</x:t>
        </x:is>
      </x:c>
      <x:c r="E317" s="12" t="inlineStr">
        <x:is>
          <x:t xml:space="preserve">functional-only</x:t>
        </x:is>
      </x:c>
      <x:c r="F317" s="12" t="inlineStr">
        <x:is>
          <x:t xml:space="preserve">independent nonprofit</x:t>
        </x:is>
      </x:c>
      <x:c r="G317" s="12" t="inlineStr">
        <x:is>
          <x:t xml:space="preserve">no</x:t>
        </x:is>
      </x:c>
      <x:c r="H317" s="12" t="inlineStr">
        <x:is>
          <x:t xml:space="preserve">included</x:t>
        </x:is>
      </x:c>
      <x:c r="I317" s="12" t="inlineStr">
        <x:is>
          <x:t xml:space="preserve">Tier B</x:t>
        </x:is>
      </x:c>
      <x:c r="J317" s="13" t="inlineStr">
        <x:is>
          <x:t xml:space="preserve">Selected under frozen function/scale/EA/structure rules; compensation did not determine selection.</x:t>
        </x:is>
      </x:c>
      <x:c r="K317" s="12" t="inlineStr">
        <x:is>
          <x:t xml:space="preserve">primary_with_structure_flag</x:t>
        </x:is>
      </x:c>
      <x:c r="L317" s="16" t="inlineStr">
        <x:is>
          <x:t xml:space="preserve">https://projects.propublica.org/nonprofits/search?q=Economic%20Innovation%20Group</x:t>
        </x:is>
      </x:c>
    </x:row>
    <x:row r="318">
      <x:c r="A318" s="12" t="inlineStr">
        <x:is>
          <x:t xml:space="preserve">EXT3-009</x:t>
        </x:is>
      </x:c>
      <x:c r="B318" s="12" t="inlineStr">
        <x:is>
          <x:t xml:space="preserve">Progressive Policy Institute</x:t>
        </x:is>
      </x:c>
      <x:c r="C318" s="12" t="inlineStr">
        <x:is>
          <x:t xml:space="preserve">extension3_frozen</x:t>
        </x:is>
      </x:c>
      <x:c r="D318" s="12" t="inlineStr">
        <x:is>
          <x:t xml:space="preserve">policy and evidence</x:t>
        </x:is>
      </x:c>
      <x:c r="E318" s="12" t="inlineStr">
        <x:is>
          <x:t xml:space="preserve">functional-only</x:t>
        </x:is>
      </x:c>
      <x:c r="F318" s="12" t="inlineStr">
        <x:is>
          <x:t xml:space="preserve">independent nonprofit</x:t>
        </x:is>
      </x:c>
      <x:c r="G318" s="12" t="inlineStr">
        <x:is>
          <x:t xml:space="preserve">no</x:t>
        </x:is>
      </x:c>
      <x:c r="H318" s="12" t="inlineStr">
        <x:is>
          <x:t xml:space="preserve">frozen_candidate_not_selected</x:t>
        </x:is>
      </x:c>
      <x:c r="I318" s="12" t="inlineStr">
        <x:is>
          <x:t xml:space="preserve">not selected</x:t>
        </x:is>
      </x:c>
      <x:c r="J318" s="13" t="inlineStr">
        <x:is>
          <x:t xml:space="preserve">Frozen candidate; not promoted into the 144-organization quantitative reference set during this pass.</x:t>
        </x:is>
      </x:c>
      <x:c r="K318" s="12" t="inlineStr">
        <x:is>
          <x:t xml:space="preserve">not collected</x:t>
        </x:is>
      </x:c>
      <x:c r="L318" s="16" t="inlineStr">
        <x:is>
          <x:t xml:space="preserve">https://projects.propublica.org/nonprofits/search?q=Progressive%20Policy%20Institute</x:t>
        </x:is>
      </x:c>
    </x:row>
    <x:row r="319">
      <x:c r="A319" s="12" t="inlineStr">
        <x:is>
          <x:t xml:space="preserve">EXT3-010</x:t>
        </x:is>
      </x:c>
      <x:c r="B319" s="12" t="inlineStr">
        <x:is>
          <x:t xml:space="preserve">Jain Family Institute</x:t>
        </x:is>
      </x:c>
      <x:c r="C319" s="12" t="inlineStr">
        <x:is>
          <x:t xml:space="preserve">extension3_frozen</x:t>
        </x:is>
      </x:c>
      <x:c r="D319" s="12" t="inlineStr">
        <x:is>
          <x:t xml:space="preserve">policy and evidence</x:t>
        </x:is>
      </x:c>
      <x:c r="E319" s="12" t="inlineStr">
        <x:is>
          <x:t xml:space="preserve">EA-adjacent</x:t>
        </x:is>
      </x:c>
      <x:c r="F319" s="12" t="inlineStr">
        <x:is>
          <x:t xml:space="preserve">independent nonprofit</x:t>
        </x:is>
      </x:c>
      <x:c r="G319" s="12" t="inlineStr">
        <x:is>
          <x:t xml:space="preserve">no</x:t>
        </x:is>
      </x:c>
      <x:c r="H319" s="12" t="inlineStr">
        <x:is>
          <x:t xml:space="preserve">included</x:t>
        </x:is>
      </x:c>
      <x:c r="I319" s="12" t="inlineStr">
        <x:is>
          <x:t xml:space="preserve">Tier A</x:t>
        </x:is>
      </x:c>
      <x:c r="J319" s="13" t="inlineStr">
        <x:is>
          <x:t xml:space="preserve">Selected under frozen function/scale/EA/structure rules; compensation did not determine selection.</x:t>
        </x:is>
      </x:c>
      <x:c r="K319" s="12" t="inlineStr">
        <x:is>
          <x:t xml:space="preserve">primary</x:t>
        </x:is>
      </x:c>
      <x:c r="L319" s="16" t="inlineStr">
        <x:is>
          <x:t xml:space="preserve">https://projects.propublica.org/nonprofits/search?q=Jain%20Family%20Institute</x:t>
        </x:is>
      </x:c>
    </x:row>
    <x:row r="320">
      <x:c r="A320" s="12" t="inlineStr">
        <x:is>
          <x:t xml:space="preserve">EXT3-011</x:t>
        </x:is>
      </x:c>
      <x:c r="B320" s="12" t="inlineStr">
        <x:is>
          <x:t xml:space="preserve">Center on Budget and Policy Priorities</x:t>
        </x:is>
      </x:c>
      <x:c r="C320" s="12" t="inlineStr">
        <x:is>
          <x:t xml:space="preserve">extension3_frozen</x:t>
        </x:is>
      </x:c>
      <x:c r="D320" s="12" t="inlineStr">
        <x:is>
          <x:t xml:space="preserve">policy and evidence</x:t>
        </x:is>
      </x:c>
      <x:c r="E320" s="12" t="inlineStr">
        <x:is>
          <x:t xml:space="preserve">functional-only</x:t>
        </x:is>
      </x:c>
      <x:c r="F320" s="12" t="inlineStr">
        <x:is>
          <x:t xml:space="preserve">independent nonprofit</x:t>
        </x:is>
      </x:c>
      <x:c r="G320" s="12" t="inlineStr">
        <x:is>
          <x:t xml:space="preserve">no</x:t>
        </x:is>
      </x:c>
      <x:c r="H320" s="12" t="inlineStr">
        <x:is>
          <x:t xml:space="preserve">frozen_candidate_not_selected</x:t>
        </x:is>
      </x:c>
      <x:c r="I320" s="12" t="inlineStr">
        <x:is>
          <x:t xml:space="preserve">not selected</x:t>
        </x:is>
      </x:c>
      <x:c r="J320" s="13" t="inlineStr">
        <x:is>
          <x:t xml:space="preserve">Frozen candidate; not promoted into the 144-organization quantitative reference set during this pass.</x:t>
        </x:is>
      </x:c>
      <x:c r="K320" s="12" t="inlineStr">
        <x:is>
          <x:t xml:space="preserve">not collected</x:t>
        </x:is>
      </x:c>
      <x:c r="L320" s="16" t="inlineStr">
        <x:is>
          <x:t xml:space="preserve">https://projects.propublica.org/nonprofits/search?q=Center%20on%20Budget%20and%20Policy%20Priorities</x:t>
        </x:is>
      </x:c>
    </x:row>
    <x:row r="321">
      <x:c r="A321" s="12" t="inlineStr">
        <x:is>
          <x:t xml:space="preserve">EXT3-012</x:t>
        </x:is>
      </x:c>
      <x:c r="B321" s="12" t="inlineStr">
        <x:is>
          <x:t xml:space="preserve">The Commonwealth Fund</x:t>
        </x:is>
      </x:c>
      <x:c r="C321" s="12" t="inlineStr">
        <x:is>
          <x:t xml:space="preserve">extension3_frozen</x:t>
        </x:is>
      </x:c>
      <x:c r="D321" s="12" t="inlineStr">
        <x:is>
          <x:t xml:space="preserve">health policy and evidence</x:t>
        </x:is>
      </x:c>
      <x:c r="E321" s="12" t="inlineStr">
        <x:is>
          <x:t xml:space="preserve">functional-only</x:t>
        </x:is>
      </x:c>
      <x:c r="F321" s="12" t="inlineStr">
        <x:is>
          <x:t xml:space="preserve">private operating foundation</x:t>
        </x:is>
      </x:c>
      <x:c r="G321" s="12" t="inlineStr">
        <x:is>
          <x:t xml:space="preserve">no</x:t>
        </x:is>
      </x:c>
      <x:c r="H321" s="12" t="inlineStr">
        <x:is>
          <x:t xml:space="preserve">frozen_candidate_not_selected</x:t>
        </x:is>
      </x:c>
      <x:c r="I321" s="12" t="inlineStr">
        <x:is>
          <x:t xml:space="preserve">not selected</x:t>
        </x:is>
      </x:c>
      <x:c r="J321" s="13" t="inlineStr">
        <x:is>
          <x:t xml:space="preserve">Frozen candidate; not promoted into the 144-organization quantitative reference set during this pass.</x:t>
        </x:is>
      </x:c>
      <x:c r="K321" s="12" t="inlineStr">
        <x:is>
          <x:t xml:space="preserve">not collected</x:t>
        </x:is>
      </x:c>
      <x:c r="L321" s="16" t="inlineStr">
        <x:is>
          <x:t xml:space="preserve">https://projects.propublica.org/nonprofits/search?q=The%20Commonwealth%20Fund</x:t>
        </x:is>
      </x:c>
    </x:row>
    <x:row r="322">
      <x:c r="A322" s="12" t="inlineStr">
        <x:is>
          <x:t xml:space="preserve">EXT3-013</x:t>
        </x:is>
      </x:c>
      <x:c r="B322" s="12" t="inlineStr">
        <x:is>
          <x:t xml:space="preserve">KFF</x:t>
        </x:is>
      </x:c>
      <x:c r="C322" s="12" t="inlineStr">
        <x:is>
          <x:t xml:space="preserve">extension3_frozen</x:t>
        </x:is>
      </x:c>
      <x:c r="D322" s="12" t="inlineStr">
        <x:is>
          <x:t xml:space="preserve">health policy and evidence</x:t>
        </x:is>
      </x:c>
      <x:c r="E322" s="12" t="inlineStr">
        <x:is>
          <x:t xml:space="preserve">functional-only</x:t>
        </x:is>
      </x:c>
      <x:c r="F322" s="12" t="inlineStr">
        <x:is>
          <x:t xml:space="preserve">independent nonprofit</x:t>
        </x:is>
      </x:c>
      <x:c r="G322" s="12" t="inlineStr">
        <x:is>
          <x:t xml:space="preserve">no</x:t>
        </x:is>
      </x:c>
      <x:c r="H322" s="12" t="inlineStr">
        <x:is>
          <x:t xml:space="preserve">frozen_candidate_not_selected</x:t>
        </x:is>
      </x:c>
      <x:c r="I322" s="12" t="inlineStr">
        <x:is>
          <x:t xml:space="preserve">not selected</x:t>
        </x:is>
      </x:c>
      <x:c r="J322" s="13" t="inlineStr">
        <x:is>
          <x:t xml:space="preserve">Frozen candidate; not promoted into the 144-organization quantitative reference set during this pass.</x:t>
        </x:is>
      </x:c>
      <x:c r="K322" s="12" t="inlineStr">
        <x:is>
          <x:t xml:space="preserve">not collected</x:t>
        </x:is>
      </x:c>
      <x:c r="L322" s="16" t="inlineStr">
        <x:is>
          <x:t xml:space="preserve">https://projects.propublica.org/nonprofits/search?q=KFF</x:t>
        </x:is>
      </x:c>
    </x:row>
    <x:row r="323">
      <x:c r="A323" s="12" t="inlineStr">
        <x:is>
          <x:t xml:space="preserve">EXT3-014</x:t>
        </x:is>
      </x:c>
      <x:c r="B323" s="12" t="inlineStr">
        <x:is>
          <x:t xml:space="preserve">American Institutes for Research</x:t>
        </x:is>
      </x:c>
      <x:c r="C323" s="12" t="inlineStr">
        <x:is>
          <x:t xml:space="preserve">extension3_frozen</x:t>
        </x:is>
      </x:c>
      <x:c r="D323" s="12" t="inlineStr">
        <x:is>
          <x:t xml:space="preserve">research and evaluation</x:t>
        </x:is>
      </x:c>
      <x:c r="E323" s="12" t="inlineStr">
        <x:is>
          <x:t xml:space="preserve">functional-only</x:t>
        </x:is>
      </x:c>
      <x:c r="F323" s="12" t="inlineStr">
        <x:is>
          <x:t xml:space="preserve">independent nonprofit</x:t>
        </x:is>
      </x:c>
      <x:c r="G323" s="12" t="inlineStr">
        <x:is>
          <x:t xml:space="preserve">no</x:t>
        </x:is>
      </x:c>
      <x:c r="H323" s="12" t="inlineStr">
        <x:is>
          <x:t xml:space="preserve">frozen_candidate_not_selected</x:t>
        </x:is>
      </x:c>
      <x:c r="I323" s="12" t="inlineStr">
        <x:is>
          <x:t xml:space="preserve">not selected</x:t>
        </x:is>
      </x:c>
      <x:c r="J323" s="13" t="inlineStr">
        <x:is>
          <x:t xml:space="preserve">Frozen candidate; not promoted into the 144-organization quantitative reference set during this pass.</x:t>
        </x:is>
      </x:c>
      <x:c r="K323" s="12" t="inlineStr">
        <x:is>
          <x:t xml:space="preserve">not collected</x:t>
        </x:is>
      </x:c>
      <x:c r="L323" s="16" t="inlineStr">
        <x:is>
          <x:t xml:space="preserve">https://projects.propublica.org/nonprofits/search?q=American%20Institutes%20for%20Research</x:t>
        </x:is>
      </x:c>
    </x:row>
    <x:row r="324">
      <x:c r="A324" s="12" t="inlineStr">
        <x:is>
          <x:t xml:space="preserve">EXT3-015</x:t>
        </x:is>
      </x:c>
      <x:c r="B324" s="12" t="inlineStr">
        <x:is>
          <x:t xml:space="preserve">Child Trends</x:t>
        </x:is>
      </x:c>
      <x:c r="C324" s="12" t="inlineStr">
        <x:is>
          <x:t xml:space="preserve">extension3_frozen</x:t>
        </x:is>
      </x:c>
      <x:c r="D324" s="12" t="inlineStr">
        <x:is>
          <x:t xml:space="preserve">research and evaluation</x:t>
        </x:is>
      </x:c>
      <x:c r="E324" s="12" t="inlineStr">
        <x:is>
          <x:t xml:space="preserve">functional-only</x:t>
        </x:is>
      </x:c>
      <x:c r="F324" s="12" t="inlineStr">
        <x:is>
          <x:t xml:space="preserve">independent nonprofit</x:t>
        </x:is>
      </x:c>
      <x:c r="G324" s="12" t="inlineStr">
        <x:is>
          <x:t xml:space="preserve">no</x:t>
        </x:is>
      </x:c>
      <x:c r="H324" s="12" t="inlineStr">
        <x:is>
          <x:t xml:space="preserve">frozen_candidate_not_selected</x:t>
        </x:is>
      </x:c>
      <x:c r="I324" s="12" t="inlineStr">
        <x:is>
          <x:t xml:space="preserve">not selected</x:t>
        </x:is>
      </x:c>
      <x:c r="J324" s="13" t="inlineStr">
        <x:is>
          <x:t xml:space="preserve">Frozen candidate; not promoted into the 144-organization quantitative reference set during this pass.</x:t>
        </x:is>
      </x:c>
      <x:c r="K324" s="12" t="inlineStr">
        <x:is>
          <x:t xml:space="preserve">not collected</x:t>
        </x:is>
      </x:c>
      <x:c r="L324" s="16" t="inlineStr">
        <x:is>
          <x:t xml:space="preserve">https://projects.propublica.org/nonprofits/search?q=Child%20Trends</x:t>
        </x:is>
      </x:c>
    </x:row>
    <x:row r="325">
      <x:c r="A325" s="12" t="inlineStr">
        <x:is>
          <x:t xml:space="preserve">EXT3-016</x:t>
        </x:is>
      </x:c>
      <x:c r="B325" s="12" t="inlineStr">
        <x:is>
          <x:t xml:space="preserve">WestEd</x:t>
        </x:is>
      </x:c>
      <x:c r="C325" s="12" t="inlineStr">
        <x:is>
          <x:t xml:space="preserve">extension3_frozen</x:t>
        </x:is>
      </x:c>
      <x:c r="D325" s="12" t="inlineStr">
        <x:is>
          <x:t xml:space="preserve">research and evaluation</x:t>
        </x:is>
      </x:c>
      <x:c r="E325" s="12" t="inlineStr">
        <x:is>
          <x:t xml:space="preserve">functional-only</x:t>
        </x:is>
      </x:c>
      <x:c r="F325" s="12" t="inlineStr">
        <x:is>
          <x:t xml:space="preserve">public agency / nonprofit hybrid</x:t>
        </x:is>
      </x:c>
      <x:c r="G325" s="12" t="inlineStr">
        <x:is>
          <x:t xml:space="preserve">no</x:t>
        </x:is>
      </x:c>
      <x:c r="H325" s="12" t="inlineStr">
        <x:is>
          <x:t xml:space="preserve">frozen_candidate_not_selected</x:t>
        </x:is>
      </x:c>
      <x:c r="I325" s="12" t="inlineStr">
        <x:is>
          <x:t xml:space="preserve">not selected</x:t>
        </x:is>
      </x:c>
      <x:c r="J325" s="13" t="inlineStr">
        <x:is>
          <x:t xml:space="preserve">Frozen candidate; not promoted into the 144-organization quantitative reference set during this pass.</x:t>
        </x:is>
      </x:c>
      <x:c r="K325" s="12" t="inlineStr">
        <x:is>
          <x:t xml:space="preserve">not collected</x:t>
        </x:is>
      </x:c>
      <x:c r="L325" s="16" t="inlineStr">
        <x:is>
          <x:t xml:space="preserve">https://projects.propublica.org/nonprofits/search?q=WestEd</x:t>
        </x:is>
      </x:c>
    </x:row>
    <x:row r="326">
      <x:c r="A326" s="12" t="inlineStr">
        <x:is>
          <x:t xml:space="preserve">EXT3-017</x:t>
        </x:is>
      </x:c>
      <x:c r="B326" s="12" t="inlineStr">
        <x:is>
          <x:t xml:space="preserve">Learning Policy Institute</x:t>
        </x:is>
      </x:c>
      <x:c r="C326" s="12" t="inlineStr">
        <x:is>
          <x:t xml:space="preserve">extension3_frozen</x:t>
        </x:is>
      </x:c>
      <x:c r="D326" s="12" t="inlineStr">
        <x:is>
          <x:t xml:space="preserve">research and evaluation</x:t>
        </x:is>
      </x:c>
      <x:c r="E326" s="12" t="inlineStr">
        <x:is>
          <x:t xml:space="preserve">functional-only</x:t>
        </x:is>
      </x:c>
      <x:c r="F326" s="12" t="inlineStr">
        <x:is>
          <x:t xml:space="preserve">independent nonprofit</x:t>
        </x:is>
      </x:c>
      <x:c r="G326" s="12" t="inlineStr">
        <x:is>
          <x:t xml:space="preserve">no</x:t>
        </x:is>
      </x:c>
      <x:c r="H326" s="12" t="inlineStr">
        <x:is>
          <x:t xml:space="preserve">included</x:t>
        </x:is>
      </x:c>
      <x:c r="I326" s="12" t="inlineStr">
        <x:is>
          <x:t xml:space="preserve">Tier A</x:t>
        </x:is>
      </x:c>
      <x:c r="J326" s="13" t="inlineStr">
        <x:is>
          <x:t xml:space="preserve">Selected under frozen function/scale/EA/structure rules; compensation did not determine selection.</x:t>
        </x:is>
      </x:c>
      <x:c r="K326" s="12" t="inlineStr">
        <x:is>
          <x:t xml:space="preserve">primary_with_structure_flag</x:t>
        </x:is>
      </x:c>
      <x:c r="L326" s="16" t="inlineStr">
        <x:is>
          <x:t xml:space="preserve">https://projects.propublica.org/nonprofits/search?q=Learning%20Policy%20Institute</x:t>
        </x:is>
      </x:c>
    </x:row>
    <x:row r="327">
      <x:c r="A327" s="12" t="inlineStr">
        <x:is>
          <x:t xml:space="preserve">EXT3-018</x:t>
        </x:is>
      </x:c>
      <x:c r="B327" s="12" t="inlineStr">
        <x:is>
          <x:t xml:space="preserve">The Education Trust</x:t>
        </x:is>
      </x:c>
      <x:c r="C327" s="12" t="inlineStr">
        <x:is>
          <x:t xml:space="preserve">extension3_frozen</x:t>
        </x:is>
      </x:c>
      <x:c r="D327" s="12" t="inlineStr">
        <x:is>
          <x:t xml:space="preserve">research and evaluation</x:t>
        </x:is>
      </x:c>
      <x:c r="E327" s="12" t="inlineStr">
        <x:is>
          <x:t xml:space="preserve">functional-only</x:t>
        </x:is>
      </x:c>
      <x:c r="F327" s="12" t="inlineStr">
        <x:is>
          <x:t xml:space="preserve">independent nonprofit</x:t>
        </x:is>
      </x:c>
      <x:c r="G327" s="12" t="inlineStr">
        <x:is>
          <x:t xml:space="preserve">no</x:t>
        </x:is>
      </x:c>
      <x:c r="H327" s="12" t="inlineStr">
        <x:is>
          <x:t xml:space="preserve">frozen_candidate_not_selected</x:t>
        </x:is>
      </x:c>
      <x:c r="I327" s="12" t="inlineStr">
        <x:is>
          <x:t xml:space="preserve">not selected</x:t>
        </x:is>
      </x:c>
      <x:c r="J327" s="13" t="inlineStr">
        <x:is>
          <x:t xml:space="preserve">Frozen candidate; not promoted into the 144-organization quantitative reference set during this pass.</x:t>
        </x:is>
      </x:c>
      <x:c r="K327" s="12" t="inlineStr">
        <x:is>
          <x:t xml:space="preserve">not collected</x:t>
        </x:is>
      </x:c>
      <x:c r="L327" s="16" t="inlineStr">
        <x:is>
          <x:t xml:space="preserve">https://projects.propublica.org/nonprofits/search?q=The%20Education%20Trust</x:t>
        </x:is>
      </x:c>
    </x:row>
    <x:row r="328">
      <x:c r="A328" s="12" t="inlineStr">
        <x:is>
          <x:t xml:space="preserve">EXT3-019</x:t>
        </x:is>
      </x:c>
      <x:c r="B328" s="12" t="inlineStr">
        <x:is>
          <x:t xml:space="preserve">National Academy for State Health Policy</x:t>
        </x:is>
      </x:c>
      <x:c r="C328" s="12" t="inlineStr">
        <x:is>
          <x:t xml:space="preserve">extension3_frozen</x:t>
        </x:is>
      </x:c>
      <x:c r="D328" s="12" t="inlineStr">
        <x:is>
          <x:t xml:space="preserve">health policy and evidence</x:t>
        </x:is>
      </x:c>
      <x:c r="E328" s="12" t="inlineStr">
        <x:is>
          <x:t xml:space="preserve">functional-only</x:t>
        </x:is>
      </x:c>
      <x:c r="F328" s="12" t="inlineStr">
        <x:is>
          <x:t xml:space="preserve">independent nonprofit</x:t>
        </x:is>
      </x:c>
      <x:c r="G328" s="12" t="inlineStr">
        <x:is>
          <x:t xml:space="preserve">no</x:t>
        </x:is>
      </x:c>
      <x:c r="H328" s="12" t="inlineStr">
        <x:is>
          <x:t xml:space="preserve">included</x:t>
        </x:is>
      </x:c>
      <x:c r="I328" s="12" t="inlineStr">
        <x:is>
          <x:t xml:space="preserve">Tier A</x:t>
        </x:is>
      </x:c>
      <x:c r="J328" s="13" t="inlineStr">
        <x:is>
          <x:t xml:space="preserve">Selected under frozen function/scale/EA/structure rules; compensation did not determine selection.</x:t>
        </x:is>
      </x:c>
      <x:c r="K328" s="12" t="inlineStr">
        <x:is>
          <x:t xml:space="preserve">primary</x:t>
        </x:is>
      </x:c>
      <x:c r="L328" s="16" t="inlineStr">
        <x:is>
          <x:t xml:space="preserve">https://projects.propublica.org/nonprofits/search?q=National%20Academy%20for%20State%20Health%20Policy</x:t>
        </x:is>
      </x:c>
    </x:row>
    <x:row r="329">
      <x:c r="A329" s="12" t="inlineStr">
        <x:is>
          <x:t xml:space="preserve">EXT3-020</x:t>
        </x:is>
      </x:c>
      <x:c r="B329" s="12" t="inlineStr">
        <x:is>
          <x:t xml:space="preserve">Center for Health Care Strategies</x:t>
        </x:is>
      </x:c>
      <x:c r="C329" s="12" t="inlineStr">
        <x:is>
          <x:t xml:space="preserve">extension3_frozen</x:t>
        </x:is>
      </x:c>
      <x:c r="D329" s="12" t="inlineStr">
        <x:is>
          <x:t xml:space="preserve">health policy and evidence</x:t>
        </x:is>
      </x:c>
      <x:c r="E329" s="12" t="inlineStr">
        <x:is>
          <x:t xml:space="preserve">functional-only</x:t>
        </x:is>
      </x:c>
      <x:c r="F329" s="12" t="inlineStr">
        <x:is>
          <x:t xml:space="preserve">independent nonprofit</x:t>
        </x:is>
      </x:c>
      <x:c r="G329" s="12" t="inlineStr">
        <x:is>
          <x:t xml:space="preserve">no</x:t>
        </x:is>
      </x:c>
      <x:c r="H329" s="12" t="inlineStr">
        <x:is>
          <x:t xml:space="preserve">included</x:t>
        </x:is>
      </x:c>
      <x:c r="I329" s="12" t="inlineStr">
        <x:is>
          <x:t xml:space="preserve">Tier A</x:t>
        </x:is>
      </x:c>
      <x:c r="J329" s="13" t="inlineStr">
        <x:is>
          <x:t xml:space="preserve">Selected under frozen function/scale/EA/structure rules; compensation did not determine selection.</x:t>
        </x:is>
      </x:c>
      <x:c r="K329" s="12" t="inlineStr">
        <x:is>
          <x:t xml:space="preserve">primary</x:t>
        </x:is>
      </x:c>
      <x:c r="L329" s="16" t="inlineStr">
        <x:is>
          <x:t xml:space="preserve">https://projects.propublica.org/nonprofits/search?q=Center%20for%20Health%20Care%20Strategies</x:t>
        </x:is>
      </x:c>
    </x:row>
    <x:row r="330">
      <x:c r="A330" s="12" t="inlineStr">
        <x:is>
          <x:t xml:space="preserve">EXT3-021</x:t>
        </x:is>
      </x:c>
      <x:c r="B330" s="12" t="inlineStr">
        <x:is>
          <x:t xml:space="preserve">Alliance for Health Policy</x:t>
        </x:is>
      </x:c>
      <x:c r="C330" s="12" t="inlineStr">
        <x:is>
          <x:t xml:space="preserve">extension3_frozen</x:t>
        </x:is>
      </x:c>
      <x:c r="D330" s="12" t="inlineStr">
        <x:is>
          <x:t xml:space="preserve">health policy and evidence</x:t>
        </x:is>
      </x:c>
      <x:c r="E330" s="12" t="inlineStr">
        <x:is>
          <x:t xml:space="preserve">functional-only</x:t>
        </x:is>
      </x:c>
      <x:c r="F330" s="12" t="inlineStr">
        <x:is>
          <x:t xml:space="preserve">independent nonprofit</x:t>
        </x:is>
      </x:c>
      <x:c r="G330" s="12" t="inlineStr">
        <x:is>
          <x:t xml:space="preserve">no</x:t>
        </x:is>
      </x:c>
      <x:c r="H330" s="12" t="inlineStr">
        <x:is>
          <x:t xml:space="preserve">excluded_or_structural</x:t>
        </x:is>
      </x:c>
      <x:c r="I330" s="12" t="inlineStr">
        <x:is>
          <x:t xml:space="preserve">excluded_partial_year</x:t>
        </x:is>
      </x:c>
      <x:c r="J330" s="13" t="inlineStr">
        <x:is>
          <x:t xml:space="preserve">Latest CEO began in February 2024; no silent annualization.</x:t>
        </x:is>
      </x:c>
      <x:c r="K330" s="12" t="inlineStr">
        <x:is>
          <x:t xml:space="preserve">excluded_partial_year</x:t>
        </x:is>
      </x:c>
      <x:c r="L330" s="16" t="inlineStr">
        <x:is>
          <x:t xml:space="preserve">https://projects.propublica.org/nonprofits/search?q=Alliance%20for%20Health%20Policy</x:t>
        </x:is>
      </x:c>
    </x:row>
    <x:row r="331">
      <x:c r="A331" s="12" t="inlineStr">
        <x:is>
          <x:t xml:space="preserve">EXT3-022</x:t>
        </x:is>
      </x:c>
      <x:c r="B331" s="12" t="inlineStr">
        <x:is>
          <x:t xml:space="preserve">Measures for Justice</x:t>
        </x:is>
      </x:c>
      <x:c r="C331" s="12" t="inlineStr">
        <x:is>
          <x:t xml:space="preserve">extension3_frozen</x:t>
        </x:is>
      </x:c>
      <x:c r="D331" s="12" t="inlineStr">
        <x:is>
          <x:t xml:space="preserve">justice data and evidence</x:t>
        </x:is>
      </x:c>
      <x:c r="E331" s="12" t="inlineStr">
        <x:is>
          <x:t xml:space="preserve">functional-only</x:t>
        </x:is>
      </x:c>
      <x:c r="F331" s="12" t="inlineStr">
        <x:is>
          <x:t xml:space="preserve">independent nonprofit</x:t>
        </x:is>
      </x:c>
      <x:c r="G331" s="12" t="inlineStr">
        <x:is>
          <x:t xml:space="preserve">yes</x:t>
        </x:is>
      </x:c>
      <x:c r="H331" s="12" t="inlineStr">
        <x:is>
          <x:t xml:space="preserve">frozen_candidate_not_selected</x:t>
        </x:is>
      </x:c>
      <x:c r="I331" s="12" t="inlineStr">
        <x:is>
          <x:t xml:space="preserve">not selected</x:t>
        </x:is>
      </x:c>
      <x:c r="J331" s="13" t="inlineStr">
        <x:is>
          <x:t xml:space="preserve">Frozen candidate; not promoted into the 144-organization quantitative reference set during this pass.</x:t>
        </x:is>
      </x:c>
      <x:c r="K331" s="12" t="inlineStr">
        <x:is>
          <x:t xml:space="preserve">not collected</x:t>
        </x:is>
      </x:c>
      <x:c r="L331" s="16" t="inlineStr">
        <x:is>
          <x:t xml:space="preserve">https://projects.propublica.org/nonprofits/search?q=Measures%20for%20Justice</x:t>
        </x:is>
      </x:c>
    </x:row>
    <x:row r="332">
      <x:c r="A332" s="12" t="inlineStr">
        <x:is>
          <x:t xml:space="preserve">EXT3-023</x:t>
        </x:is>
      </x:c>
      <x:c r="B332" s="12" t="inlineStr">
        <x:is>
          <x:t xml:space="preserve">TechCongress</x:t>
        </x:is>
      </x:c>
      <x:c r="C332" s="12" t="inlineStr">
        <x:is>
          <x:t xml:space="preserve">extension3_frozen</x:t>
        </x:is>
      </x:c>
      <x:c r="D332" s="12" t="inlineStr">
        <x:is>
          <x:t xml:space="preserve">technology policy and talent</x:t>
        </x:is>
      </x:c>
      <x:c r="E332" s="12" t="inlineStr">
        <x:is>
          <x:t xml:space="preserve">EA-adjacent</x:t>
        </x:is>
      </x:c>
      <x:c r="F332" s="12" t="inlineStr">
        <x:is>
          <x:t xml:space="preserve">independent nonprofit</x:t>
        </x:is>
      </x:c>
      <x:c r="G332" s="12" t="inlineStr">
        <x:is>
          <x:t xml:space="preserve">no</x:t>
        </x:is>
      </x:c>
      <x:c r="H332" s="12" t="inlineStr">
        <x:is>
          <x:t xml:space="preserve">included</x:t>
        </x:is>
      </x:c>
      <x:c r="I332" s="12" t="inlineStr">
        <x:is>
          <x:t xml:space="preserve">Tier B</x:t>
        </x:is>
      </x:c>
      <x:c r="J332" s="13" t="inlineStr">
        <x:is>
          <x:t xml:space="preserve">Selected under frozen function/scale/EA/structure rules; compensation did not determine selection.</x:t>
        </x:is>
      </x:c>
      <x:c r="K332" s="12" t="inlineStr">
        <x:is>
          <x:t xml:space="preserve">primary</x:t>
        </x:is>
      </x:c>
      <x:c r="L332" s="16" t="inlineStr">
        <x:is>
          <x:t xml:space="preserve">https://projects.propublica.org/nonprofits/search?q=TechCongress</x:t>
        </x:is>
      </x:c>
    </x:row>
    <x:row r="333">
      <x:c r="A333" s="12" t="inlineStr">
        <x:is>
          <x:t xml:space="preserve">EXT3-024</x:t>
        </x:is>
      </x:c>
      <x:c r="B333" s="12" t="inlineStr">
        <x:is>
          <x:t xml:space="preserve">Tech Talent Project</x:t>
        </x:is>
      </x:c>
      <x:c r="C333" s="12" t="inlineStr">
        <x:is>
          <x:t xml:space="preserve">extension3_frozen</x:t>
        </x:is>
      </x:c>
      <x:c r="D333" s="12" t="inlineStr">
        <x:is>
          <x:t xml:space="preserve">technology policy and talent</x:t>
        </x:is>
      </x:c>
      <x:c r="E333" s="12" t="inlineStr">
        <x:is>
          <x:t xml:space="preserve">EA-adjacent</x:t>
        </x:is>
      </x:c>
      <x:c r="F333" s="12" t="inlineStr">
        <x:is>
          <x:t xml:space="preserve">nonprofit/project</x:t>
        </x:is>
      </x:c>
      <x:c r="G333" s="12" t="inlineStr">
        <x:is>
          <x:t xml:space="preserve">no</x:t>
        </x:is>
      </x:c>
      <x:c r="H333" s="12" t="inlineStr">
        <x:is>
          <x:t xml:space="preserve">frozen_candidate_not_selected</x:t>
        </x:is>
      </x:c>
      <x:c r="I333" s="12" t="inlineStr">
        <x:is>
          <x:t xml:space="preserve">not selected</x:t>
        </x:is>
      </x:c>
      <x:c r="J333" s="13" t="inlineStr">
        <x:is>
          <x:t xml:space="preserve">Frozen candidate; not promoted into the 144-organization quantitative reference set during this pass.</x:t>
        </x:is>
      </x:c>
      <x:c r="K333" s="12" t="inlineStr">
        <x:is>
          <x:t xml:space="preserve">not collected</x:t>
        </x:is>
      </x:c>
      <x:c r="L333" s="16" t="inlineStr">
        <x:is>
          <x:t xml:space="preserve">https://projects.propublica.org/nonprofits/search?q=Tech%20Talent%20Project</x:t>
        </x:is>
      </x:c>
    </x:row>
    <x:row r="334">
      <x:c r="A334" s="12" t="inlineStr">
        <x:is>
          <x:t xml:space="preserve">EXT3-025</x:t>
        </x:is>
      </x:c>
      <x:c r="B334" s="12" t="inlineStr">
        <x:is>
          <x:t xml:space="preserve">Lawfare Institute</x:t>
        </x:is>
      </x:c>
      <x:c r="C334" s="12" t="inlineStr">
        <x:is>
          <x:t xml:space="preserve">extension3_frozen</x:t>
        </x:is>
      </x:c>
      <x:c r="D334" s="12" t="inlineStr">
        <x:is>
          <x:t xml:space="preserve">security and technology policy</x:t>
        </x:is>
      </x:c>
      <x:c r="E334" s="12" t="inlineStr">
        <x:is>
          <x:t xml:space="preserve">EA-adjacent</x:t>
        </x:is>
      </x:c>
      <x:c r="F334" s="12" t="inlineStr">
        <x:is>
          <x:t xml:space="preserve">independent nonprofit</x:t>
        </x:is>
      </x:c>
      <x:c r="G334" s="12" t="inlineStr">
        <x:is>
          <x:t xml:space="preserve">no</x:t>
        </x:is>
      </x:c>
      <x:c r="H334" s="12" t="inlineStr">
        <x:is>
          <x:t xml:space="preserve">excluded_or_structural</x:t>
        </x:is>
      </x:c>
      <x:c r="I334" s="12" t="inlineStr">
        <x:is>
          <x:t xml:space="preserve">excluded_measurement</x:t>
        </x:is>
      </x:c>
      <x:c r="J334" s="13" t="inlineStr">
        <x:is>
          <x:t xml:space="preserve">Latest filing did not identify a clean organization-wide CEO or Executive Director in the accessible officer-compensation table.</x:t>
        </x:is>
      </x:c>
      <x:c r="K334" s="12" t="inlineStr">
        <x:is>
          <x:t xml:space="preserve">excluded_measurement</x:t>
        </x:is>
      </x:c>
      <x:c r="L334" s="16" t="inlineStr">
        <x:is>
          <x:t xml:space="preserve">https://projects.propublica.org/nonprofits/search?q=Lawfare%20Institute</x:t>
        </x:is>
      </x:c>
    </x:row>
    <x:row r="335">
      <x:c r="A335" s="12" t="inlineStr">
        <x:is>
          <x:t xml:space="preserve">EXT3-026</x:t>
        </x:is>
      </x:c>
      <x:c r="B335" s="12" t="inlineStr">
        <x:is>
          <x:t xml:space="preserve">EqualAI</x:t>
        </x:is>
      </x:c>
      <x:c r="C335" s="12" t="inlineStr">
        <x:is>
          <x:t xml:space="preserve">extension3_frozen</x:t>
        </x:is>
      </x:c>
      <x:c r="D335" s="12" t="inlineStr">
        <x:is>
          <x:t xml:space="preserve">AI governance and technology policy</x:t>
        </x:is>
      </x:c>
      <x:c r="E335" s="12" t="inlineStr">
        <x:is>
          <x:t xml:space="preserve">EA-adjacent</x:t>
        </x:is>
      </x:c>
      <x:c r="F335" s="12" t="inlineStr">
        <x:is>
          <x:t xml:space="preserve">independent nonprofit</x:t>
        </x:is>
      </x:c>
      <x:c r="G335" s="12" t="inlineStr">
        <x:is>
          <x:t xml:space="preserve">no</x:t>
        </x:is>
      </x:c>
      <x:c r="H335" s="12" t="inlineStr">
        <x:is>
          <x:t xml:space="preserve">frozen_candidate_not_selected</x:t>
        </x:is>
      </x:c>
      <x:c r="I335" s="12" t="inlineStr">
        <x:is>
          <x:t xml:space="preserve">not selected</x:t>
        </x:is>
      </x:c>
      <x:c r="J335" s="13" t="inlineStr">
        <x:is>
          <x:t xml:space="preserve">Frozen candidate; not promoted into the 144-organization quantitative reference set during this pass.</x:t>
        </x:is>
      </x:c>
      <x:c r="K335" s="12" t="inlineStr">
        <x:is>
          <x:t xml:space="preserve">not collected</x:t>
        </x:is>
      </x:c>
      <x:c r="L335" s="16" t="inlineStr">
        <x:is>
          <x:t xml:space="preserve">https://projects.propublica.org/nonprofits/search?q=EqualAI</x:t>
        </x:is>
      </x:c>
    </x:row>
    <x:row r="336">
      <x:c r="A336" s="12" t="inlineStr">
        <x:is>
          <x:t xml:space="preserve">EXT3-027</x:t>
        </x:is>
      </x:c>
      <x:c r="B336" s="12" t="inlineStr">
        <x:is>
          <x:t xml:space="preserve">Humane Intelligence</x:t>
        </x:is>
      </x:c>
      <x:c r="C336" s="12" t="inlineStr">
        <x:is>
          <x:t xml:space="preserve">extension3_frozen</x:t>
        </x:is>
      </x:c>
      <x:c r="D336" s="12" t="inlineStr">
        <x:is>
          <x:t xml:space="preserve">AI governance and technology policy</x:t>
        </x:is>
      </x:c>
      <x:c r="E336" s="12" t="inlineStr">
        <x:is>
          <x:t xml:space="preserve">EA-adjacent</x:t>
        </x:is>
      </x:c>
      <x:c r="F336" s="12" t="inlineStr">
        <x:is>
          <x:t xml:space="preserve">independent nonprofit</x:t>
        </x:is>
      </x:c>
      <x:c r="G336" s="12" t="inlineStr">
        <x:is>
          <x:t xml:space="preserve">no</x:t>
        </x:is>
      </x:c>
      <x:c r="H336" s="12" t="inlineStr">
        <x:is>
          <x:t xml:space="preserve">frozen_candidate_not_selected</x:t>
        </x:is>
      </x:c>
      <x:c r="I336" s="12" t="inlineStr">
        <x:is>
          <x:t xml:space="preserve">not selected</x:t>
        </x:is>
      </x:c>
      <x:c r="J336" s="13" t="inlineStr">
        <x:is>
          <x:t xml:space="preserve">Frozen candidate; not promoted into the 144-organization quantitative reference set during this pass.</x:t>
        </x:is>
      </x:c>
      <x:c r="K336" s="12" t="inlineStr">
        <x:is>
          <x:t xml:space="preserve">not collected</x:t>
        </x:is>
      </x:c>
      <x:c r="L336" s="16" t="inlineStr">
        <x:is>
          <x:t xml:space="preserve">https://projects.propublica.org/nonprofits/search?q=Humane%20Intelligence</x:t>
        </x:is>
      </x:c>
    </x:row>
    <x:row r="337">
      <x:c r="A337" s="12" t="inlineStr">
        <x:is>
          <x:t xml:space="preserve">EXT3-028</x:t>
        </x:is>
      </x:c>
      <x:c r="B337" s="12" t="inlineStr">
        <x:is>
          <x:t xml:space="preserve">National Digital Inclusion Alliance</x:t>
        </x:is>
      </x:c>
      <x:c r="C337" s="12" t="inlineStr">
        <x:is>
          <x:t xml:space="preserve">extension3_frozen</x:t>
        </x:is>
      </x:c>
      <x:c r="D337" s="12" t="inlineStr">
        <x:is>
          <x:t xml:space="preserve">technology policy and public interest</x:t>
        </x:is>
      </x:c>
      <x:c r="E337" s="12" t="inlineStr">
        <x:is>
          <x:t xml:space="preserve">functional-only</x:t>
        </x:is>
      </x:c>
      <x:c r="F337" s="12" t="inlineStr">
        <x:is>
          <x:t xml:space="preserve">membership nonprofit</x:t>
        </x:is>
      </x:c>
      <x:c r="G337" s="12" t="inlineStr">
        <x:is>
          <x:t xml:space="preserve">no</x:t>
        </x:is>
      </x:c>
      <x:c r="H337" s="12" t="inlineStr">
        <x:is>
          <x:t xml:space="preserve">frozen_candidate_not_selected</x:t>
        </x:is>
      </x:c>
      <x:c r="I337" s="12" t="inlineStr">
        <x:is>
          <x:t xml:space="preserve">not selected</x:t>
        </x:is>
      </x:c>
      <x:c r="J337" s="13" t="inlineStr">
        <x:is>
          <x:t xml:space="preserve">Frozen candidate; not promoted into the 144-organization quantitative reference set during this pass.</x:t>
        </x:is>
      </x:c>
      <x:c r="K337" s="12" t="inlineStr">
        <x:is>
          <x:t xml:space="preserve">not collected</x:t>
        </x:is>
      </x:c>
      <x:c r="L337" s="16" t="inlineStr">
        <x:is>
          <x:t xml:space="preserve">https://projects.propublica.org/nonprofits/search?q=National%20Digital%20Inclusion%20Alliance</x:t>
        </x:is>
      </x:c>
    </x:row>
    <x:row r="338">
      <x:c r="A338" s="12" t="inlineStr">
        <x:is>
          <x:t xml:space="preserve">EXT3-029</x:t>
        </x:is>
      </x:c>
      <x:c r="B338" s="12" t="inlineStr">
        <x:is>
          <x:t xml:space="preserve">Benton Institute for Broadband &amp; Society</x:t>
        </x:is>
      </x:c>
      <x:c r="C338" s="12" t="inlineStr">
        <x:is>
          <x:t xml:space="preserve">extension3_frozen</x:t>
        </x:is>
      </x:c>
      <x:c r="D338" s="12" t="inlineStr">
        <x:is>
          <x:t xml:space="preserve">technology policy and public interest</x:t>
        </x:is>
      </x:c>
      <x:c r="E338" s="12" t="inlineStr">
        <x:is>
          <x:t xml:space="preserve">functional-only</x:t>
        </x:is>
      </x:c>
      <x:c r="F338" s="12" t="inlineStr">
        <x:is>
          <x:t xml:space="preserve">independent nonprofit</x:t>
        </x:is>
      </x:c>
      <x:c r="G338" s="12" t="inlineStr">
        <x:is>
          <x:t xml:space="preserve">no</x:t>
        </x:is>
      </x:c>
      <x:c r="H338" s="12" t="inlineStr">
        <x:is>
          <x:t xml:space="preserve">frozen_candidate_not_selected</x:t>
        </x:is>
      </x:c>
      <x:c r="I338" s="12" t="inlineStr">
        <x:is>
          <x:t xml:space="preserve">not selected</x:t>
        </x:is>
      </x:c>
      <x:c r="J338" s="13" t="inlineStr">
        <x:is>
          <x:t xml:space="preserve">Frozen candidate; not promoted into the 144-organization quantitative reference set during this pass.</x:t>
        </x:is>
      </x:c>
      <x:c r="K338" s="12" t="inlineStr">
        <x:is>
          <x:t xml:space="preserve">not collected</x:t>
        </x:is>
      </x:c>
      <x:c r="L338" s="16" t="inlineStr">
        <x:is>
          <x:t xml:space="preserve">https://projects.propublica.org/nonprofits/search?q=Benton%20Institute%20for%20Broadband%20%26%20Society</x:t>
        </x:is>
      </x:c>
    </x:row>
    <x:row r="339">
      <x:c r="A339" s="12" t="inlineStr">
        <x:is>
          <x:t xml:space="preserve">EXT3-030</x:t>
        </x:is>
      </x:c>
      <x:c r="B339" s="12" t="inlineStr">
        <x:is>
          <x:t xml:space="preserve">DataKind</x:t>
        </x:is>
      </x:c>
      <x:c r="C339" s="12" t="inlineStr">
        <x:is>
          <x:t xml:space="preserve">extension3_frozen</x:t>
        </x:is>
      </x:c>
      <x:c r="D339" s="12" t="inlineStr">
        <x:is>
          <x:t xml:space="preserve">data science and social impact</x:t>
        </x:is>
      </x:c>
      <x:c r="E339" s="12" t="inlineStr">
        <x:is>
          <x:t xml:space="preserve">EA-adjacent</x:t>
        </x:is>
      </x:c>
      <x:c r="F339" s="12" t="inlineStr">
        <x:is>
          <x:t xml:space="preserve">independent nonprofit</x:t>
        </x:is>
      </x:c>
      <x:c r="G339" s="12" t="inlineStr">
        <x:is>
          <x:t xml:space="preserve">no</x:t>
        </x:is>
      </x:c>
      <x:c r="H339" s="12" t="inlineStr">
        <x:is>
          <x:t xml:space="preserve">included</x:t>
        </x:is>
      </x:c>
      <x:c r="I339" s="12" t="inlineStr">
        <x:is>
          <x:t xml:space="preserve">Tier A</x:t>
        </x:is>
      </x:c>
      <x:c r="J339" s="13" t="inlineStr">
        <x:is>
          <x:t xml:space="preserve">Selected under frozen function/scale/EA/structure rules; compensation did not determine selection.</x:t>
        </x:is>
      </x:c>
      <x:c r="K339" s="12" t="inlineStr">
        <x:is>
          <x:t xml:space="preserve">primary</x:t>
        </x:is>
      </x:c>
      <x:c r="L339" s="16" t="inlineStr">
        <x:is>
          <x:t xml:space="preserve">https://projects.propublica.org/nonprofits/search?q=DataKind</x:t>
        </x:is>
      </x:c>
    </x:row>
    <x:row r="340">
      <x:c r="A340" s="12" t="inlineStr">
        <x:is>
          <x:t xml:space="preserve">EXT3-031</x:t>
        </x:is>
      </x:c>
      <x:c r="B340" s="12" t="inlineStr">
        <x:is>
          <x:t xml:space="preserve">MuckRock Foundation</x:t>
        </x:is>
      </x:c>
      <x:c r="C340" s="12" t="inlineStr">
        <x:is>
          <x:t xml:space="preserve">extension3_frozen</x:t>
        </x:is>
      </x:c>
      <x:c r="D340" s="12" t="inlineStr">
        <x:is>
          <x:t xml:space="preserve">open knowledge and journalism</x:t>
        </x:is>
      </x:c>
      <x:c r="E340" s="12" t="inlineStr">
        <x:is>
          <x:t xml:space="preserve">functional-only</x:t>
        </x:is>
      </x:c>
      <x:c r="F340" s="12" t="inlineStr">
        <x:is>
          <x:t xml:space="preserve">independent nonprofit</x:t>
        </x:is>
      </x:c>
      <x:c r="G340" s="12" t="inlineStr">
        <x:is>
          <x:t xml:space="preserve">no</x:t>
        </x:is>
      </x:c>
      <x:c r="H340" s="12" t="inlineStr">
        <x:is>
          <x:t xml:space="preserve">included</x:t>
        </x:is>
      </x:c>
      <x:c r="I340" s="12" t="inlineStr">
        <x:is>
          <x:t xml:space="preserve">Tier B</x:t>
        </x:is>
      </x:c>
      <x:c r="J340" s="13" t="inlineStr">
        <x:is>
          <x:t xml:space="preserve">Selected under frozen function/scale/EA/structure rules; compensation did not determine selection.</x:t>
        </x:is>
      </x:c>
      <x:c r="K340" s="12" t="inlineStr">
        <x:is>
          <x:t xml:space="preserve">primary_older_clean</x:t>
        </x:is>
      </x:c>
      <x:c r="L340" s="16" t="inlineStr">
        <x:is>
          <x:t xml:space="preserve">https://projects.propublica.org/nonprofits/search?q=MuckRock%20Foundation</x:t>
        </x:is>
      </x:c>
    </x:row>
    <x:row r="341">
      <x:c r="A341" s="12" t="inlineStr">
        <x:is>
          <x:t xml:space="preserve">EXT3-032</x:t>
        </x:is>
      </x:c>
      <x:c r="B341" s="12" t="inlineStr">
        <x:is>
          <x:t xml:space="preserve">OpenSecrets</x:t>
        </x:is>
      </x:c>
      <x:c r="C341" s="12" t="inlineStr">
        <x:is>
          <x:t xml:space="preserve">extension3_frozen</x:t>
        </x:is>
      </x:c>
      <x:c r="D341" s="12" t="inlineStr">
        <x:is>
          <x:t xml:space="preserve">open knowledge and policy data</x:t>
        </x:is>
      </x:c>
      <x:c r="E341" s="12" t="inlineStr">
        <x:is>
          <x:t xml:space="preserve">functional-only</x:t>
        </x:is>
      </x:c>
      <x:c r="F341" s="12" t="inlineStr">
        <x:is>
          <x:t xml:space="preserve">independent nonprofit</x:t>
        </x:is>
      </x:c>
      <x:c r="G341" s="12" t="inlineStr">
        <x:is>
          <x:t xml:space="preserve">no</x:t>
        </x:is>
      </x:c>
      <x:c r="H341" s="12" t="inlineStr">
        <x:is>
          <x:t xml:space="preserve">included</x:t>
        </x:is>
      </x:c>
      <x:c r="I341" s="12" t="inlineStr">
        <x:is>
          <x:t xml:space="preserve">Tier B</x:t>
        </x:is>
      </x:c>
      <x:c r="J341" s="13" t="inlineStr">
        <x:is>
          <x:t xml:space="preserve">Selected under frozen function/scale/EA/structure rules; compensation did not determine selection.</x:t>
        </x:is>
      </x:c>
      <x:c r="K341" s="12" t="inlineStr">
        <x:is>
          <x:t xml:space="preserve">primary</x:t>
        </x:is>
      </x:c>
      <x:c r="L341" s="16" t="inlineStr">
        <x:is>
          <x:t xml:space="preserve">https://projects.propublica.org/nonprofits/search?q=OpenSecrets</x:t>
        </x:is>
      </x:c>
    </x:row>
    <x:row r="342">
      <x:c r="A342" s="12" t="inlineStr">
        <x:is>
          <x:t xml:space="preserve">EXT3-033</x:t>
        </x:is>
      </x:c>
      <x:c r="B342" s="12" t="inlineStr">
        <x:is>
          <x:t xml:space="preserve">ORCID</x:t>
        </x:is>
      </x:c>
      <x:c r="C342" s="12" t="inlineStr">
        <x:is>
          <x:t xml:space="preserve">extension3_frozen</x:t>
        </x:is>
      </x:c>
      <x:c r="D342" s="12" t="inlineStr">
        <x:is>
          <x:t xml:space="preserve">open science infrastructure</x:t>
        </x:is>
      </x:c>
      <x:c r="E342" s="12" t="inlineStr">
        <x:is>
          <x:t xml:space="preserve">EA-adjacent</x:t>
        </x:is>
      </x:c>
      <x:c r="F342" s="12" t="inlineStr">
        <x:is>
          <x:t xml:space="preserve">membership nonprofit</x:t>
        </x:is>
      </x:c>
      <x:c r="G342" s="12" t="inlineStr">
        <x:is>
          <x:t xml:space="preserve">no</x:t>
        </x:is>
      </x:c>
      <x:c r="H342" s="12" t="inlineStr">
        <x:is>
          <x:t xml:space="preserve">included</x:t>
        </x:is>
      </x:c>
      <x:c r="I342" s="12" t="inlineStr">
        <x:is>
          <x:t xml:space="preserve">Tier A</x:t>
        </x:is>
      </x:c>
      <x:c r="J342" s="13" t="inlineStr">
        <x:is>
          <x:t xml:space="preserve">Selected under frozen function/scale/EA/structure rules; compensation did not determine selection.</x:t>
        </x:is>
      </x:c>
      <x:c r="K342" s="12" t="inlineStr">
        <x:is>
          <x:t xml:space="preserve">primary</x:t>
        </x:is>
      </x:c>
      <x:c r="L342" s="16" t="inlineStr">
        <x:is>
          <x:t xml:space="preserve">https://projects.propublica.org/nonprofits/search?q=ORCID</x:t>
        </x:is>
      </x:c>
    </x:row>
    <x:row r="343">
      <x:c r="A343" s="12" t="inlineStr">
        <x:is>
          <x:t xml:space="preserve">EXT3-034</x:t>
        </x:is>
      </x:c>
      <x:c r="B343" s="12" t="inlineStr">
        <x:is>
          <x:t xml:space="preserve">NumFOCUS</x:t>
        </x:is>
      </x:c>
      <x:c r="C343" s="12" t="inlineStr">
        <x:is>
          <x:t xml:space="preserve">extension3_frozen</x:t>
        </x:is>
      </x:c>
      <x:c r="D343" s="12" t="inlineStr">
        <x:is>
          <x:t xml:space="preserve">open science infrastructure</x:t>
        </x:is>
      </x:c>
      <x:c r="E343" s="12" t="inlineStr">
        <x:is>
          <x:t xml:space="preserve">EA-adjacent</x:t>
        </x:is>
      </x:c>
      <x:c r="F343" s="12" t="inlineStr">
        <x:is>
          <x:t xml:space="preserve">fiscal sponsor / membership nonprofit</x:t>
        </x:is>
      </x:c>
      <x:c r="G343" s="12" t="inlineStr">
        <x:is>
          <x:t xml:space="preserve">no</x:t>
        </x:is>
      </x:c>
      <x:c r="H343" s="12" t="inlineStr">
        <x:is>
          <x:t xml:space="preserve">included</x:t>
        </x:is>
      </x:c>
      <x:c r="I343" s="12" t="inlineStr">
        <x:is>
          <x:t xml:space="preserve">Tier A</x:t>
        </x:is>
      </x:c>
      <x:c r="J343" s="13" t="inlineStr">
        <x:is>
          <x:t xml:space="preserve">Selected under frozen function/scale/EA/structure rules; compensation did not determine selection.</x:t>
        </x:is>
      </x:c>
      <x:c r="K343" s="12" t="inlineStr">
        <x:is>
          <x:t xml:space="preserve">primary_with_structure_flag</x:t>
        </x:is>
      </x:c>
      <x:c r="L343" s="16" t="inlineStr">
        <x:is>
          <x:t xml:space="preserve">https://projects.propublica.org/nonprofits/search?q=NumFOCUS</x:t>
        </x:is>
      </x:c>
    </x:row>
    <x:row r="344">
      <x:c r="A344" s="12" t="inlineStr">
        <x:is>
          <x:t xml:space="preserve">EXT3-035</x:t>
        </x:is>
      </x:c>
      <x:c r="B344" s="12" t="inlineStr">
        <x:is>
          <x:t xml:space="preserve">Apache Software Foundation</x:t>
        </x:is>
      </x:c>
      <x:c r="C344" s="12" t="inlineStr">
        <x:is>
          <x:t xml:space="preserve">extension3_frozen</x:t>
        </x:is>
      </x:c>
      <x:c r="D344" s="12" t="inlineStr">
        <x:is>
          <x:t xml:space="preserve">open technology infrastructure</x:t>
        </x:is>
      </x:c>
      <x:c r="E344" s="12" t="inlineStr">
        <x:is>
          <x:t xml:space="preserve">EA-adjacent</x:t>
        </x:is>
      </x:c>
      <x:c r="F344" s="12" t="inlineStr">
        <x:is>
          <x:t xml:space="preserve">membership nonprofit</x:t>
        </x:is>
      </x:c>
      <x:c r="G344" s="12" t="inlineStr">
        <x:is>
          <x:t xml:space="preserve">no</x:t>
        </x:is>
      </x:c>
      <x:c r="H344" s="12" t="inlineStr">
        <x:is>
          <x:t xml:space="preserve">frozen_candidate_not_selected</x:t>
        </x:is>
      </x:c>
      <x:c r="I344" s="12" t="inlineStr">
        <x:is>
          <x:t xml:space="preserve">not selected</x:t>
        </x:is>
      </x:c>
      <x:c r="J344" s="13" t="inlineStr">
        <x:is>
          <x:t xml:space="preserve">Frozen candidate; not promoted into the 144-organization quantitative reference set during this pass.</x:t>
        </x:is>
      </x:c>
      <x:c r="K344" s="12" t="inlineStr">
        <x:is>
          <x:t xml:space="preserve">not collected</x:t>
        </x:is>
      </x:c>
      <x:c r="L344" s="16" t="inlineStr">
        <x:is>
          <x:t xml:space="preserve">https://projects.propublica.org/nonprofits/search?q=Apache%20Software%20Foundation</x:t>
        </x:is>
      </x:c>
    </x:row>
    <x:row r="345">
      <x:c r="A345" s="12" t="inlineStr">
        <x:is>
          <x:t xml:space="preserve">EXT3-036</x:t>
        </x:is>
      </x:c>
      <x:c r="B345" s="12" t="inlineStr">
        <x:is>
          <x:t xml:space="preserve">Open Source Initiative</x:t>
        </x:is>
      </x:c>
      <x:c r="C345" s="12" t="inlineStr">
        <x:is>
          <x:t xml:space="preserve">extension3_frozen</x:t>
        </x:is>
      </x:c>
      <x:c r="D345" s="12" t="inlineStr">
        <x:is>
          <x:t xml:space="preserve">open technology infrastructure</x:t>
        </x:is>
      </x:c>
      <x:c r="E345" s="12" t="inlineStr">
        <x:is>
          <x:t xml:space="preserve">EA-adjacent</x:t>
        </x:is>
      </x:c>
      <x:c r="F345" s="12" t="inlineStr">
        <x:is>
          <x:t xml:space="preserve">membership nonprofit</x:t>
        </x:is>
      </x:c>
      <x:c r="G345" s="12" t="inlineStr">
        <x:is>
          <x:t xml:space="preserve">no</x:t>
        </x:is>
      </x:c>
      <x:c r="H345" s="12" t="inlineStr">
        <x:is>
          <x:t xml:space="preserve">included</x:t>
        </x:is>
      </x:c>
      <x:c r="I345" s="12" t="inlineStr">
        <x:is>
          <x:t xml:space="preserve">Tier C</x:t>
        </x:is>
      </x:c>
      <x:c r="J345" s="13" t="inlineStr">
        <x:is>
          <x:t xml:space="preserve">Selected under frozen function/scale/EA/structure rules; compensation did not determine selection.</x:t>
        </x:is>
      </x:c>
      <x:c r="K345" s="12" t="inlineStr">
        <x:is>
          <x:t xml:space="preserve">primary_with_structure_flag</x:t>
        </x:is>
      </x:c>
      <x:c r="L345" s="16" t="inlineStr">
        <x:is>
          <x:t xml:space="preserve">https://projects.propublica.org/nonprofits/search?q=Open%20Source%20Initiative</x:t>
        </x:is>
      </x:c>
    </x:row>
    <x:row r="346">
      <x:c r="A346" s="12" t="inlineStr">
        <x:is>
          <x:t xml:space="preserve">EXT3-037</x:t>
        </x:is>
      </x:c>
      <x:c r="B346" s="12" t="inlineStr">
        <x:is>
          <x:t xml:space="preserve">Software Freedom Conservancy</x:t>
        </x:is>
      </x:c>
      <x:c r="C346" s="12" t="inlineStr">
        <x:is>
          <x:t xml:space="preserve">extension3_frozen</x:t>
        </x:is>
      </x:c>
      <x:c r="D346" s="12" t="inlineStr">
        <x:is>
          <x:t xml:space="preserve">open technology infrastructure</x:t>
        </x:is>
      </x:c>
      <x:c r="E346" s="12" t="inlineStr">
        <x:is>
          <x:t xml:space="preserve">EA-adjacent</x:t>
        </x:is>
      </x:c>
      <x:c r="F346" s="12" t="inlineStr">
        <x:is>
          <x:t xml:space="preserve">fiscal sponsor / membership nonprofit</x:t>
        </x:is>
      </x:c>
      <x:c r="G346" s="12" t="inlineStr">
        <x:is>
          <x:t xml:space="preserve">no</x:t>
        </x:is>
      </x:c>
      <x:c r="H346" s="12" t="inlineStr">
        <x:is>
          <x:t xml:space="preserve">included</x:t>
        </x:is>
      </x:c>
      <x:c r="I346" s="12" t="inlineStr">
        <x:is>
          <x:t xml:space="preserve">Tier B</x:t>
        </x:is>
      </x:c>
      <x:c r="J346" s="13" t="inlineStr">
        <x:is>
          <x:t xml:space="preserve">Selected under frozen function/scale/EA/structure rules; compensation did not determine selection.</x:t>
        </x:is>
      </x:c>
      <x:c r="K346" s="12" t="inlineStr">
        <x:is>
          <x:t xml:space="preserve">primary_with_structure_flag</x:t>
        </x:is>
      </x:c>
      <x:c r="L346" s="16" t="inlineStr">
        <x:is>
          <x:t xml:space="preserve">https://projects.propublica.org/nonprofits/search?q=Software%20Freedom%20Conservancy</x:t>
        </x:is>
      </x:c>
    </x:row>
    <x:row r="347">
      <x:c r="A347" s="12" t="inlineStr">
        <x:is>
          <x:t xml:space="preserve">EXT3-038</x:t>
        </x:is>
      </x:c>
      <x:c r="B347" s="12" t="inlineStr">
        <x:is>
          <x:t xml:space="preserve">Invest in Open Infrastructure</x:t>
        </x:is>
      </x:c>
      <x:c r="C347" s="12" t="inlineStr">
        <x:is>
          <x:t xml:space="preserve">extension3_frozen</x:t>
        </x:is>
      </x:c>
      <x:c r="D347" s="12" t="inlineStr">
        <x:is>
          <x:t xml:space="preserve">open science infrastructure</x:t>
        </x:is>
      </x:c>
      <x:c r="E347" s="12" t="inlineStr">
        <x:is>
          <x:t xml:space="preserve">EA-adjacent</x:t>
        </x:is>
      </x:c>
      <x:c r="F347" s="12" t="inlineStr">
        <x:is>
          <x:t xml:space="preserve">independent nonprofit</x:t>
        </x:is>
      </x:c>
      <x:c r="G347" s="12" t="inlineStr">
        <x:is>
          <x:t xml:space="preserve">no</x:t>
        </x:is>
      </x:c>
      <x:c r="H347" s="12" t="inlineStr">
        <x:is>
          <x:t xml:space="preserve">frozen_candidate_not_selected</x:t>
        </x:is>
      </x:c>
      <x:c r="I347" s="12" t="inlineStr">
        <x:is>
          <x:t xml:space="preserve">not selected</x:t>
        </x:is>
      </x:c>
      <x:c r="J347" s="13" t="inlineStr">
        <x:is>
          <x:t xml:space="preserve">Frozen candidate; not promoted into the 144-organization quantitative reference set during this pass.</x:t>
        </x:is>
      </x:c>
      <x:c r="K347" s="12" t="inlineStr">
        <x:is>
          <x:t xml:space="preserve">not collected</x:t>
        </x:is>
      </x:c>
      <x:c r="L347" s="16" t="inlineStr">
        <x:is>
          <x:t xml:space="preserve">https://projects.propublica.org/nonprofits/search?q=Invest%20in%20Open%20Infrastructure</x:t>
        </x:is>
      </x:c>
    </x:row>
    <x:row r="348">
      <x:c r="A348" s="12" t="inlineStr">
        <x:is>
          <x:t xml:space="preserve">EXT3-039</x:t>
        </x:is>
      </x:c>
      <x:c r="B348" s="12" t="inlineStr">
        <x:is>
          <x:t xml:space="preserve">ASAPbio</x:t>
        </x:is>
      </x:c>
      <x:c r="C348" s="12" t="inlineStr">
        <x:is>
          <x:t xml:space="preserve">extension3_frozen</x:t>
        </x:is>
      </x:c>
      <x:c r="D348" s="12" t="inlineStr">
        <x:is>
          <x:t xml:space="preserve">open science infrastructure</x:t>
        </x:is>
      </x:c>
      <x:c r="E348" s="12" t="inlineStr">
        <x:is>
          <x:t xml:space="preserve">EA-adjacent</x:t>
        </x:is>
      </x:c>
      <x:c r="F348" s="12" t="inlineStr">
        <x:is>
          <x:t xml:space="preserve">independent nonprofit</x:t>
        </x:is>
      </x:c>
      <x:c r="G348" s="12" t="inlineStr">
        <x:is>
          <x:t xml:space="preserve">no</x:t>
        </x:is>
      </x:c>
      <x:c r="H348" s="12" t="inlineStr">
        <x:is>
          <x:t xml:space="preserve">frozen_candidate_not_selected</x:t>
        </x:is>
      </x:c>
      <x:c r="I348" s="12" t="inlineStr">
        <x:is>
          <x:t xml:space="preserve">not selected</x:t>
        </x:is>
      </x:c>
      <x:c r="J348" s="13" t="inlineStr">
        <x:is>
          <x:t xml:space="preserve">Frozen candidate; not promoted into the 144-organization quantitative reference set during this pass.</x:t>
        </x:is>
      </x:c>
      <x:c r="K348" s="12" t="inlineStr">
        <x:is>
          <x:t xml:space="preserve">not collected</x:t>
        </x:is>
      </x:c>
      <x:c r="L348" s="16" t="inlineStr">
        <x:is>
          <x:t xml:space="preserve">https://projects.propublica.org/nonprofits/search?q=ASAPbio</x:t>
        </x:is>
      </x:c>
    </x:row>
    <x:row r="349">
      <x:c r="A349" s="12" t="inlineStr">
        <x:is>
          <x:t xml:space="preserve">EXT3-040</x:t>
        </x:is>
      </x:c>
      <x:c r="B349" s="12" t="inlineStr">
        <x:is>
          <x:t xml:space="preserve">Open Research Funders Group</x:t>
        </x:is>
      </x:c>
      <x:c r="C349" s="12" t="inlineStr">
        <x:is>
          <x:t xml:space="preserve">extension3_frozen</x:t>
        </x:is>
      </x:c>
      <x:c r="D349" s="12" t="inlineStr">
        <x:is>
          <x:t xml:space="preserve">open science infrastructure</x:t>
        </x:is>
      </x:c>
      <x:c r="E349" s="12" t="inlineStr">
        <x:is>
          <x:t xml:space="preserve">EA-adjacent</x:t>
        </x:is>
      </x:c>
      <x:c r="F349" s="12" t="inlineStr">
        <x:is>
          <x:t xml:space="preserve">nonprofit/project</x:t>
        </x:is>
      </x:c>
      <x:c r="G349" s="12" t="inlineStr">
        <x:is>
          <x:t xml:space="preserve">no</x:t>
        </x:is>
      </x:c>
      <x:c r="H349" s="12" t="inlineStr">
        <x:is>
          <x:t xml:space="preserve">frozen_candidate_not_selected</x:t>
        </x:is>
      </x:c>
      <x:c r="I349" s="12" t="inlineStr">
        <x:is>
          <x:t xml:space="preserve">not selected</x:t>
        </x:is>
      </x:c>
      <x:c r="J349" s="13" t="inlineStr">
        <x:is>
          <x:t xml:space="preserve">Frozen candidate; not promoted into the 144-organization quantitative reference set during this pass.</x:t>
        </x:is>
      </x:c>
      <x:c r="K349" s="12" t="inlineStr">
        <x:is>
          <x:t xml:space="preserve">not collected</x:t>
        </x:is>
      </x:c>
      <x:c r="L349" s="16" t="inlineStr">
        <x:is>
          <x:t xml:space="preserve">https://projects.propublica.org/nonprofits/search?q=Open%20Research%20Funders%20Group</x:t>
        </x:is>
      </x:c>
    </x:row>
    <x:row r="350">
      <x:c r="A350" s="12" t="inlineStr">
        <x:is>
          <x:t xml:space="preserve">EXT3-041</x:t>
        </x:is>
      </x:c>
      <x:c r="B350" s="12" t="inlineStr">
        <x:is>
          <x:t xml:space="preserve">Internet Archive</x:t>
        </x:is>
      </x:c>
      <x:c r="C350" s="12" t="inlineStr">
        <x:is>
          <x:t xml:space="preserve">extension3_frozen</x:t>
        </x:is>
      </x:c>
      <x:c r="D350" s="12" t="inlineStr">
        <x:is>
          <x:t xml:space="preserve">open knowledge infrastructure</x:t>
        </x:is>
      </x:c>
      <x:c r="E350" s="12" t="inlineStr">
        <x:is>
          <x:t xml:space="preserve">EA-adjacent</x:t>
        </x:is>
      </x:c>
      <x:c r="F350" s="12" t="inlineStr">
        <x:is>
          <x:t xml:space="preserve">independent nonprofit</x:t>
        </x:is>
      </x:c>
      <x:c r="G350" s="12" t="inlineStr">
        <x:is>
          <x:t xml:space="preserve">no</x:t>
        </x:is>
      </x:c>
      <x:c r="H350" s="12" t="inlineStr">
        <x:is>
          <x:t xml:space="preserve">frozen_candidate_not_selected</x:t>
        </x:is>
      </x:c>
      <x:c r="I350" s="12" t="inlineStr">
        <x:is>
          <x:t xml:space="preserve">not selected</x:t>
        </x:is>
      </x:c>
      <x:c r="J350" s="13" t="inlineStr">
        <x:is>
          <x:t xml:space="preserve">Frozen candidate; not promoted into the 144-organization quantitative reference set during this pass.</x:t>
        </x:is>
      </x:c>
      <x:c r="K350" s="12" t="inlineStr">
        <x:is>
          <x:t xml:space="preserve">not collected</x:t>
        </x:is>
      </x:c>
      <x:c r="L350" s="16" t="inlineStr">
        <x:is>
          <x:t xml:space="preserve">https://projects.propublica.org/nonprofits/search?q=Internet%20Archive</x:t>
        </x:is>
      </x:c>
    </x:row>
    <x:row r="351">
      <x:c r="A351" s="12" t="inlineStr">
        <x:is>
          <x:t xml:space="preserve">EXT3-042</x:t>
        </x:is>
      </x:c>
      <x:c r="B351" s="12" t="inlineStr">
        <x:is>
          <x:t xml:space="preserve">RAND Corporation</x:t>
        </x:is>
      </x:c>
      <x:c r="C351" s="12" t="inlineStr">
        <x:is>
          <x:t xml:space="preserve">extension3_frozen</x:t>
        </x:is>
      </x:c>
      <x:c r="D351" s="12" t="inlineStr">
        <x:is>
          <x:t xml:space="preserve">research and evaluation</x:t>
        </x:is>
      </x:c>
      <x:c r="E351" s="12" t="inlineStr">
        <x:is>
          <x:t xml:space="preserve">functional-only</x:t>
        </x:is>
      </x:c>
      <x:c r="F351" s="12" t="inlineStr">
        <x:is>
          <x:t xml:space="preserve">independent nonprofit</x:t>
        </x:is>
      </x:c>
      <x:c r="G351" s="12" t="inlineStr">
        <x:is>
          <x:t xml:space="preserve">no</x:t>
        </x:is>
      </x:c>
      <x:c r="H351" s="12" t="inlineStr">
        <x:is>
          <x:t xml:space="preserve">frozen_candidate_not_selected</x:t>
        </x:is>
      </x:c>
      <x:c r="I351" s="12" t="inlineStr">
        <x:is>
          <x:t xml:space="preserve">not selected</x:t>
        </x:is>
      </x:c>
      <x:c r="J351" s="13" t="inlineStr">
        <x:is>
          <x:t xml:space="preserve">Frozen candidate; not promoted into the 144-organization quantitative reference set during this pass.</x:t>
        </x:is>
      </x:c>
      <x:c r="K351" s="12" t="inlineStr">
        <x:is>
          <x:t xml:space="preserve">not collected</x:t>
        </x:is>
      </x:c>
      <x:c r="L351" s="16" t="inlineStr">
        <x:is>
          <x:t xml:space="preserve">https://projects.propublica.org/nonprofits/search?q=RAND%20Corporation</x:t>
        </x:is>
      </x:c>
    </x:row>
    <x:row r="352">
      <x:c r="A352" s="12" t="inlineStr">
        <x:is>
          <x:t xml:space="preserve">EXT3-043</x:t>
        </x:is>
      </x:c>
      <x:c r="B352" s="12" t="inlineStr">
        <x:is>
          <x:t xml:space="preserve">Mathematica</x:t>
        </x:is>
      </x:c>
      <x:c r="C352" s="12" t="inlineStr">
        <x:is>
          <x:t xml:space="preserve">extension3_frozen</x:t>
        </x:is>
      </x:c>
      <x:c r="D352" s="12" t="inlineStr">
        <x:is>
          <x:t xml:space="preserve">research and evaluation</x:t>
        </x:is>
      </x:c>
      <x:c r="E352" s="12" t="inlineStr">
        <x:is>
          <x:t xml:space="preserve">functional-only</x:t>
        </x:is>
      </x:c>
      <x:c r="F352" s="12" t="inlineStr">
        <x:is>
          <x:t xml:space="preserve">employee-owned company</x:t>
        </x:is>
      </x:c>
      <x:c r="G352" s="12" t="inlineStr">
        <x:is>
          <x:t xml:space="preserve">no</x:t>
        </x:is>
      </x:c>
      <x:c r="H352" s="12" t="inlineStr">
        <x:is>
          <x:t xml:space="preserve">frozen_candidate_not_selected</x:t>
        </x:is>
      </x:c>
      <x:c r="I352" s="12" t="inlineStr">
        <x:is>
          <x:t xml:space="preserve">not selected</x:t>
        </x:is>
      </x:c>
      <x:c r="J352" s="13" t="inlineStr">
        <x:is>
          <x:t xml:space="preserve">Frozen candidate; not promoted into the 144-organization quantitative reference set during this pass.</x:t>
        </x:is>
      </x:c>
      <x:c r="K352" s="12" t="inlineStr">
        <x:is>
          <x:t xml:space="preserve">not collected</x:t>
        </x:is>
      </x:c>
      <x:c r="L352" s="16" t="inlineStr">
        <x:is>
          <x:t xml:space="preserve">https://projects.propublica.org/nonprofits/search?q=Mathematica</x:t>
        </x:is>
      </x:c>
    </x:row>
    <x:row r="353">
      <x:c r="A353" s="12" t="inlineStr">
        <x:is>
          <x:t xml:space="preserve">EXT3-044</x:t>
        </x:is>
      </x:c>
      <x:c r="B353" s="12" t="inlineStr">
        <x:is>
          <x:t xml:space="preserve">NORC at the University of Chicago</x:t>
        </x:is>
      </x:c>
      <x:c r="C353" s="12" t="inlineStr">
        <x:is>
          <x:t xml:space="preserve">extension3_frozen</x:t>
        </x:is>
      </x:c>
      <x:c r="D353" s="12" t="inlineStr">
        <x:is>
          <x:t xml:space="preserve">research and evaluation</x:t>
        </x:is>
      </x:c>
      <x:c r="E353" s="12" t="inlineStr">
        <x:is>
          <x:t xml:space="preserve">functional-only</x:t>
        </x:is>
      </x:c>
      <x:c r="F353" s="12" t="inlineStr">
        <x:is>
          <x:t xml:space="preserve">university-affiliated nonprofit</x:t>
        </x:is>
      </x:c>
      <x:c r="G353" s="12" t="inlineStr">
        <x:is>
          <x:t xml:space="preserve">no</x:t>
        </x:is>
      </x:c>
      <x:c r="H353" s="12" t="inlineStr">
        <x:is>
          <x:t xml:space="preserve">frozen_candidate_not_selected</x:t>
        </x:is>
      </x:c>
      <x:c r="I353" s="12" t="inlineStr">
        <x:is>
          <x:t xml:space="preserve">not selected</x:t>
        </x:is>
      </x:c>
      <x:c r="J353" s="13" t="inlineStr">
        <x:is>
          <x:t xml:space="preserve">Frozen candidate; not promoted into the 144-organization quantitative reference set during this pass.</x:t>
        </x:is>
      </x:c>
      <x:c r="K353" s="12" t="inlineStr">
        <x:is>
          <x:t xml:space="preserve">not collected</x:t>
        </x:is>
      </x:c>
      <x:c r="L353" s="16" t="inlineStr">
        <x:is>
          <x:t xml:space="preserve">https://projects.propublica.org/nonprofits/search?q=NORC%20at%20the%20University%20of%20Chicago</x:t>
        </x:is>
      </x:c>
    </x:row>
    <x:row r="354">
      <x:c r="A354" s="12" t="inlineStr">
        <x:is>
          <x:t xml:space="preserve">EXT3-045</x:t>
        </x:is>
      </x:c>
      <x:c r="B354" s="12" t="inlineStr">
        <x:is>
          <x:t xml:space="preserve">RTI International</x:t>
        </x:is>
      </x:c>
      <x:c r="C354" s="12" t="inlineStr">
        <x:is>
          <x:t xml:space="preserve">extension3_frozen</x:t>
        </x:is>
      </x:c>
      <x:c r="D354" s="12" t="inlineStr">
        <x:is>
          <x:t xml:space="preserve">research and evaluation</x:t>
        </x:is>
      </x:c>
      <x:c r="E354" s="12" t="inlineStr">
        <x:is>
          <x:t xml:space="preserve">functional-only</x:t>
        </x:is>
      </x:c>
      <x:c r="F354" s="12" t="inlineStr">
        <x:is>
          <x:t xml:space="preserve">independent nonprofit</x:t>
        </x:is>
      </x:c>
      <x:c r="G354" s="12" t="inlineStr">
        <x:is>
          <x:t xml:space="preserve">no</x:t>
        </x:is>
      </x:c>
      <x:c r="H354" s="12" t="inlineStr">
        <x:is>
          <x:t xml:space="preserve">frozen_candidate_not_selected</x:t>
        </x:is>
      </x:c>
      <x:c r="I354" s="12" t="inlineStr">
        <x:is>
          <x:t xml:space="preserve">not selected</x:t>
        </x:is>
      </x:c>
      <x:c r="J354" s="13" t="inlineStr">
        <x:is>
          <x:t xml:space="preserve">Frozen candidate; not promoted into the 144-organization quantitative reference set during this pass.</x:t>
        </x:is>
      </x:c>
      <x:c r="K354" s="12" t="inlineStr">
        <x:is>
          <x:t xml:space="preserve">not collected</x:t>
        </x:is>
      </x:c>
      <x:c r="L354" s="16" t="inlineStr">
        <x:is>
          <x:t xml:space="preserve">https://projects.propublica.org/nonprofits/search?q=RTI%20International</x:t>
        </x:is>
      </x:c>
    </x:row>
    <x:row r="355">
      <x:c r="A355" s="12" t="inlineStr">
        <x:is>
          <x:t xml:space="preserve">EXT3-046</x:t>
        </x:is>
      </x:c>
      <x:c r="B355" s="12" t="inlineStr">
        <x:is>
          <x:t xml:space="preserve">Center for Disaster Philanthropy</x:t>
        </x:is>
      </x:c>
      <x:c r="C355" s="12" t="inlineStr">
        <x:is>
          <x:t xml:space="preserve">extension3_frozen</x:t>
        </x:is>
      </x:c>
      <x:c r="D355" s="12" t="inlineStr">
        <x:is>
          <x:t xml:space="preserve">philanthropy infrastructure</x:t>
        </x:is>
      </x:c>
      <x:c r="E355" s="12" t="inlineStr">
        <x:is>
          <x:t xml:space="preserve">EA-adjacent</x:t>
        </x:is>
      </x:c>
      <x:c r="F355" s="12" t="inlineStr">
        <x:is>
          <x:t xml:space="preserve">public charity / grantmaker</x:t>
        </x:is>
      </x:c>
      <x:c r="G355" s="12" t="inlineStr">
        <x:is>
          <x:t xml:space="preserve">no</x:t>
        </x:is>
      </x:c>
      <x:c r="H355" s="12" t="inlineStr">
        <x:is>
          <x:t xml:space="preserve">frozen_candidate_not_selected</x:t>
        </x:is>
      </x:c>
      <x:c r="I355" s="12" t="inlineStr">
        <x:is>
          <x:t xml:space="preserve">not selected</x:t>
        </x:is>
      </x:c>
      <x:c r="J355" s="13" t="inlineStr">
        <x:is>
          <x:t xml:space="preserve">Frozen candidate; not promoted into the 144-organization quantitative reference set during this pass.</x:t>
        </x:is>
      </x:c>
      <x:c r="K355" s="12" t="inlineStr">
        <x:is>
          <x:t xml:space="preserve">not collected</x:t>
        </x:is>
      </x:c>
      <x:c r="L355" s="16" t="inlineStr">
        <x:is>
          <x:t xml:space="preserve">https://projects.propublica.org/nonprofits/search?q=Center%20for%20Disaster%20Philanthropy</x:t>
        </x:is>
      </x:c>
    </x:row>
    <x:row r="356">
      <x:c r="A356" s="12" t="inlineStr">
        <x:is>
          <x:t xml:space="preserve">EXT3-047</x:t>
        </x:is>
      </x:c>
      <x:c r="B356" s="12" t="inlineStr">
        <x:is>
          <x:t xml:space="preserve">Grantmakers for Education</x:t>
        </x:is>
      </x:c>
      <x:c r="C356" s="12" t="inlineStr">
        <x:is>
          <x:t xml:space="preserve">extension3_frozen</x:t>
        </x:is>
      </x:c>
      <x:c r="D356" s="12" t="inlineStr">
        <x:is>
          <x:t xml:space="preserve">philanthropy infrastructure</x:t>
        </x:is>
      </x:c>
      <x:c r="E356" s="12" t="inlineStr">
        <x:is>
          <x:t xml:space="preserve">functional-only</x:t>
        </x:is>
      </x:c>
      <x:c r="F356" s="12" t="inlineStr">
        <x:is>
          <x:t xml:space="preserve">membership nonprofit</x:t>
        </x:is>
      </x:c>
      <x:c r="G356" s="12" t="inlineStr">
        <x:is>
          <x:t xml:space="preserve">no</x:t>
        </x:is>
      </x:c>
      <x:c r="H356" s="12" t="inlineStr">
        <x:is>
          <x:t xml:space="preserve">included</x:t>
        </x:is>
      </x:c>
      <x:c r="I356" s="12" t="inlineStr">
        <x:is>
          <x:t xml:space="preserve">Tier B</x:t>
        </x:is>
      </x:c>
      <x:c r="J356" s="13" t="inlineStr">
        <x:is>
          <x:t xml:space="preserve">Selected under frozen function/scale/EA/structure rules; compensation did not determine selection.</x:t>
        </x:is>
      </x:c>
      <x:c r="K356" s="12" t="inlineStr">
        <x:is>
          <x:t xml:space="preserve">primary</x:t>
        </x:is>
      </x:c>
      <x:c r="L356" s="16" t="inlineStr">
        <x:is>
          <x:t xml:space="preserve">https://projects.propublica.org/nonprofits/search?q=Grantmakers%20for%20Education</x:t>
        </x:is>
      </x:c>
    </x:row>
    <x:row r="357">
      <x:c r="A357" s="12" t="inlineStr">
        <x:is>
          <x:t xml:space="preserve">EXT3-048</x:t>
        </x:is>
      </x:c>
      <x:c r="B357" s="12" t="inlineStr">
        <x:is>
          <x:t xml:space="preserve">Technology Association of Grantmakers</x:t>
        </x:is>
      </x:c>
      <x:c r="C357" s="12" t="inlineStr">
        <x:is>
          <x:t xml:space="preserve">extension3_frozen</x:t>
        </x:is>
      </x:c>
      <x:c r="D357" s="12" t="inlineStr">
        <x:is>
          <x:t xml:space="preserve">philanthropy infrastructure</x:t>
        </x:is>
      </x:c>
      <x:c r="E357" s="12" t="inlineStr">
        <x:is>
          <x:t xml:space="preserve">EA-adjacent</x:t>
        </x:is>
      </x:c>
      <x:c r="F357" s="12" t="inlineStr">
        <x:is>
          <x:t xml:space="preserve">membership nonprofit</x:t>
        </x:is>
      </x:c>
      <x:c r="G357" s="12" t="inlineStr">
        <x:is>
          <x:t xml:space="preserve">no</x:t>
        </x:is>
      </x:c>
      <x:c r="H357" s="12" t="inlineStr">
        <x:is>
          <x:t xml:space="preserve">frozen_candidate_not_selected</x:t>
        </x:is>
      </x:c>
      <x:c r="I357" s="12" t="inlineStr">
        <x:is>
          <x:t xml:space="preserve">not selected</x:t>
        </x:is>
      </x:c>
      <x:c r="J357" s="13" t="inlineStr">
        <x:is>
          <x:t xml:space="preserve">Frozen candidate; not promoted into the 144-organization quantitative reference set during this pass.</x:t>
        </x:is>
      </x:c>
      <x:c r="K357" s="12" t="inlineStr">
        <x:is>
          <x:t xml:space="preserve">not collected</x:t>
        </x:is>
      </x:c>
      <x:c r="L357" s="16" t="inlineStr">
        <x:is>
          <x:t xml:space="preserve">https://projects.propublica.org/nonprofits/search?q=Technology%20Association%20of%20Grantmakers</x:t>
        </x:is>
      </x:c>
    </x:row>
    <x:row r="358">
      <x:c r="A358" s="12" t="inlineStr">
        <x:is>
          <x:t xml:space="preserve">EXT3-049</x:t>
        </x:is>
      </x:c>
      <x:c r="B358" s="12" t="inlineStr">
        <x:is>
          <x:t xml:space="preserve">Media Impact Funders</x:t>
        </x:is>
      </x:c>
      <x:c r="C358" s="12" t="inlineStr">
        <x:is>
          <x:t xml:space="preserve">extension3_frozen</x:t>
        </x:is>
      </x:c>
      <x:c r="D358" s="12" t="inlineStr">
        <x:is>
          <x:t xml:space="preserve">philanthropy infrastructure</x:t>
        </x:is>
      </x:c>
      <x:c r="E358" s="12" t="inlineStr">
        <x:is>
          <x:t xml:space="preserve">functional-only</x:t>
        </x:is>
      </x:c>
      <x:c r="F358" s="12" t="inlineStr">
        <x:is>
          <x:t xml:space="preserve">membership nonprofit</x:t>
        </x:is>
      </x:c>
      <x:c r="G358" s="12" t="inlineStr">
        <x:is>
          <x:t xml:space="preserve">no</x:t>
        </x:is>
      </x:c>
      <x:c r="H358" s="12" t="inlineStr">
        <x:is>
          <x:t xml:space="preserve">frozen_candidate_not_selected</x:t>
        </x:is>
      </x:c>
      <x:c r="I358" s="12" t="inlineStr">
        <x:is>
          <x:t xml:space="preserve">not selected</x:t>
        </x:is>
      </x:c>
      <x:c r="J358" s="13" t="inlineStr">
        <x:is>
          <x:t xml:space="preserve">Frozen candidate; not promoted into the 144-organization quantitative reference set during this pass.</x:t>
        </x:is>
      </x:c>
      <x:c r="K358" s="12" t="inlineStr">
        <x:is>
          <x:t xml:space="preserve">not collected</x:t>
        </x:is>
      </x:c>
      <x:c r="L358" s="16" t="inlineStr">
        <x:is>
          <x:t xml:space="preserve">https://projects.propublica.org/nonprofits/search?q=Media%20Impact%20Funders</x:t>
        </x:is>
      </x:c>
    </x:row>
    <x:row r="359">
      <x:c r="A359" s="12" t="inlineStr">
        <x:is>
          <x:t xml:space="preserve">EXT3-050</x:t>
        </x:is>
      </x:c>
      <x:c r="B359" s="12" t="inlineStr">
        <x:is>
          <x:t xml:space="preserve">Human Rights Funders Network</x:t>
        </x:is>
      </x:c>
      <x:c r="C359" s="12" t="inlineStr">
        <x:is>
          <x:t xml:space="preserve">extension3_frozen</x:t>
        </x:is>
      </x:c>
      <x:c r="D359" s="12" t="inlineStr">
        <x:is>
          <x:t xml:space="preserve">philanthropy infrastructure</x:t>
        </x:is>
      </x:c>
      <x:c r="E359" s="12" t="inlineStr">
        <x:is>
          <x:t xml:space="preserve">EA-adjacent</x:t>
        </x:is>
      </x:c>
      <x:c r="F359" s="12" t="inlineStr">
        <x:is>
          <x:t xml:space="preserve">membership nonprofit</x:t>
        </x:is>
      </x:c>
      <x:c r="G359" s="12" t="inlineStr">
        <x:is>
          <x:t xml:space="preserve">no</x:t>
        </x:is>
      </x:c>
      <x:c r="H359" s="12" t="inlineStr">
        <x:is>
          <x:t xml:space="preserve">frozen_candidate_not_selected</x:t>
        </x:is>
      </x:c>
      <x:c r="I359" s="12" t="inlineStr">
        <x:is>
          <x:t xml:space="preserve">not selected</x:t>
        </x:is>
      </x:c>
      <x:c r="J359" s="13" t="inlineStr">
        <x:is>
          <x:t xml:space="preserve">Frozen candidate; not promoted into the 144-organization quantitative reference set during this pass.</x:t>
        </x:is>
      </x:c>
      <x:c r="K359" s="12" t="inlineStr">
        <x:is>
          <x:t xml:space="preserve">not collected</x:t>
        </x:is>
      </x:c>
      <x:c r="L359" s="16" t="inlineStr">
        <x:is>
          <x:t xml:space="preserve">https://projects.propublica.org/nonprofits/search?q=Human%20Rights%20Funders%20Network</x:t>
        </x:is>
      </x:c>
    </x:row>
    <x:row r="360">
      <x:c r="A360" s="12" t="inlineStr">
        <x:is>
          <x:t xml:space="preserve">EXT3-051</x:t>
        </x:is>
      </x:c>
      <x:c r="B360" s="12" t="inlineStr">
        <x:is>
          <x:t xml:space="preserve">EDGE Funders Alliance</x:t>
        </x:is>
      </x:c>
      <x:c r="C360" s="12" t="inlineStr">
        <x:is>
          <x:t xml:space="preserve">extension3_frozen</x:t>
        </x:is>
      </x:c>
      <x:c r="D360" s="12" t="inlineStr">
        <x:is>
          <x:t xml:space="preserve">philanthropy infrastructure</x:t>
        </x:is>
      </x:c>
      <x:c r="E360" s="12" t="inlineStr">
        <x:is>
          <x:t xml:space="preserve">functional-only</x:t>
        </x:is>
      </x:c>
      <x:c r="F360" s="12" t="inlineStr">
        <x:is>
          <x:t xml:space="preserve">membership nonprofit</x:t>
        </x:is>
      </x:c>
      <x:c r="G360" s="12" t="inlineStr">
        <x:is>
          <x:t xml:space="preserve">no</x:t>
        </x:is>
      </x:c>
      <x:c r="H360" s="12" t="inlineStr">
        <x:is>
          <x:t xml:space="preserve">frozen_candidate_not_selected</x:t>
        </x:is>
      </x:c>
      <x:c r="I360" s="12" t="inlineStr">
        <x:is>
          <x:t xml:space="preserve">not selected</x:t>
        </x:is>
      </x:c>
      <x:c r="J360" s="13" t="inlineStr">
        <x:is>
          <x:t xml:space="preserve">Frozen candidate; not promoted into the 144-organization quantitative reference set during this pass.</x:t>
        </x:is>
      </x:c>
      <x:c r="K360" s="12" t="inlineStr">
        <x:is>
          <x:t xml:space="preserve">not collected</x:t>
        </x:is>
      </x:c>
      <x:c r="L360" s="16" t="inlineStr">
        <x:is>
          <x:t xml:space="preserve">https://projects.propublica.org/nonprofits/search?q=EDGE%20Funders%20Alliance</x:t>
        </x:is>
      </x:c>
    </x:row>
    <x:row r="361">
      <x:c r="A361" s="12" t="inlineStr">
        <x:is>
          <x:t xml:space="preserve">EXT3-052</x:t>
        </x:is>
      </x:c>
      <x:c r="B361" s="12" t="inlineStr">
        <x:is>
          <x:t xml:space="preserve">Hispanics in Philanthropy</x:t>
        </x:is>
      </x:c>
      <x:c r="C361" s="12" t="inlineStr">
        <x:is>
          <x:t xml:space="preserve">extension3_frozen</x:t>
        </x:is>
      </x:c>
      <x:c r="D361" s="12" t="inlineStr">
        <x:is>
          <x:t xml:space="preserve">philanthropy infrastructure</x:t>
        </x:is>
      </x:c>
      <x:c r="E361" s="12" t="inlineStr">
        <x:is>
          <x:t xml:space="preserve">functional-only</x:t>
        </x:is>
      </x:c>
      <x:c r="F361" s="12" t="inlineStr">
        <x:is>
          <x:t xml:space="preserve">public charity / grantmaker</x:t>
        </x:is>
      </x:c>
      <x:c r="G361" s="12" t="inlineStr">
        <x:is>
          <x:t xml:space="preserve">no</x:t>
        </x:is>
      </x:c>
      <x:c r="H361" s="12" t="inlineStr">
        <x:is>
          <x:t xml:space="preserve">frozen_candidate_not_selected</x:t>
        </x:is>
      </x:c>
      <x:c r="I361" s="12" t="inlineStr">
        <x:is>
          <x:t xml:space="preserve">not selected</x:t>
        </x:is>
      </x:c>
      <x:c r="J361" s="13" t="inlineStr">
        <x:is>
          <x:t xml:space="preserve">Frozen candidate; not promoted into the 144-organization quantitative reference set during this pass.</x:t>
        </x:is>
      </x:c>
      <x:c r="K361" s="12" t="inlineStr">
        <x:is>
          <x:t xml:space="preserve">not collected</x:t>
        </x:is>
      </x:c>
      <x:c r="L361" s="16" t="inlineStr">
        <x:is>
          <x:t xml:space="preserve">https://projects.propublica.org/nonprofits/search?q=Hispanics%20in%20Philanthropy</x:t>
        </x:is>
      </x:c>
    </x:row>
    <x:row r="362">
      <x:c r="A362" s="12" t="inlineStr">
        <x:is>
          <x:t xml:space="preserve">EXT3-053</x:t>
        </x:is>
      </x:c>
      <x:c r="B362" s="12" t="inlineStr">
        <x:is>
          <x:t xml:space="preserve">Native Americans in Philanthropy</x:t>
        </x:is>
      </x:c>
      <x:c r="C362" s="12" t="inlineStr">
        <x:is>
          <x:t xml:space="preserve">extension3_frozen</x:t>
        </x:is>
      </x:c>
      <x:c r="D362" s="12" t="inlineStr">
        <x:is>
          <x:t xml:space="preserve">philanthropy infrastructure</x:t>
        </x:is>
      </x:c>
      <x:c r="E362" s="12" t="inlineStr">
        <x:is>
          <x:t xml:space="preserve">functional-only</x:t>
        </x:is>
      </x:c>
      <x:c r="F362" s="12" t="inlineStr">
        <x:is>
          <x:t xml:space="preserve">membership nonprofit</x:t>
        </x:is>
      </x:c>
      <x:c r="G362" s="12" t="inlineStr">
        <x:is>
          <x:t xml:space="preserve">no</x:t>
        </x:is>
      </x:c>
      <x:c r="H362" s="12" t="inlineStr">
        <x:is>
          <x:t xml:space="preserve">frozen_candidate_not_selected</x:t>
        </x:is>
      </x:c>
      <x:c r="I362" s="12" t="inlineStr">
        <x:is>
          <x:t xml:space="preserve">not selected</x:t>
        </x:is>
      </x:c>
      <x:c r="J362" s="13" t="inlineStr">
        <x:is>
          <x:t xml:space="preserve">Frozen candidate; not promoted into the 144-organization quantitative reference set during this pass.</x:t>
        </x:is>
      </x:c>
      <x:c r="K362" s="12" t="inlineStr">
        <x:is>
          <x:t xml:space="preserve">not collected</x:t>
        </x:is>
      </x:c>
      <x:c r="L362" s="16" t="inlineStr">
        <x:is>
          <x:t xml:space="preserve">https://projects.propublica.org/nonprofits/search?q=Native%20Americans%20in%20Philanthropy</x:t>
        </x:is>
      </x:c>
    </x:row>
    <x:row r="363">
      <x:c r="A363" s="12" t="inlineStr">
        <x:is>
          <x:t xml:space="preserve">EXT3-054</x:t>
        </x:is>
      </x:c>
      <x:c r="B363" s="12" t="inlineStr">
        <x:is>
          <x:t xml:space="preserve">Environmental Grantmakers Association</x:t>
        </x:is>
      </x:c>
      <x:c r="C363" s="12" t="inlineStr">
        <x:is>
          <x:t xml:space="preserve">extension3_frozen</x:t>
        </x:is>
      </x:c>
      <x:c r="D363" s="12" t="inlineStr">
        <x:is>
          <x:t xml:space="preserve">philanthropy infrastructure</x:t>
        </x:is>
      </x:c>
      <x:c r="E363" s="12" t="inlineStr">
        <x:is>
          <x:t xml:space="preserve">functional-only</x:t>
        </x:is>
      </x:c>
      <x:c r="F363" s="12" t="inlineStr">
        <x:is>
          <x:t xml:space="preserve">membership nonprofit</x:t>
        </x:is>
      </x:c>
      <x:c r="G363" s="12" t="inlineStr">
        <x:is>
          <x:t xml:space="preserve">no</x:t>
        </x:is>
      </x:c>
      <x:c r="H363" s="12" t="inlineStr">
        <x:is>
          <x:t xml:space="preserve">frozen_candidate_not_selected</x:t>
        </x:is>
      </x:c>
      <x:c r="I363" s="12" t="inlineStr">
        <x:is>
          <x:t xml:space="preserve">not selected</x:t>
        </x:is>
      </x:c>
      <x:c r="J363" s="13" t="inlineStr">
        <x:is>
          <x:t xml:space="preserve">Frozen candidate; not promoted into the 144-organization quantitative reference set during this pass.</x:t>
        </x:is>
      </x:c>
      <x:c r="K363" s="12" t="inlineStr">
        <x:is>
          <x:t xml:space="preserve">not collected</x:t>
        </x:is>
      </x:c>
      <x:c r="L363" s="16" t="inlineStr">
        <x:is>
          <x:t xml:space="preserve">https://projects.propublica.org/nonprofits/search?q=Environmental%20Grantmakers%20Association</x:t>
        </x:is>
      </x:c>
    </x:row>
    <x:row r="364">
      <x:c r="A364" s="12" t="inlineStr">
        <x:is>
          <x:t xml:space="preserve">EXT3-055</x:t>
        </x:is>
      </x:c>
      <x:c r="B364" s="13" t="inlineStr">
        <x:is>
          <x:t xml:space="preserve">Sustainable Agriculture and Food Systems Funders</x:t>
        </x:is>
      </x:c>
      <x:c r="C364" s="12" t="inlineStr">
        <x:is>
          <x:t xml:space="preserve">extension3_frozen</x:t>
        </x:is>
      </x:c>
      <x:c r="D364" s="12" t="inlineStr">
        <x:is>
          <x:t xml:space="preserve">philanthropy infrastructure</x:t>
        </x:is>
      </x:c>
      <x:c r="E364" s="12" t="inlineStr">
        <x:is>
          <x:t xml:space="preserve">EA-adjacent</x:t>
        </x:is>
      </x:c>
      <x:c r="F364" s="12" t="inlineStr">
        <x:is>
          <x:t xml:space="preserve">membership nonprofit</x:t>
        </x:is>
      </x:c>
      <x:c r="G364" s="12" t="inlineStr">
        <x:is>
          <x:t xml:space="preserve">no</x:t>
        </x:is>
      </x:c>
      <x:c r="H364" s="12" t="inlineStr">
        <x:is>
          <x:t xml:space="preserve">frozen_candidate_not_selected</x:t>
        </x:is>
      </x:c>
      <x:c r="I364" s="12" t="inlineStr">
        <x:is>
          <x:t xml:space="preserve">not selected</x:t>
        </x:is>
      </x:c>
      <x:c r="J364" s="13" t="inlineStr">
        <x:is>
          <x:t xml:space="preserve">Frozen candidate; not promoted into the 144-organization quantitative reference set during this pass.</x:t>
        </x:is>
      </x:c>
      <x:c r="K364" s="12" t="inlineStr">
        <x:is>
          <x:t xml:space="preserve">not collected</x:t>
        </x:is>
      </x:c>
      <x:c r="L364" s="16" t="inlineStr">
        <x:is>
          <x:t xml:space="preserve">https://projects.propublica.org/nonprofits/search?q=Sustainable%20Agriculture%20and%20Food%20Systems%20Funders</x:t>
        </x:is>
      </x:c>
    </x:row>
    <x:row r="365">
      <x:c r="A365" s="12" t="inlineStr">
        <x:is>
          <x:t xml:space="preserve">EXT3-056</x:t>
        </x:is>
      </x:c>
      <x:c r="B365" s="12" t="inlineStr">
        <x:is>
          <x:t xml:space="preserve">Borealis Philanthropy</x:t>
        </x:is>
      </x:c>
      <x:c r="C365" s="12" t="inlineStr">
        <x:is>
          <x:t xml:space="preserve">extension3_frozen</x:t>
        </x:is>
      </x:c>
      <x:c r="D365" s="12" t="inlineStr">
        <x:is>
          <x:t xml:space="preserve">philanthropy infrastructure</x:t>
        </x:is>
      </x:c>
      <x:c r="E365" s="12" t="inlineStr">
        <x:is>
          <x:t xml:space="preserve">functional-only</x:t>
        </x:is>
      </x:c>
      <x:c r="F365" s="12" t="inlineStr">
        <x:is>
          <x:t xml:space="preserve">public charity / fiscal sponsor</x:t>
        </x:is>
      </x:c>
      <x:c r="G365" s="12" t="inlineStr">
        <x:is>
          <x:t xml:space="preserve">no</x:t>
        </x:is>
      </x:c>
      <x:c r="H365" s="12" t="inlineStr">
        <x:is>
          <x:t xml:space="preserve">frozen_candidate_not_selected</x:t>
        </x:is>
      </x:c>
      <x:c r="I365" s="12" t="inlineStr">
        <x:is>
          <x:t xml:space="preserve">not selected</x:t>
        </x:is>
      </x:c>
      <x:c r="J365" s="13" t="inlineStr">
        <x:is>
          <x:t xml:space="preserve">Frozen candidate; not promoted into the 144-organization quantitative reference set during this pass.</x:t>
        </x:is>
      </x:c>
      <x:c r="K365" s="12" t="inlineStr">
        <x:is>
          <x:t xml:space="preserve">not collected</x:t>
        </x:is>
      </x:c>
      <x:c r="L365" s="16" t="inlineStr">
        <x:is>
          <x:t xml:space="preserve">https://projects.propublica.org/nonprofits/search?q=Borealis%20Philanthropy</x:t>
        </x:is>
      </x:c>
    </x:row>
    <x:row r="366">
      <x:c r="A366" s="12" t="inlineStr">
        <x:is>
          <x:t xml:space="preserve">EXT3-057</x:t>
        </x:is>
      </x:c>
      <x:c r="B366" s="12" t="inlineStr">
        <x:is>
          <x:t xml:space="preserve">Panorama Global</x:t>
        </x:is>
      </x:c>
      <x:c r="C366" s="12" t="inlineStr">
        <x:is>
          <x:t xml:space="preserve">extension3_frozen</x:t>
        </x:is>
      </x:c>
      <x:c r="D366" s="12" t="inlineStr">
        <x:is>
          <x:t xml:space="preserve">philanthropy infrastructure</x:t>
        </x:is>
      </x:c>
      <x:c r="E366" s="12" t="inlineStr">
        <x:is>
          <x:t xml:space="preserve">EA-adjacent</x:t>
        </x:is>
      </x:c>
      <x:c r="F366" s="12" t="inlineStr">
        <x:is>
          <x:t xml:space="preserve">public charity / fiscal sponsor</x:t>
        </x:is>
      </x:c>
      <x:c r="G366" s="12" t="inlineStr">
        <x:is>
          <x:t xml:space="preserve">no</x:t>
        </x:is>
      </x:c>
      <x:c r="H366" s="12" t="inlineStr">
        <x:is>
          <x:t xml:space="preserve">frozen_candidate_not_selected</x:t>
        </x:is>
      </x:c>
      <x:c r="I366" s="12" t="inlineStr">
        <x:is>
          <x:t xml:space="preserve">not selected</x:t>
        </x:is>
      </x:c>
      <x:c r="J366" s="13" t="inlineStr">
        <x:is>
          <x:t xml:space="preserve">Frozen candidate; not promoted into the 144-organization quantitative reference set during this pass.</x:t>
        </x:is>
      </x:c>
      <x:c r="K366" s="12" t="inlineStr">
        <x:is>
          <x:t xml:space="preserve">not collected</x:t>
        </x:is>
      </x:c>
      <x:c r="L366" s="16" t="inlineStr">
        <x:is>
          <x:t xml:space="preserve">https://projects.propublica.org/nonprofits/search?q=Panorama%20Global</x:t>
        </x:is>
      </x:c>
    </x:row>
    <x:row r="367">
      <x:c r="A367" s="12" t="inlineStr">
        <x:is>
          <x:t xml:space="preserve">EXT3-058</x:t>
        </x:is>
      </x:c>
      <x:c r="B367" s="12" t="inlineStr">
        <x:is>
          <x:t xml:space="preserve">NEO Philanthropy</x:t>
        </x:is>
      </x:c>
      <x:c r="C367" s="12" t="inlineStr">
        <x:is>
          <x:t xml:space="preserve">extension3_frozen</x:t>
        </x:is>
      </x:c>
      <x:c r="D367" s="12" t="inlineStr">
        <x:is>
          <x:t xml:space="preserve">philanthropy infrastructure</x:t>
        </x:is>
      </x:c>
      <x:c r="E367" s="12" t="inlineStr">
        <x:is>
          <x:t xml:space="preserve">functional-only</x:t>
        </x:is>
      </x:c>
      <x:c r="F367" s="12" t="inlineStr">
        <x:is>
          <x:t xml:space="preserve">public charity / fiscal sponsor</x:t>
        </x:is>
      </x:c>
      <x:c r="G367" s="12" t="inlineStr">
        <x:is>
          <x:t xml:space="preserve">no</x:t>
        </x:is>
      </x:c>
      <x:c r="H367" s="12" t="inlineStr">
        <x:is>
          <x:t xml:space="preserve">frozen_candidate_not_selected</x:t>
        </x:is>
      </x:c>
      <x:c r="I367" s="12" t="inlineStr">
        <x:is>
          <x:t xml:space="preserve">not selected</x:t>
        </x:is>
      </x:c>
      <x:c r="J367" s="13" t="inlineStr">
        <x:is>
          <x:t xml:space="preserve">Frozen candidate; not promoted into the 144-organization quantitative reference set during this pass.</x:t>
        </x:is>
      </x:c>
      <x:c r="K367" s="12" t="inlineStr">
        <x:is>
          <x:t xml:space="preserve">not collected</x:t>
        </x:is>
      </x:c>
      <x:c r="L367" s="16" t="inlineStr">
        <x:is>
          <x:t xml:space="preserve">https://projects.propublica.org/nonprofits/search?q=NEO%20Philanthropy</x:t>
        </x:is>
      </x:c>
    </x:row>
    <x:row r="368">
      <x:c r="A368" s="12" t="inlineStr">
        <x:is>
          <x:t xml:space="preserve">EXT3-059</x:t>
        </x:is>
      </x:c>
      <x:c r="B368" s="12" t="inlineStr">
        <x:is>
          <x:t xml:space="preserve">Amalgamated Foundation</x:t>
        </x:is>
      </x:c>
      <x:c r="C368" s="12" t="inlineStr">
        <x:is>
          <x:t xml:space="preserve">extension3_frozen</x:t>
        </x:is>
      </x:c>
      <x:c r="D368" s="12" t="inlineStr">
        <x:is>
          <x:t xml:space="preserve">philanthropy infrastructure</x:t>
        </x:is>
      </x:c>
      <x:c r="E368" s="12" t="inlineStr">
        <x:is>
          <x:t xml:space="preserve">functional-only</x:t>
        </x:is>
      </x:c>
      <x:c r="F368" s="12" t="inlineStr">
        <x:is>
          <x:t xml:space="preserve">public charity / fiscal sponsor</x:t>
        </x:is>
      </x:c>
      <x:c r="G368" s="12" t="inlineStr">
        <x:is>
          <x:t xml:space="preserve">no</x:t>
        </x:is>
      </x:c>
      <x:c r="H368" s="12" t="inlineStr">
        <x:is>
          <x:t xml:space="preserve">frozen_candidate_not_selected</x:t>
        </x:is>
      </x:c>
      <x:c r="I368" s="12" t="inlineStr">
        <x:is>
          <x:t xml:space="preserve">not selected</x:t>
        </x:is>
      </x:c>
      <x:c r="J368" s="13" t="inlineStr">
        <x:is>
          <x:t xml:space="preserve">Frozen candidate; not promoted into the 144-organization quantitative reference set during this pass.</x:t>
        </x:is>
      </x:c>
      <x:c r="K368" s="12" t="inlineStr">
        <x:is>
          <x:t xml:space="preserve">not collected</x:t>
        </x:is>
      </x:c>
      <x:c r="L368" s="16" t="inlineStr">
        <x:is>
          <x:t xml:space="preserve">https://projects.propublica.org/nonprofits/search?q=Amalgamated%20Foundation</x:t>
        </x:is>
      </x:c>
    </x:row>
    <x:row r="369">
      <x:c r="A369" s="12" t="inlineStr">
        <x:is>
          <x:t xml:space="preserve">EXT3-060</x:t>
        </x:is>
      </x:c>
      <x:c r="B369" s="12" t="inlineStr">
        <x:is>
          <x:t xml:space="preserve">Community Partners</x:t>
        </x:is>
      </x:c>
      <x:c r="C369" s="12" t="inlineStr">
        <x:is>
          <x:t xml:space="preserve">extension3_frozen</x:t>
        </x:is>
      </x:c>
      <x:c r="D369" s="12" t="inlineStr">
        <x:is>
          <x:t xml:space="preserve">philanthropy infrastructure</x:t>
        </x:is>
      </x:c>
      <x:c r="E369" s="12" t="inlineStr">
        <x:is>
          <x:t xml:space="preserve">functional-only</x:t>
        </x:is>
      </x:c>
      <x:c r="F369" s="12" t="inlineStr">
        <x:is>
          <x:t xml:space="preserve">public charity / fiscal sponsor</x:t>
        </x:is>
      </x:c>
      <x:c r="G369" s="12" t="inlineStr">
        <x:is>
          <x:t xml:space="preserve">no</x:t>
        </x:is>
      </x:c>
      <x:c r="H369" s="12" t="inlineStr">
        <x:is>
          <x:t xml:space="preserve">frozen_candidate_not_selected</x:t>
        </x:is>
      </x:c>
      <x:c r="I369" s="12" t="inlineStr">
        <x:is>
          <x:t xml:space="preserve">not selected</x:t>
        </x:is>
      </x:c>
      <x:c r="J369" s="13" t="inlineStr">
        <x:is>
          <x:t xml:space="preserve">Frozen candidate; not promoted into the 144-organization quantitative reference set during this pass.</x:t>
        </x:is>
      </x:c>
      <x:c r="K369" s="12" t="inlineStr">
        <x:is>
          <x:t xml:space="preserve">not collected</x:t>
        </x:is>
      </x:c>
      <x:c r="L369" s="16" t="inlineStr">
        <x:is>
          <x:t xml:space="preserve">https://projects.propublica.org/nonprofits/search?q=Community%20Partners</x:t>
        </x:is>
      </x:c>
    </x:row>
    <x:row r="370">
      <x:c r="A370" s="12" t="inlineStr">
        <x:is>
          <x:t xml:space="preserve">EXT3-061</x:t>
        </x:is>
      </x:c>
      <x:c r="B370" s="12" t="inlineStr">
        <x:is>
          <x:t xml:space="preserve">TSNE MissionWorks</x:t>
        </x:is>
      </x:c>
      <x:c r="C370" s="12" t="inlineStr">
        <x:is>
          <x:t xml:space="preserve">extension3_frozen</x:t>
        </x:is>
      </x:c>
      <x:c r="D370" s="12" t="inlineStr">
        <x:is>
          <x:t xml:space="preserve">philanthropy infrastructure</x:t>
        </x:is>
      </x:c>
      <x:c r="E370" s="12" t="inlineStr">
        <x:is>
          <x:t xml:space="preserve">functional-only</x:t>
        </x:is>
      </x:c>
      <x:c r="F370" s="12" t="inlineStr">
        <x:is>
          <x:t xml:space="preserve">public charity / fiscal sponsor</x:t>
        </x:is>
      </x:c>
      <x:c r="G370" s="12" t="inlineStr">
        <x:is>
          <x:t xml:space="preserve">no</x:t>
        </x:is>
      </x:c>
      <x:c r="H370" s="12" t="inlineStr">
        <x:is>
          <x:t xml:space="preserve">frozen_candidate_not_selected</x:t>
        </x:is>
      </x:c>
      <x:c r="I370" s="12" t="inlineStr">
        <x:is>
          <x:t xml:space="preserve">not selected</x:t>
        </x:is>
      </x:c>
      <x:c r="J370" s="13" t="inlineStr">
        <x:is>
          <x:t xml:space="preserve">Frozen candidate; not promoted into the 144-organization quantitative reference set during this pass.</x:t>
        </x:is>
      </x:c>
      <x:c r="K370" s="12" t="inlineStr">
        <x:is>
          <x:t xml:space="preserve">not collected</x:t>
        </x:is>
      </x:c>
      <x:c r="L370" s="16" t="inlineStr">
        <x:is>
          <x:t xml:space="preserve">https://projects.propublica.org/nonprofits/search?q=TSNE%20MissionWorks</x:t>
        </x:is>
      </x:c>
    </x:row>
    <x:row r="371">
      <x:c r="A371" s="12" t="inlineStr">
        <x:is>
          <x:t xml:space="preserve">EXT3-062</x:t>
        </x:is>
      </x:c>
      <x:c r="B371" s="12" t="inlineStr">
        <x:is>
          <x:t xml:space="preserve">Tides Center</x:t>
        </x:is>
      </x:c>
      <x:c r="C371" s="12" t="inlineStr">
        <x:is>
          <x:t xml:space="preserve">extension3_frozen</x:t>
        </x:is>
      </x:c>
      <x:c r="D371" s="12" t="inlineStr">
        <x:is>
          <x:t xml:space="preserve">philanthropy infrastructure</x:t>
        </x:is>
      </x:c>
      <x:c r="E371" s="12" t="inlineStr">
        <x:is>
          <x:t xml:space="preserve">functional-only</x:t>
        </x:is>
      </x:c>
      <x:c r="F371" s="12" t="inlineStr">
        <x:is>
          <x:t xml:space="preserve">public charity / fiscal sponsor</x:t>
        </x:is>
      </x:c>
      <x:c r="G371" s="12" t="inlineStr">
        <x:is>
          <x:t xml:space="preserve">no</x:t>
        </x:is>
      </x:c>
      <x:c r="H371" s="12" t="inlineStr">
        <x:is>
          <x:t xml:space="preserve">frozen_candidate_not_selected</x:t>
        </x:is>
      </x:c>
      <x:c r="I371" s="12" t="inlineStr">
        <x:is>
          <x:t xml:space="preserve">not selected</x:t>
        </x:is>
      </x:c>
      <x:c r="J371" s="13" t="inlineStr">
        <x:is>
          <x:t xml:space="preserve">Frozen candidate; not promoted into the 144-organization quantitative reference set during this pass.</x:t>
        </x:is>
      </x:c>
      <x:c r="K371" s="12" t="inlineStr">
        <x:is>
          <x:t xml:space="preserve">not collected</x:t>
        </x:is>
      </x:c>
      <x:c r="L371" s="16" t="inlineStr">
        <x:is>
          <x:t xml:space="preserve">https://projects.propublica.org/nonprofits/search?q=Tides%20Center</x:t>
        </x:is>
      </x:c>
    </x:row>
    <x:row r="372">
      <x:c r="A372" s="12" t="inlineStr">
        <x:is>
          <x:t xml:space="preserve">EXT3-063</x:t>
        </x:is>
      </x:c>
      <x:c r="B372" s="12" t="inlineStr">
        <x:is>
          <x:t xml:space="preserve">Tides Foundation</x:t>
        </x:is>
      </x:c>
      <x:c r="C372" s="12" t="inlineStr">
        <x:is>
          <x:t xml:space="preserve">extension3_frozen</x:t>
        </x:is>
      </x:c>
      <x:c r="D372" s="12" t="inlineStr">
        <x:is>
          <x:t xml:space="preserve">philanthropy infrastructure</x:t>
        </x:is>
      </x:c>
      <x:c r="E372" s="12" t="inlineStr">
        <x:is>
          <x:t xml:space="preserve">functional-only</x:t>
        </x:is>
      </x:c>
      <x:c r="F372" s="12" t="inlineStr">
        <x:is>
          <x:t xml:space="preserve">public charity / grantmaker</x:t>
        </x:is>
      </x:c>
      <x:c r="G372" s="12" t="inlineStr">
        <x:is>
          <x:t xml:space="preserve">no</x:t>
        </x:is>
      </x:c>
      <x:c r="H372" s="12" t="inlineStr">
        <x:is>
          <x:t xml:space="preserve">frozen_candidate_not_selected</x:t>
        </x:is>
      </x:c>
      <x:c r="I372" s="12" t="inlineStr">
        <x:is>
          <x:t xml:space="preserve">not selected</x:t>
        </x:is>
      </x:c>
      <x:c r="J372" s="13" t="inlineStr">
        <x:is>
          <x:t xml:space="preserve">Frozen candidate; not promoted into the 144-organization quantitative reference set during this pass.</x:t>
        </x:is>
      </x:c>
      <x:c r="K372" s="12" t="inlineStr">
        <x:is>
          <x:t xml:space="preserve">not collected</x:t>
        </x:is>
      </x:c>
      <x:c r="L372" s="16" t="inlineStr">
        <x:is>
          <x:t xml:space="preserve">https://projects.propublica.org/nonprofits/search?q=Tides%20Foundation</x:t>
        </x:is>
      </x:c>
    </x:row>
    <x:row r="373">
      <x:c r="A373" s="12" t="inlineStr">
        <x:is>
          <x:t xml:space="preserve">EXT3-064</x:t>
        </x:is>
      </x:c>
      <x:c r="B373" s="12" t="inlineStr">
        <x:is>
          <x:t xml:space="preserve">New Venture Fund</x:t>
        </x:is>
      </x:c>
      <x:c r="C373" s="12" t="inlineStr">
        <x:is>
          <x:t xml:space="preserve">extension3_frozen</x:t>
        </x:is>
      </x:c>
      <x:c r="D373" s="12" t="inlineStr">
        <x:is>
          <x:t xml:space="preserve">philanthropy infrastructure</x:t>
        </x:is>
      </x:c>
      <x:c r="E373" s="12" t="inlineStr">
        <x:is>
          <x:t xml:space="preserve">EA-adjacent</x:t>
        </x:is>
      </x:c>
      <x:c r="F373" s="12" t="inlineStr">
        <x:is>
          <x:t xml:space="preserve">public charity / fiscal sponsor</x:t>
        </x:is>
      </x:c>
      <x:c r="G373" s="12" t="inlineStr">
        <x:is>
          <x:t xml:space="preserve">no</x:t>
        </x:is>
      </x:c>
      <x:c r="H373" s="12" t="inlineStr">
        <x:is>
          <x:t xml:space="preserve">frozen_candidate_not_selected</x:t>
        </x:is>
      </x:c>
      <x:c r="I373" s="12" t="inlineStr">
        <x:is>
          <x:t xml:space="preserve">not selected</x:t>
        </x:is>
      </x:c>
      <x:c r="J373" s="13" t="inlineStr">
        <x:is>
          <x:t xml:space="preserve">Frozen candidate; not promoted into the 144-organization quantitative reference set during this pass.</x:t>
        </x:is>
      </x:c>
      <x:c r="K373" s="12" t="inlineStr">
        <x:is>
          <x:t xml:space="preserve">not collected</x:t>
        </x:is>
      </x:c>
      <x:c r="L373" s="16" t="inlineStr">
        <x:is>
          <x:t xml:space="preserve">https://projects.propublica.org/nonprofits/search?q=New%20Venture%20Fund</x:t>
        </x:is>
      </x:c>
    </x:row>
    <x:row r="374">
      <x:c r="A374" s="12" t="inlineStr">
        <x:is>
          <x:t xml:space="preserve">EXT3-065</x:t>
        </x:is>
      </x:c>
      <x:c r="B374" s="12" t="inlineStr">
        <x:is>
          <x:t xml:space="preserve">Windward Fund</x:t>
        </x:is>
      </x:c>
      <x:c r="C374" s="12" t="inlineStr">
        <x:is>
          <x:t xml:space="preserve">extension3_frozen</x:t>
        </x:is>
      </x:c>
      <x:c r="D374" s="12" t="inlineStr">
        <x:is>
          <x:t xml:space="preserve">philanthropy infrastructure</x:t>
        </x:is>
      </x:c>
      <x:c r="E374" s="12" t="inlineStr">
        <x:is>
          <x:t xml:space="preserve">EA-adjacent</x:t>
        </x:is>
      </x:c>
      <x:c r="F374" s="12" t="inlineStr">
        <x:is>
          <x:t xml:space="preserve">public charity / fiscal sponsor</x:t>
        </x:is>
      </x:c>
      <x:c r="G374" s="12" t="inlineStr">
        <x:is>
          <x:t xml:space="preserve">no</x:t>
        </x:is>
      </x:c>
      <x:c r="H374" s="12" t="inlineStr">
        <x:is>
          <x:t xml:space="preserve">frozen_candidate_not_selected</x:t>
        </x:is>
      </x:c>
      <x:c r="I374" s="12" t="inlineStr">
        <x:is>
          <x:t xml:space="preserve">not selected</x:t>
        </x:is>
      </x:c>
      <x:c r="J374" s="13" t="inlineStr">
        <x:is>
          <x:t xml:space="preserve">Frozen candidate; not promoted into the 144-organization quantitative reference set during this pass.</x:t>
        </x:is>
      </x:c>
      <x:c r="K374" s="12" t="inlineStr">
        <x:is>
          <x:t xml:space="preserve">not collected</x:t>
        </x:is>
      </x:c>
      <x:c r="L374" s="16" t="inlineStr">
        <x:is>
          <x:t xml:space="preserve">https://projects.propublica.org/nonprofits/search?q=Windward%20Fund</x:t>
        </x:is>
      </x:c>
    </x:row>
    <x:row r="375">
      <x:c r="A375" s="12" t="inlineStr">
        <x:is>
          <x:t xml:space="preserve">EXT3-066</x:t>
        </x:is>
      </x:c>
      <x:c r="B375" s="12" t="inlineStr">
        <x:is>
          <x:t xml:space="preserve">Hopewell Fund</x:t>
        </x:is>
      </x:c>
      <x:c r="C375" s="12" t="inlineStr">
        <x:is>
          <x:t xml:space="preserve">extension3_frozen</x:t>
        </x:is>
      </x:c>
      <x:c r="D375" s="12" t="inlineStr">
        <x:is>
          <x:t xml:space="preserve">philanthropy infrastructure</x:t>
        </x:is>
      </x:c>
      <x:c r="E375" s="12" t="inlineStr">
        <x:is>
          <x:t xml:space="preserve">EA-adjacent</x:t>
        </x:is>
      </x:c>
      <x:c r="F375" s="12" t="inlineStr">
        <x:is>
          <x:t xml:space="preserve">public charity / fiscal sponsor</x:t>
        </x:is>
      </x:c>
      <x:c r="G375" s="12" t="inlineStr">
        <x:is>
          <x:t xml:space="preserve">no</x:t>
        </x:is>
      </x:c>
      <x:c r="H375" s="12" t="inlineStr">
        <x:is>
          <x:t xml:space="preserve">frozen_candidate_not_selected</x:t>
        </x:is>
      </x:c>
      <x:c r="I375" s="12" t="inlineStr">
        <x:is>
          <x:t xml:space="preserve">not selected</x:t>
        </x:is>
      </x:c>
      <x:c r="J375" s="13" t="inlineStr">
        <x:is>
          <x:t xml:space="preserve">Frozen candidate; not promoted into the 144-organization quantitative reference set during this pass.</x:t>
        </x:is>
      </x:c>
      <x:c r="K375" s="12" t="inlineStr">
        <x:is>
          <x:t xml:space="preserve">not collected</x:t>
        </x:is>
      </x:c>
      <x:c r="L375" s="16" t="inlineStr">
        <x:is>
          <x:t xml:space="preserve">https://projects.propublica.org/nonprofits/search?q=Hopewell%20Fund</x:t>
        </x:is>
      </x:c>
    </x:row>
    <x:row r="376">
      <x:c r="A376" s="12" t="inlineStr">
        <x:is>
          <x:t xml:space="preserve">EXT3-067</x:t>
        </x:is>
      </x:c>
      <x:c r="B376" s="12" t="inlineStr">
        <x:is>
          <x:t xml:space="preserve">GlobalGiving Foundation</x:t>
        </x:is>
      </x:c>
      <x:c r="C376" s="12" t="inlineStr">
        <x:is>
          <x:t xml:space="preserve">extension3_frozen</x:t>
        </x:is>
      </x:c>
      <x:c r="D376" s="12" t="inlineStr">
        <x:is>
          <x:t xml:space="preserve">global development and philanthropy</x:t>
        </x:is>
      </x:c>
      <x:c r="E376" s="12" t="inlineStr">
        <x:is>
          <x:t xml:space="preserve">EA-adjacent</x:t>
        </x:is>
      </x:c>
      <x:c r="F376" s="12" t="inlineStr">
        <x:is>
          <x:t xml:space="preserve">public charity / grantmaker</x:t>
        </x:is>
      </x:c>
      <x:c r="G376" s="12" t="inlineStr">
        <x:is>
          <x:t xml:space="preserve">no</x:t>
        </x:is>
      </x:c>
      <x:c r="H376" s="12" t="inlineStr">
        <x:is>
          <x:t xml:space="preserve">frozen_candidate_not_selected</x:t>
        </x:is>
      </x:c>
      <x:c r="I376" s="12" t="inlineStr">
        <x:is>
          <x:t xml:space="preserve">not selected</x:t>
        </x:is>
      </x:c>
      <x:c r="J376" s="13" t="inlineStr">
        <x:is>
          <x:t xml:space="preserve">Frozen candidate; not promoted into the 144-organization quantitative reference set during this pass.</x:t>
        </x:is>
      </x:c>
      <x:c r="K376" s="12" t="inlineStr">
        <x:is>
          <x:t xml:space="preserve">not collected</x:t>
        </x:is>
      </x:c>
      <x:c r="L376" s="16" t="inlineStr">
        <x:is>
          <x:t xml:space="preserve">https://projects.propublica.org/nonprofits/search?q=GlobalGiving%20Foundation</x:t>
        </x:is>
      </x:c>
    </x:row>
    <x:row r="377">
      <x:c r="A377" s="12" t="inlineStr">
        <x:is>
          <x:t xml:space="preserve">EXT3-068</x:t>
        </x:is>
      </x:c>
      <x:c r="B377" s="12" t="inlineStr">
        <x:is>
          <x:t xml:space="preserve">Give2Asia</x:t>
        </x:is>
      </x:c>
      <x:c r="C377" s="12" t="inlineStr">
        <x:is>
          <x:t xml:space="preserve">extension3_frozen</x:t>
        </x:is>
      </x:c>
      <x:c r="D377" s="12" t="inlineStr">
        <x:is>
          <x:t xml:space="preserve">global development and philanthropy</x:t>
        </x:is>
      </x:c>
      <x:c r="E377" s="12" t="inlineStr">
        <x:is>
          <x:t xml:space="preserve">EA-adjacent</x:t>
        </x:is>
      </x:c>
      <x:c r="F377" s="12" t="inlineStr">
        <x:is>
          <x:t xml:space="preserve">public charity / grantmaker</x:t>
        </x:is>
      </x:c>
      <x:c r="G377" s="12" t="inlineStr">
        <x:is>
          <x:t xml:space="preserve">no</x:t>
        </x:is>
      </x:c>
      <x:c r="H377" s="12" t="inlineStr">
        <x:is>
          <x:t xml:space="preserve">frozen_candidate_not_selected</x:t>
        </x:is>
      </x:c>
      <x:c r="I377" s="12" t="inlineStr">
        <x:is>
          <x:t xml:space="preserve">not selected</x:t>
        </x:is>
      </x:c>
      <x:c r="J377" s="13" t="inlineStr">
        <x:is>
          <x:t xml:space="preserve">Frozen candidate; not promoted into the 144-organization quantitative reference set during this pass.</x:t>
        </x:is>
      </x:c>
      <x:c r="K377" s="12" t="inlineStr">
        <x:is>
          <x:t xml:space="preserve">not collected</x:t>
        </x:is>
      </x:c>
      <x:c r="L377" s="16" t="inlineStr">
        <x:is>
          <x:t xml:space="preserve">https://projects.propublica.org/nonprofits/search?q=Give2Asia</x:t>
        </x:is>
      </x:c>
    </x:row>
    <x:row r="378">
      <x:c r="A378" s="12" t="inlineStr">
        <x:is>
          <x:t xml:space="preserve">EXT3-069</x:t>
        </x:is>
      </x:c>
      <x:c r="B378" s="12" t="inlineStr">
        <x:is>
          <x:t xml:space="preserve">CAF America</x:t>
        </x:is>
      </x:c>
      <x:c r="C378" s="12" t="inlineStr">
        <x:is>
          <x:t xml:space="preserve">extension3_frozen</x:t>
        </x:is>
      </x:c>
      <x:c r="D378" s="12" t="inlineStr">
        <x:is>
          <x:t xml:space="preserve">global development and philanthropy</x:t>
        </x:is>
      </x:c>
      <x:c r="E378" s="12" t="inlineStr">
        <x:is>
          <x:t xml:space="preserve">EA-adjacent</x:t>
        </x:is>
      </x:c>
      <x:c r="F378" s="12" t="inlineStr">
        <x:is>
          <x:t xml:space="preserve">public charity / grantmaker</x:t>
        </x:is>
      </x:c>
      <x:c r="G378" s="12" t="inlineStr">
        <x:is>
          <x:t xml:space="preserve">no</x:t>
        </x:is>
      </x:c>
      <x:c r="H378" s="12" t="inlineStr">
        <x:is>
          <x:t xml:space="preserve">frozen_candidate_not_selected</x:t>
        </x:is>
      </x:c>
      <x:c r="I378" s="12" t="inlineStr">
        <x:is>
          <x:t xml:space="preserve">not selected</x:t>
        </x:is>
      </x:c>
      <x:c r="J378" s="13" t="inlineStr">
        <x:is>
          <x:t xml:space="preserve">Frozen candidate; not promoted into the 144-organization quantitative reference set during this pass.</x:t>
        </x:is>
      </x:c>
      <x:c r="K378" s="12" t="inlineStr">
        <x:is>
          <x:t xml:space="preserve">not collected</x:t>
        </x:is>
      </x:c>
      <x:c r="L378" s="16" t="inlineStr">
        <x:is>
          <x:t xml:space="preserve">https://projects.propublica.org/nonprofits/search?q=CAF%20America</x:t>
        </x:is>
      </x:c>
    </x:row>
    <x:row r="379">
      <x:c r="A379" s="12" t="inlineStr">
        <x:is>
          <x:t xml:space="preserve">EXT3-070</x:t>
        </x:is>
      </x:c>
      <x:c r="B379" s="12" t="inlineStr">
        <x:is>
          <x:t xml:space="preserve">ImpactAssets</x:t>
        </x:is>
      </x:c>
      <x:c r="C379" s="12" t="inlineStr">
        <x:is>
          <x:t xml:space="preserve">extension3_frozen</x:t>
        </x:is>
      </x:c>
      <x:c r="D379" s="12" t="inlineStr">
        <x:is>
          <x:t xml:space="preserve">philanthropy infrastructure</x:t>
        </x:is>
      </x:c>
      <x:c r="E379" s="12" t="inlineStr">
        <x:is>
          <x:t xml:space="preserve">EA-adjacent</x:t>
        </x:is>
      </x:c>
      <x:c r="F379" s="12" t="inlineStr">
        <x:is>
          <x:t xml:space="preserve">public charity / donor-advised fund</x:t>
        </x:is>
      </x:c>
      <x:c r="G379" s="12" t="inlineStr">
        <x:is>
          <x:t xml:space="preserve">no</x:t>
        </x:is>
      </x:c>
      <x:c r="H379" s="12" t="inlineStr">
        <x:is>
          <x:t xml:space="preserve">frozen_candidate_not_selected</x:t>
        </x:is>
      </x:c>
      <x:c r="I379" s="12" t="inlineStr">
        <x:is>
          <x:t xml:space="preserve">not selected</x:t>
        </x:is>
      </x:c>
      <x:c r="J379" s="13" t="inlineStr">
        <x:is>
          <x:t xml:space="preserve">Frozen candidate; not promoted into the 144-organization quantitative reference set during this pass.</x:t>
        </x:is>
      </x:c>
      <x:c r="K379" s="12" t="inlineStr">
        <x:is>
          <x:t xml:space="preserve">not collected</x:t>
        </x:is>
      </x:c>
      <x:c r="L379" s="16" t="inlineStr">
        <x:is>
          <x:t xml:space="preserve">https://projects.propublica.org/nonprofits/search?q=ImpactAssets</x:t>
        </x:is>
      </x:c>
    </x:row>
    <x:row r="380">
      <x:c r="A380" s="12" t="inlineStr">
        <x:is>
          <x:t xml:space="preserve">EXT3-071</x:t>
        </x:is>
      </x:c>
      <x:c r="B380" s="12" t="inlineStr">
        <x:is>
          <x:t xml:space="preserve">Center for International Policy</x:t>
        </x:is>
      </x:c>
      <x:c r="C380" s="12" t="inlineStr">
        <x:is>
          <x:t xml:space="preserve">extension3_frozen</x:t>
        </x:is>
      </x:c>
      <x:c r="D380" s="12" t="inlineStr">
        <x:is>
          <x:t xml:space="preserve">security and foreign policy</x:t>
        </x:is>
      </x:c>
      <x:c r="E380" s="12" t="inlineStr">
        <x:is>
          <x:t xml:space="preserve">EA-adjacent</x:t>
        </x:is>
      </x:c>
      <x:c r="F380" s="12" t="inlineStr">
        <x:is>
          <x:t xml:space="preserve">independent nonprofit</x:t>
        </x:is>
      </x:c>
      <x:c r="G380" s="12" t="inlineStr">
        <x:is>
          <x:t xml:space="preserve">no</x:t>
        </x:is>
      </x:c>
      <x:c r="H380" s="12" t="inlineStr">
        <x:is>
          <x:t xml:space="preserve">included</x:t>
        </x:is>
      </x:c>
      <x:c r="I380" s="12" t="inlineStr">
        <x:is>
          <x:t xml:space="preserve">Tier C</x:t>
        </x:is>
      </x:c>
      <x:c r="J380" s="13" t="inlineStr">
        <x:is>
          <x:t xml:space="preserve">Selected under frozen function/scale/EA/structure rules; compensation did not determine selection.</x:t>
        </x:is>
      </x:c>
      <x:c r="K380" s="12" t="inlineStr">
        <x:is>
          <x:t xml:space="preserve">primary</x:t>
        </x:is>
      </x:c>
      <x:c r="L380" s="16" t="inlineStr">
        <x:is>
          <x:t xml:space="preserve">https://projects.propublica.org/nonprofits/search?q=Center%20for%20International%20Policy</x:t>
        </x:is>
      </x:c>
    </x:row>
    <x:row r="381">
      <x:c r="A381" s="12" t="inlineStr">
        <x:is>
          <x:t xml:space="preserve">EXT3-072</x:t>
        </x:is>
      </x:c>
      <x:c r="B381" s="12" t="inlineStr">
        <x:is>
          <x:t xml:space="preserve">American Security Project</x:t>
        </x:is>
      </x:c>
      <x:c r="C381" s="12" t="inlineStr">
        <x:is>
          <x:t xml:space="preserve">extension3_frozen</x:t>
        </x:is>
      </x:c>
      <x:c r="D381" s="12" t="inlineStr">
        <x:is>
          <x:t xml:space="preserve">security and foreign policy</x:t>
        </x:is>
      </x:c>
      <x:c r="E381" s="12" t="inlineStr">
        <x:is>
          <x:t xml:space="preserve">EA-adjacent</x:t>
        </x:is>
      </x:c>
      <x:c r="F381" s="12" t="inlineStr">
        <x:is>
          <x:t xml:space="preserve">independent nonprofit</x:t>
        </x:is>
      </x:c>
      <x:c r="G381" s="12" t="inlineStr">
        <x:is>
          <x:t xml:space="preserve">no</x:t>
        </x:is>
      </x:c>
      <x:c r="H381" s="12" t="inlineStr">
        <x:is>
          <x:t xml:space="preserve">included</x:t>
        </x:is>
      </x:c>
      <x:c r="I381" s="12" t="inlineStr">
        <x:is>
          <x:t xml:space="preserve">Tier C</x:t>
        </x:is>
      </x:c>
      <x:c r="J381" s="13" t="inlineStr">
        <x:is>
          <x:t xml:space="preserve">Selected under frozen function/scale/EA/structure rules; compensation did not determine selection.</x:t>
        </x:is>
      </x:c>
      <x:c r="K381" s="12" t="inlineStr">
        <x:is>
          <x:t xml:space="preserve">primary_with_structure_flag</x:t>
        </x:is>
      </x:c>
      <x:c r="L381" s="16" t="inlineStr">
        <x:is>
          <x:t xml:space="preserve">https://projects.propublica.org/nonprofits/search?q=American%20Security%20Project</x:t>
        </x:is>
      </x:c>
    </x:row>
    <x:row r="382">
      <x:c r="A382" s="12" t="inlineStr">
        <x:is>
          <x:t xml:space="preserve">EXT3-073</x:t>
        </x:is>
      </x:c>
      <x:c r="B382" s="12" t="inlineStr">
        <x:is>
          <x:t xml:space="preserve">Center for Arms Control and Non-Proliferation</x:t>
        </x:is>
      </x:c>
      <x:c r="C382" s="12" t="inlineStr">
        <x:is>
          <x:t xml:space="preserve">extension3_frozen</x:t>
        </x:is>
      </x:c>
      <x:c r="D382" s="12" t="inlineStr">
        <x:is>
          <x:t xml:space="preserve">nuclear risk and security</x:t>
        </x:is>
      </x:c>
      <x:c r="E382" s="12" t="inlineStr">
        <x:is>
          <x:t xml:space="preserve">EA-adjacent</x:t>
        </x:is>
      </x:c>
      <x:c r="F382" s="12" t="inlineStr">
        <x:is>
          <x:t xml:space="preserve">independent nonprofit</x:t>
        </x:is>
      </x:c>
      <x:c r="G382" s="12" t="inlineStr">
        <x:is>
          <x:t xml:space="preserve">no</x:t>
        </x:is>
      </x:c>
      <x:c r="H382" s="12" t="inlineStr">
        <x:is>
          <x:t xml:space="preserve">included</x:t>
        </x:is>
      </x:c>
      <x:c r="I382" s="12" t="inlineStr">
        <x:is>
          <x:t xml:space="preserve">Tier C</x:t>
        </x:is>
      </x:c>
      <x:c r="J382" s="13" t="inlineStr">
        <x:is>
          <x:t xml:space="preserve">Selected under frozen function/scale/EA/structure rules; compensation did not determine selection.</x:t>
        </x:is>
      </x:c>
      <x:c r="K382" s="12" t="inlineStr">
        <x:is>
          <x:t xml:space="preserve">primary</x:t>
        </x:is>
      </x:c>
      <x:c r="L382" s="16" t="inlineStr">
        <x:is>
          <x:t xml:space="preserve">https://projects.propublica.org/nonprofits/search?q=Center%20for%20Arms%20Control%20and%20Non-Proliferation</x:t>
        </x:is>
      </x:c>
    </x:row>
    <x:row r="383">
      <x:c r="A383" s="12" t="inlineStr">
        <x:is>
          <x:t xml:space="preserve">EXT3-074</x:t>
        </x:is>
      </x:c>
      <x:c r="B383" s="12" t="inlineStr">
        <x:is>
          <x:t xml:space="preserve">Alliance for Peacebuilding</x:t>
        </x:is>
      </x:c>
      <x:c r="C383" s="12" t="inlineStr">
        <x:is>
          <x:t xml:space="preserve">extension3_frozen</x:t>
        </x:is>
      </x:c>
      <x:c r="D383" s="12" t="inlineStr">
        <x:is>
          <x:t xml:space="preserve">security and foreign policy</x:t>
        </x:is>
      </x:c>
      <x:c r="E383" s="12" t="inlineStr">
        <x:is>
          <x:t xml:space="preserve">EA-adjacent</x:t>
        </x:is>
      </x:c>
      <x:c r="F383" s="12" t="inlineStr">
        <x:is>
          <x:t xml:space="preserve">membership nonprofit</x:t>
        </x:is>
      </x:c>
      <x:c r="G383" s="12" t="inlineStr">
        <x:is>
          <x:t xml:space="preserve">no</x:t>
        </x:is>
      </x:c>
      <x:c r="H383" s="12" t="inlineStr">
        <x:is>
          <x:t xml:space="preserve">frozen_candidate_not_selected</x:t>
        </x:is>
      </x:c>
      <x:c r="I383" s="12" t="inlineStr">
        <x:is>
          <x:t xml:space="preserve">not selected</x:t>
        </x:is>
      </x:c>
      <x:c r="J383" s="13" t="inlineStr">
        <x:is>
          <x:t xml:space="preserve">Frozen candidate; not promoted into the 144-organization quantitative reference set during this pass.</x:t>
        </x:is>
      </x:c>
      <x:c r="K383" s="12" t="inlineStr">
        <x:is>
          <x:t xml:space="preserve">not collected</x:t>
        </x:is>
      </x:c>
      <x:c r="L383" s="16" t="inlineStr">
        <x:is>
          <x:t xml:space="preserve">https://projects.propublica.org/nonprofits/search?q=Alliance%20for%20Peacebuilding</x:t>
        </x:is>
      </x:c>
    </x:row>
    <x:row r="384">
      <x:c r="A384" s="12" t="inlineStr">
        <x:is>
          <x:t xml:space="preserve">EXT3-075</x:t>
        </x:is>
      </x:c>
      <x:c r="B384" s="12" t="inlineStr">
        <x:is>
          <x:t xml:space="preserve">Center for Civilians in Conflict</x:t>
        </x:is>
      </x:c>
      <x:c r="C384" s="12" t="inlineStr">
        <x:is>
          <x:t xml:space="preserve">extension3_frozen</x:t>
        </x:is>
      </x:c>
      <x:c r="D384" s="12" t="inlineStr">
        <x:is>
          <x:t xml:space="preserve">security and foreign policy</x:t>
        </x:is>
      </x:c>
      <x:c r="E384" s="12" t="inlineStr">
        <x:is>
          <x:t xml:space="preserve">EA-adjacent</x:t>
        </x:is>
      </x:c>
      <x:c r="F384" s="12" t="inlineStr">
        <x:is>
          <x:t xml:space="preserve">independent nonprofit</x:t>
        </x:is>
      </x:c>
      <x:c r="G384" s="12" t="inlineStr">
        <x:is>
          <x:t xml:space="preserve">no</x:t>
        </x:is>
      </x:c>
      <x:c r="H384" s="12" t="inlineStr">
        <x:is>
          <x:t xml:space="preserve">frozen_candidate_not_selected</x:t>
        </x:is>
      </x:c>
      <x:c r="I384" s="12" t="inlineStr">
        <x:is>
          <x:t xml:space="preserve">not selected</x:t>
        </x:is>
      </x:c>
      <x:c r="J384" s="13" t="inlineStr">
        <x:is>
          <x:t xml:space="preserve">Frozen candidate; not promoted into the 144-organization quantitative reference set during this pass.</x:t>
        </x:is>
      </x:c>
      <x:c r="K384" s="12" t="inlineStr">
        <x:is>
          <x:t xml:space="preserve">not collected</x:t>
        </x:is>
      </x:c>
      <x:c r="L384" s="16" t="inlineStr">
        <x:is>
          <x:t xml:space="preserve">https://projects.propublica.org/nonprofits/search?q=Center%20for%20Civilians%20in%20Conflict</x:t>
        </x:is>
      </x:c>
    </x:row>
    <x:row r="385">
      <x:c r="A385" s="12" t="inlineStr">
        <x:is>
          <x:t xml:space="preserve">EXT3-076</x:t>
        </x:is>
      </x:c>
      <x:c r="B385" s="12" t="inlineStr">
        <x:is>
          <x:t xml:space="preserve">Nuclear Innovation Alliance</x:t>
        </x:is>
      </x:c>
      <x:c r="C385" s="12" t="inlineStr">
        <x:is>
          <x:t xml:space="preserve">extension3_frozen</x:t>
        </x:is>
      </x:c>
      <x:c r="D385" s="12" t="inlineStr">
        <x:is>
          <x:t xml:space="preserve">nuclear risk and climate</x:t>
        </x:is>
      </x:c>
      <x:c r="E385" s="12" t="inlineStr">
        <x:is>
          <x:t xml:space="preserve">EA-adjacent</x:t>
        </x:is>
      </x:c>
      <x:c r="F385" s="12" t="inlineStr">
        <x:is>
          <x:t xml:space="preserve">independent nonprofit</x:t>
        </x:is>
      </x:c>
      <x:c r="G385" s="12" t="inlineStr">
        <x:is>
          <x:t xml:space="preserve">no</x:t>
        </x:is>
      </x:c>
      <x:c r="H385" s="12" t="inlineStr">
        <x:is>
          <x:t xml:space="preserve">included</x:t>
        </x:is>
      </x:c>
      <x:c r="I385" s="12" t="inlineStr">
        <x:is>
          <x:t xml:space="preserve">Tier C</x:t>
        </x:is>
      </x:c>
      <x:c r="J385" s="13" t="inlineStr">
        <x:is>
          <x:t xml:space="preserve">Selected under frozen function/scale/EA/structure rules; compensation did not determine selection.</x:t>
        </x:is>
      </x:c>
      <x:c r="K385" s="12" t="inlineStr">
        <x:is>
          <x:t xml:space="preserve">primary</x:t>
        </x:is>
      </x:c>
      <x:c r="L385" s="16" t="inlineStr">
        <x:is>
          <x:t xml:space="preserve">https://projects.propublica.org/nonprofits/search?q=Nuclear%20Innovation%20Alliance</x:t>
        </x:is>
      </x:c>
    </x:row>
    <x:row r="386">
      <x:c r="A386" s="12" t="inlineStr">
        <x:is>
          <x:t xml:space="preserve">EXT3-077</x:t>
        </x:is>
      </x:c>
      <x:c r="B386" s="12" t="inlineStr">
        <x:is>
          <x:t xml:space="preserve">Renaissance Philanthropy</x:t>
        </x:is>
      </x:c>
      <x:c r="C386" s="12" t="inlineStr">
        <x:is>
          <x:t xml:space="preserve">extension3_frozen</x:t>
        </x:is>
      </x:c>
      <x:c r="D386" s="12" t="inlineStr">
        <x:is>
          <x:t xml:space="preserve">science and philanthropy</x:t>
        </x:is>
      </x:c>
      <x:c r="E386" s="12" t="inlineStr">
        <x:is>
          <x:t xml:space="preserve">EA-adjacent</x:t>
        </x:is>
      </x:c>
      <x:c r="F386" s="12" t="inlineStr">
        <x:is>
          <x:t xml:space="preserve">independent nonprofit</x:t>
        </x:is>
      </x:c>
      <x:c r="G386" s="12" t="inlineStr">
        <x:is>
          <x:t xml:space="preserve">no</x:t>
        </x:is>
      </x:c>
      <x:c r="H386" s="12" t="inlineStr">
        <x:is>
          <x:t xml:space="preserve">frozen_candidate_not_selected</x:t>
        </x:is>
      </x:c>
      <x:c r="I386" s="12" t="inlineStr">
        <x:is>
          <x:t xml:space="preserve">not selected</x:t>
        </x:is>
      </x:c>
      <x:c r="J386" s="13" t="inlineStr">
        <x:is>
          <x:t xml:space="preserve">Frozen candidate; not promoted into the 144-organization quantitative reference set during this pass.</x:t>
        </x:is>
      </x:c>
      <x:c r="K386" s="12" t="inlineStr">
        <x:is>
          <x:t xml:space="preserve">not collected</x:t>
        </x:is>
      </x:c>
      <x:c r="L386" s="16" t="inlineStr">
        <x:is>
          <x:t xml:space="preserve">https://projects.propublica.org/nonprofits/search?q=Renaissance%20Philanthropy</x:t>
        </x:is>
      </x:c>
    </x:row>
    <x:row r="387">
      <x:c r="A387" s="12" t="inlineStr">
        <x:is>
          <x:t xml:space="preserve">EXT3-078</x:t>
        </x:is>
      </x:c>
      <x:c r="B387" s="12" t="inlineStr">
        <x:is>
          <x:t xml:space="preserve">Convergent Research</x:t>
        </x:is>
      </x:c>
      <x:c r="C387" s="12" t="inlineStr">
        <x:is>
          <x:t xml:space="preserve">extension3_frozen</x:t>
        </x:is>
      </x:c>
      <x:c r="D387" s="12" t="inlineStr">
        <x:is>
          <x:t xml:space="preserve">science and philanthropy</x:t>
        </x:is>
      </x:c>
      <x:c r="E387" s="12" t="inlineStr">
        <x:is>
          <x:t xml:space="preserve">EA-adjacent</x:t>
        </x:is>
      </x:c>
      <x:c r="F387" s="12" t="inlineStr">
        <x:is>
          <x:t xml:space="preserve">public charity / research incubator</x:t>
        </x:is>
      </x:c>
      <x:c r="G387" s="12" t="inlineStr">
        <x:is>
          <x:t xml:space="preserve">no</x:t>
        </x:is>
      </x:c>
      <x:c r="H387" s="12" t="inlineStr">
        <x:is>
          <x:t xml:space="preserve">frozen_candidate_not_selected</x:t>
        </x:is>
      </x:c>
      <x:c r="I387" s="12" t="inlineStr">
        <x:is>
          <x:t xml:space="preserve">not selected</x:t>
        </x:is>
      </x:c>
      <x:c r="J387" s="13" t="inlineStr">
        <x:is>
          <x:t xml:space="preserve">Frozen candidate; not promoted into the 144-organization quantitative reference set during this pass.</x:t>
        </x:is>
      </x:c>
      <x:c r="K387" s="12" t="inlineStr">
        <x:is>
          <x:t xml:space="preserve">not collected</x:t>
        </x:is>
      </x:c>
      <x:c r="L387" s="16" t="inlineStr">
        <x:is>
          <x:t xml:space="preserve">https://projects.propublica.org/nonprofits/search?q=Convergent%20Research</x:t>
        </x:is>
      </x:c>
    </x:row>
    <x:row r="388">
      <x:c r="A388" s="12" t="inlineStr">
        <x:is>
          <x:t xml:space="preserve">EXT3-079</x:t>
        </x:is>
      </x:c>
      <x:c r="B388" s="12" t="inlineStr">
        <x:is>
          <x:t xml:space="preserve">Activate Global</x:t>
        </x:is>
      </x:c>
      <x:c r="C388" s="12" t="inlineStr">
        <x:is>
          <x:t xml:space="preserve">extension3_frozen</x:t>
        </x:is>
      </x:c>
      <x:c r="D388" s="12" t="inlineStr">
        <x:is>
          <x:t xml:space="preserve">science and philanthropy</x:t>
        </x:is>
      </x:c>
      <x:c r="E388" s="12" t="inlineStr">
        <x:is>
          <x:t xml:space="preserve">EA-adjacent</x:t>
        </x:is>
      </x:c>
      <x:c r="F388" s="12" t="inlineStr">
        <x:is>
          <x:t xml:space="preserve">independent nonprofit</x:t>
        </x:is>
      </x:c>
      <x:c r="G388" s="12" t="inlineStr">
        <x:is>
          <x:t xml:space="preserve">no</x:t>
        </x:is>
      </x:c>
      <x:c r="H388" s="12" t="inlineStr">
        <x:is>
          <x:t xml:space="preserve">frozen_candidate_not_selected</x:t>
        </x:is>
      </x:c>
      <x:c r="I388" s="12" t="inlineStr">
        <x:is>
          <x:t xml:space="preserve">not selected</x:t>
        </x:is>
      </x:c>
      <x:c r="J388" s="13" t="inlineStr">
        <x:is>
          <x:t xml:space="preserve">Frozen candidate; not promoted into the 144-organization quantitative reference set during this pass.</x:t>
        </x:is>
      </x:c>
      <x:c r="K388" s="12" t="inlineStr">
        <x:is>
          <x:t xml:space="preserve">not collected</x:t>
        </x:is>
      </x:c>
      <x:c r="L388" s="16" t="inlineStr">
        <x:is>
          <x:t xml:space="preserve">https://projects.propublica.org/nonprofits/search?q=Activate%20Global</x:t>
        </x:is>
      </x:c>
    </x:row>
    <x:row r="389">
      <x:c r="A389" s="12" t="inlineStr">
        <x:is>
          <x:t xml:space="preserve">EXT3-080</x:t>
        </x:is>
      </x:c>
      <x:c r="B389" s="12" t="inlineStr">
        <x:is>
          <x:t xml:space="preserve">FutureHouse</x:t>
        </x:is>
      </x:c>
      <x:c r="C389" s="12" t="inlineStr">
        <x:is>
          <x:t xml:space="preserve">extension3_frozen</x:t>
        </x:is>
      </x:c>
      <x:c r="D389" s="12" t="inlineStr">
        <x:is>
          <x:t xml:space="preserve">AI and scientific research</x:t>
        </x:is>
      </x:c>
      <x:c r="E389" s="12" t="inlineStr">
        <x:is>
          <x:t xml:space="preserve">EA-adjacent</x:t>
        </x:is>
      </x:c>
      <x:c r="F389" s="12" t="inlineStr">
        <x:is>
          <x:t xml:space="preserve">independent nonprofit</x:t>
        </x:is>
      </x:c>
      <x:c r="G389" s="12" t="inlineStr">
        <x:is>
          <x:t xml:space="preserve">no</x:t>
        </x:is>
      </x:c>
      <x:c r="H389" s="12" t="inlineStr">
        <x:is>
          <x:t xml:space="preserve">frozen_candidate_not_selected</x:t>
        </x:is>
      </x:c>
      <x:c r="I389" s="12" t="inlineStr">
        <x:is>
          <x:t xml:space="preserve">not selected</x:t>
        </x:is>
      </x:c>
      <x:c r="J389" s="13" t="inlineStr">
        <x:is>
          <x:t xml:space="preserve">Frozen candidate; not promoted into the 144-organization quantitative reference set during this pass.</x:t>
        </x:is>
      </x:c>
      <x:c r="K389" s="12" t="inlineStr">
        <x:is>
          <x:t xml:space="preserve">not collected</x:t>
        </x:is>
      </x:c>
      <x:c r="L389" s="16" t="inlineStr">
        <x:is>
          <x:t xml:space="preserve">https://projects.propublica.org/nonprofits/search?q=FutureHouse</x:t>
        </x:is>
      </x:c>
    </x:row>
    <x:row r="390">
      <x:c r="A390" s="12" t="inlineStr">
        <x:is>
          <x:t xml:space="preserve">EXT3-081</x:t>
        </x:is>
      </x:c>
      <x:c r="B390" s="12" t="inlineStr">
        <x:is>
          <x:t xml:space="preserve">Arc Institute</x:t>
        </x:is>
      </x:c>
      <x:c r="C390" s="12" t="inlineStr">
        <x:is>
          <x:t xml:space="preserve">extension3_frozen</x:t>
        </x:is>
      </x:c>
      <x:c r="D390" s="12" t="inlineStr">
        <x:is>
          <x:t xml:space="preserve">biomedical research</x:t>
        </x:is>
      </x:c>
      <x:c r="E390" s="12" t="inlineStr">
        <x:is>
          <x:t xml:space="preserve">EA-adjacent</x:t>
        </x:is>
      </x:c>
      <x:c r="F390" s="12" t="inlineStr">
        <x:is>
          <x:t xml:space="preserve">independent nonprofit</x:t>
        </x:is>
      </x:c>
      <x:c r="G390" s="12" t="inlineStr">
        <x:is>
          <x:t xml:space="preserve">no</x:t>
        </x:is>
      </x:c>
      <x:c r="H390" s="12" t="inlineStr">
        <x:is>
          <x:t xml:space="preserve">frozen_candidate_not_selected</x:t>
        </x:is>
      </x:c>
      <x:c r="I390" s="12" t="inlineStr">
        <x:is>
          <x:t xml:space="preserve">not selected</x:t>
        </x:is>
      </x:c>
      <x:c r="J390" s="13" t="inlineStr">
        <x:is>
          <x:t xml:space="preserve">Frozen candidate; not promoted into the 144-organization quantitative reference set during this pass.</x:t>
        </x:is>
      </x:c>
      <x:c r="K390" s="12" t="inlineStr">
        <x:is>
          <x:t xml:space="preserve">not collected</x:t>
        </x:is>
      </x:c>
      <x:c r="L390" s="16" t="inlineStr">
        <x:is>
          <x:t xml:space="preserve">https://projects.propublica.org/nonprofits/search?q=Arc%20Institute</x:t>
        </x:is>
      </x:c>
    </x:row>
    <x:row r="391">
      <x:c r="A391" s="12" t="inlineStr">
        <x:is>
          <x:t xml:space="preserve">EXT3-082</x:t>
        </x:is>
      </x:c>
      <x:c r="B391" s="12" t="inlineStr">
        <x:is>
          <x:t xml:space="preserve">1Day Sooner</x:t>
        </x:is>
      </x:c>
      <x:c r="C391" s="12" t="inlineStr">
        <x:is>
          <x:t xml:space="preserve">extension3_frozen</x:t>
        </x:is>
      </x:c>
      <x:c r="D391" s="12" t="inlineStr">
        <x:is>
          <x:t xml:space="preserve">biosecurity and global health</x:t>
        </x:is>
      </x:c>
      <x:c r="E391" s="12" t="inlineStr">
        <x:is>
          <x:t xml:space="preserve">EA-adjacent</x:t>
        </x:is>
      </x:c>
      <x:c r="F391" s="12" t="inlineStr">
        <x:is>
          <x:t xml:space="preserve">independent nonprofit</x:t>
        </x:is>
      </x:c>
      <x:c r="G391" s="12" t="inlineStr">
        <x:is>
          <x:t xml:space="preserve">no</x:t>
        </x:is>
      </x:c>
      <x:c r="H391" s="12" t="inlineStr">
        <x:is>
          <x:t xml:space="preserve">frozen_candidate_not_selected</x:t>
        </x:is>
      </x:c>
      <x:c r="I391" s="12" t="inlineStr">
        <x:is>
          <x:t xml:space="preserve">not selected</x:t>
        </x:is>
      </x:c>
      <x:c r="J391" s="13" t="inlineStr">
        <x:is>
          <x:t xml:space="preserve">Frozen candidate; not promoted into the 144-organization quantitative reference set during this pass.</x:t>
        </x:is>
      </x:c>
      <x:c r="K391" s="12" t="inlineStr">
        <x:is>
          <x:t xml:space="preserve">not collected</x:t>
        </x:is>
      </x:c>
      <x:c r="L391" s="16" t="inlineStr">
        <x:is>
          <x:t xml:space="preserve">https://projects.propublica.org/nonprofits/search?q=1Day%20Sooner</x:t>
        </x:is>
      </x:c>
    </x:row>
    <x:row r="392">
      <x:c r="A392" s="12" t="inlineStr">
        <x:is>
          <x:t xml:space="preserve">EXT3-083</x:t>
        </x:is>
      </x:c>
      <x:c r="B392" s="12" t="inlineStr">
        <x:is>
          <x:t xml:space="preserve">Sabin Vaccine Institute</x:t>
        </x:is>
      </x:c>
      <x:c r="C392" s="12" t="inlineStr">
        <x:is>
          <x:t xml:space="preserve">extension3_frozen</x:t>
        </x:is>
      </x:c>
      <x:c r="D392" s="12" t="inlineStr">
        <x:is>
          <x:t xml:space="preserve">global health and biosecurity</x:t>
        </x:is>
      </x:c>
      <x:c r="E392" s="12" t="inlineStr">
        <x:is>
          <x:t xml:space="preserve">EA-adjacent</x:t>
        </x:is>
      </x:c>
      <x:c r="F392" s="12" t="inlineStr">
        <x:is>
          <x:t xml:space="preserve">independent nonprofit</x:t>
        </x:is>
      </x:c>
      <x:c r="G392" s="12" t="inlineStr">
        <x:is>
          <x:t xml:space="preserve">no</x:t>
        </x:is>
      </x:c>
      <x:c r="H392" s="12" t="inlineStr">
        <x:is>
          <x:t xml:space="preserve">frozen_candidate_not_selected</x:t>
        </x:is>
      </x:c>
      <x:c r="I392" s="12" t="inlineStr">
        <x:is>
          <x:t xml:space="preserve">not selected</x:t>
        </x:is>
      </x:c>
      <x:c r="J392" s="13" t="inlineStr">
        <x:is>
          <x:t xml:space="preserve">Frozen candidate; not promoted into the 144-organization quantitative reference set during this pass.</x:t>
        </x:is>
      </x:c>
      <x:c r="K392" s="12" t="inlineStr">
        <x:is>
          <x:t xml:space="preserve">not collected</x:t>
        </x:is>
      </x:c>
      <x:c r="L392" s="16" t="inlineStr">
        <x:is>
          <x:t xml:space="preserve">https://projects.propublica.org/nonprofits/search?q=Sabin%20Vaccine%20Institute</x:t>
        </x:is>
      </x:c>
    </x:row>
    <x:row r="393">
      <x:c r="A393" s="12" t="inlineStr">
        <x:is>
          <x:t xml:space="preserve">EXT3-084</x:t>
        </x:is>
      </x:c>
      <x:c r="B393" s="12" t="inlineStr">
        <x:is>
          <x:t xml:space="preserve">IAVI</x:t>
        </x:is>
      </x:c>
      <x:c r="C393" s="12" t="inlineStr">
        <x:is>
          <x:t xml:space="preserve">extension3_frozen</x:t>
        </x:is>
      </x:c>
      <x:c r="D393" s="12" t="inlineStr">
        <x:is>
          <x:t xml:space="preserve">global health and biosecurity</x:t>
        </x:is>
      </x:c>
      <x:c r="E393" s="12" t="inlineStr">
        <x:is>
          <x:t xml:space="preserve">EA-adjacent</x:t>
        </x:is>
      </x:c>
      <x:c r="F393" s="12" t="inlineStr">
        <x:is>
          <x:t xml:space="preserve">independent nonprofit</x:t>
        </x:is>
      </x:c>
      <x:c r="G393" s="12" t="inlineStr">
        <x:is>
          <x:t xml:space="preserve">no</x:t>
        </x:is>
      </x:c>
      <x:c r="H393" s="12" t="inlineStr">
        <x:is>
          <x:t xml:space="preserve">frozen_candidate_not_selected</x:t>
        </x:is>
      </x:c>
      <x:c r="I393" s="12" t="inlineStr">
        <x:is>
          <x:t xml:space="preserve">not selected</x:t>
        </x:is>
      </x:c>
      <x:c r="J393" s="13" t="inlineStr">
        <x:is>
          <x:t xml:space="preserve">Frozen candidate; not promoted into the 144-organization quantitative reference set during this pass.</x:t>
        </x:is>
      </x:c>
      <x:c r="K393" s="12" t="inlineStr">
        <x:is>
          <x:t xml:space="preserve">not collected</x:t>
        </x:is>
      </x:c>
      <x:c r="L393" s="16" t="inlineStr">
        <x:is>
          <x:t xml:space="preserve">https://projects.propublica.org/nonprofits/search?q=IAVI</x:t>
        </x:is>
      </x:c>
    </x:row>
    <x:row r="394">
      <x:c r="A394" s="12" t="inlineStr">
        <x:is>
          <x:t xml:space="preserve">EXT3-085</x:t>
        </x:is>
      </x:c>
      <x:c r="B394" s="12" t="inlineStr">
        <x:is>
          <x:t xml:space="preserve">TB Alliance</x:t>
        </x:is>
      </x:c>
      <x:c r="C394" s="12" t="inlineStr">
        <x:is>
          <x:t xml:space="preserve">extension3_frozen</x:t>
        </x:is>
      </x:c>
      <x:c r="D394" s="12" t="inlineStr">
        <x:is>
          <x:t xml:space="preserve">global health and biosecurity</x:t>
        </x:is>
      </x:c>
      <x:c r="E394" s="12" t="inlineStr">
        <x:is>
          <x:t xml:space="preserve">EA-adjacent</x:t>
        </x:is>
      </x:c>
      <x:c r="F394" s="12" t="inlineStr">
        <x:is>
          <x:t xml:space="preserve">independent nonprofit</x:t>
        </x:is>
      </x:c>
      <x:c r="G394" s="12" t="inlineStr">
        <x:is>
          <x:t xml:space="preserve">no</x:t>
        </x:is>
      </x:c>
      <x:c r="H394" s="12" t="inlineStr">
        <x:is>
          <x:t xml:space="preserve">frozen_candidate_not_selected</x:t>
        </x:is>
      </x:c>
      <x:c r="I394" s="12" t="inlineStr">
        <x:is>
          <x:t xml:space="preserve">not selected</x:t>
        </x:is>
      </x:c>
      <x:c r="J394" s="13" t="inlineStr">
        <x:is>
          <x:t xml:space="preserve">Frozen candidate; not promoted into the 144-organization quantitative reference set during this pass.</x:t>
        </x:is>
      </x:c>
      <x:c r="K394" s="12" t="inlineStr">
        <x:is>
          <x:t xml:space="preserve">not collected</x:t>
        </x:is>
      </x:c>
      <x:c r="L394" s="16" t="inlineStr">
        <x:is>
          <x:t xml:space="preserve">https://projects.propublica.org/nonprofits/search?q=TB%20Alliance</x:t>
        </x:is>
      </x:c>
    </x:row>
    <x:row r="395">
      <x:c r="A395" s="12" t="inlineStr">
        <x:is>
          <x:t xml:space="preserve">EXT3-086</x:t>
        </x:is>
      </x:c>
      <x:c r="B395" s="13" t="inlineStr">
        <x:is>
          <x:t xml:space="preserve">Drugs for Neglected Diseases Initiative North America</x:t>
        </x:is>
      </x:c>
      <x:c r="C395" s="12" t="inlineStr">
        <x:is>
          <x:t xml:space="preserve">extension3_frozen</x:t>
        </x:is>
      </x:c>
      <x:c r="D395" s="12" t="inlineStr">
        <x:is>
          <x:t xml:space="preserve">global health and biosecurity</x:t>
        </x:is>
      </x:c>
      <x:c r="E395" s="12" t="inlineStr">
        <x:is>
          <x:t xml:space="preserve">EA-adjacent</x:t>
        </x:is>
      </x:c>
      <x:c r="F395" s="12" t="inlineStr">
        <x:is>
          <x:t xml:space="preserve">international nonprofit affiliate</x:t>
        </x:is>
      </x:c>
      <x:c r="G395" s="12" t="inlineStr">
        <x:is>
          <x:t xml:space="preserve">no</x:t>
        </x:is>
      </x:c>
      <x:c r="H395" s="12" t="inlineStr">
        <x:is>
          <x:t xml:space="preserve">frozen_candidate_not_selected</x:t>
        </x:is>
      </x:c>
      <x:c r="I395" s="12" t="inlineStr">
        <x:is>
          <x:t xml:space="preserve">not selected</x:t>
        </x:is>
      </x:c>
      <x:c r="J395" s="13" t="inlineStr">
        <x:is>
          <x:t xml:space="preserve">Frozen candidate; not promoted into the 144-organization quantitative reference set during this pass.</x:t>
        </x:is>
      </x:c>
      <x:c r="K395" s="12" t="inlineStr">
        <x:is>
          <x:t xml:space="preserve">not collected</x:t>
        </x:is>
      </x:c>
      <x:c r="L395" s="16" t="inlineStr">
        <x:is>
          <x:t xml:space="preserve">https://projects.propublica.org/nonprofits/search?q=Drugs%20for%20Neglected%20Diseases%20Initiative%20North%20America</x:t>
        </x:is>
      </x:c>
    </x:row>
    <x:row r="396">
      <x:c r="A396" s="12" t="inlineStr">
        <x:is>
          <x:t xml:space="preserve">EXT3-087</x:t>
        </x:is>
      </x:c>
      <x:c r="B396" s="12" t="inlineStr">
        <x:is>
          <x:t xml:space="preserve">Global Health Corps</x:t>
        </x:is>
      </x:c>
      <x:c r="C396" s="12" t="inlineStr">
        <x:is>
          <x:t xml:space="preserve">extension3_frozen</x:t>
        </x:is>
      </x:c>
      <x:c r="D396" s="12" t="inlineStr">
        <x:is>
          <x:t xml:space="preserve">global health and development</x:t>
        </x:is>
      </x:c>
      <x:c r="E396" s="12" t="inlineStr">
        <x:is>
          <x:t xml:space="preserve">EA-adjacent</x:t>
        </x:is>
      </x:c>
      <x:c r="F396" s="12" t="inlineStr">
        <x:is>
          <x:t xml:space="preserve">independent nonprofit</x:t>
        </x:is>
      </x:c>
      <x:c r="G396" s="12" t="inlineStr">
        <x:is>
          <x:t xml:space="preserve">no</x:t>
        </x:is>
      </x:c>
      <x:c r="H396" s="12" t="inlineStr">
        <x:is>
          <x:t xml:space="preserve">included</x:t>
        </x:is>
      </x:c>
      <x:c r="I396" s="12" t="inlineStr">
        <x:is>
          <x:t xml:space="preserve">Tier B</x:t>
        </x:is>
      </x:c>
      <x:c r="J396" s="13" t="inlineStr">
        <x:is>
          <x:t xml:space="preserve">Selected under frozen function/scale/EA/structure rules; compensation did not determine selection.</x:t>
        </x:is>
      </x:c>
      <x:c r="K396" s="12" t="inlineStr">
        <x:is>
          <x:t xml:space="preserve">primary_with_structure_flag</x:t>
        </x:is>
      </x:c>
      <x:c r="L396" s="16" t="inlineStr">
        <x:is>
          <x:t xml:space="preserve">https://projects.propublica.org/nonprofits/search?q=Global%20Health%20Corps</x:t>
        </x:is>
      </x:c>
    </x:row>
    <x:row r="397">
      <x:c r="A397" s="12" t="inlineStr">
        <x:is>
          <x:t xml:space="preserve">EXT3-088</x:t>
        </x:is>
      </x:c>
      <x:c r="B397" s="12" t="inlineStr">
        <x:is>
          <x:t xml:space="preserve">Seed Global Health</x:t>
        </x:is>
      </x:c>
      <x:c r="C397" s="12" t="inlineStr">
        <x:is>
          <x:t xml:space="preserve">extension3_frozen</x:t>
        </x:is>
      </x:c>
      <x:c r="D397" s="12" t="inlineStr">
        <x:is>
          <x:t xml:space="preserve">global health and development</x:t>
        </x:is>
      </x:c>
      <x:c r="E397" s="12" t="inlineStr">
        <x:is>
          <x:t xml:space="preserve">EA-adjacent</x:t>
        </x:is>
      </x:c>
      <x:c r="F397" s="12" t="inlineStr">
        <x:is>
          <x:t xml:space="preserve">independent nonprofit</x:t>
        </x:is>
      </x:c>
      <x:c r="G397" s="12" t="inlineStr">
        <x:is>
          <x:t xml:space="preserve">no</x:t>
        </x:is>
      </x:c>
      <x:c r="H397" s="12" t="inlineStr">
        <x:is>
          <x:t xml:space="preserve">frozen_candidate_not_selected</x:t>
        </x:is>
      </x:c>
      <x:c r="I397" s="12" t="inlineStr">
        <x:is>
          <x:t xml:space="preserve">not selected</x:t>
        </x:is>
      </x:c>
      <x:c r="J397" s="13" t="inlineStr">
        <x:is>
          <x:t xml:space="preserve">Frozen candidate; not promoted into the 144-organization quantitative reference set during this pass.</x:t>
        </x:is>
      </x:c>
      <x:c r="K397" s="12" t="inlineStr">
        <x:is>
          <x:t xml:space="preserve">not collected</x:t>
        </x:is>
      </x:c>
      <x:c r="L397" s="16" t="inlineStr">
        <x:is>
          <x:t xml:space="preserve">https://projects.propublica.org/nonprofits/search?q=Seed%20Global%20Health</x:t>
        </x:is>
      </x:c>
    </x:row>
    <x:row r="398">
      <x:c r="A398" s="12" t="inlineStr">
        <x:is>
          <x:t xml:space="preserve">EXT3-089</x:t>
        </x:is>
      </x:c>
      <x:c r="B398" s="12" t="inlineStr">
        <x:is>
          <x:t xml:space="preserve">EcoHealth Alliance</x:t>
        </x:is>
      </x:c>
      <x:c r="C398" s="12" t="inlineStr">
        <x:is>
          <x:t xml:space="preserve">extension3_frozen</x:t>
        </x:is>
      </x:c>
      <x:c r="D398" s="12" t="inlineStr">
        <x:is>
          <x:t xml:space="preserve">biosecurity and global health</x:t>
        </x:is>
      </x:c>
      <x:c r="E398" s="12" t="inlineStr">
        <x:is>
          <x:t xml:space="preserve">EA-adjacent</x:t>
        </x:is>
      </x:c>
      <x:c r="F398" s="12" t="inlineStr">
        <x:is>
          <x:t xml:space="preserve">independent nonprofit</x:t>
        </x:is>
      </x:c>
      <x:c r="G398" s="12" t="inlineStr">
        <x:is>
          <x:t xml:space="preserve">no</x:t>
        </x:is>
      </x:c>
      <x:c r="H398" s="12" t="inlineStr">
        <x:is>
          <x:t xml:space="preserve">frozen_candidate_not_selected</x:t>
        </x:is>
      </x:c>
      <x:c r="I398" s="12" t="inlineStr">
        <x:is>
          <x:t xml:space="preserve">not selected</x:t>
        </x:is>
      </x:c>
      <x:c r="J398" s="13" t="inlineStr">
        <x:is>
          <x:t xml:space="preserve">Frozen candidate; not promoted into the 144-organization quantitative reference set during this pass.</x:t>
        </x:is>
      </x:c>
      <x:c r="K398" s="12" t="inlineStr">
        <x:is>
          <x:t xml:space="preserve">not collected</x:t>
        </x:is>
      </x:c>
      <x:c r="L398" s="16" t="inlineStr">
        <x:is>
          <x:t xml:space="preserve">https://projects.propublica.org/nonprofits/search?q=EcoHealth%20Alliance</x:t>
        </x:is>
      </x:c>
    </x:row>
    <x:row r="399">
      <x:c r="A399" s="12" t="inlineStr">
        <x:is>
          <x:t xml:space="preserve">EXT3-090</x:t>
        </x:is>
      </x:c>
      <x:c r="B399" s="12" t="inlineStr">
        <x:is>
          <x:t xml:space="preserve">Ending Pandemics</x:t>
        </x:is>
      </x:c>
      <x:c r="C399" s="12" t="inlineStr">
        <x:is>
          <x:t xml:space="preserve">extension3_frozen</x:t>
        </x:is>
      </x:c>
      <x:c r="D399" s="12" t="inlineStr">
        <x:is>
          <x:t xml:space="preserve">biosecurity and global health</x:t>
        </x:is>
      </x:c>
      <x:c r="E399" s="12" t="inlineStr">
        <x:is>
          <x:t xml:space="preserve">EA-adjacent</x:t>
        </x:is>
      </x:c>
      <x:c r="F399" s="12" t="inlineStr">
        <x:is>
          <x:t xml:space="preserve">independent nonprofit</x:t>
        </x:is>
      </x:c>
      <x:c r="G399" s="12" t="inlineStr">
        <x:is>
          <x:t xml:space="preserve">no</x:t>
        </x:is>
      </x:c>
      <x:c r="H399" s="12" t="inlineStr">
        <x:is>
          <x:t xml:space="preserve">frozen_candidate_not_selected</x:t>
        </x:is>
      </x:c>
      <x:c r="I399" s="12" t="inlineStr">
        <x:is>
          <x:t xml:space="preserve">not selected</x:t>
        </x:is>
      </x:c>
      <x:c r="J399" s="13" t="inlineStr">
        <x:is>
          <x:t xml:space="preserve">Frozen candidate; not promoted into the 144-organization quantitative reference set during this pass.</x:t>
        </x:is>
      </x:c>
      <x:c r="K399" s="12" t="inlineStr">
        <x:is>
          <x:t xml:space="preserve">not collected</x:t>
        </x:is>
      </x:c>
      <x:c r="L399" s="16" t="inlineStr">
        <x:is>
          <x:t xml:space="preserve">https://projects.propublica.org/nonprofits/search?q=Ending%20Pandemics</x:t>
        </x:is>
      </x:c>
    </x:row>
    <x:row r="400">
      <x:c r="A400" s="12" t="inlineStr">
        <x:is>
          <x:t xml:space="preserve">EXT3-091</x:t>
        </x:is>
      </x:c>
      <x:c r="B400" s="12" t="inlineStr">
        <x:is>
          <x:t xml:space="preserve">Engineering Biology Research Consortium</x:t>
        </x:is>
      </x:c>
      <x:c r="C400" s="12" t="inlineStr">
        <x:is>
          <x:t xml:space="preserve">extension3_frozen</x:t>
        </x:is>
      </x:c>
      <x:c r="D400" s="12" t="inlineStr">
        <x:is>
          <x:t xml:space="preserve">biosecurity and emerging technology</x:t>
        </x:is>
      </x:c>
      <x:c r="E400" s="12" t="inlineStr">
        <x:is>
          <x:t xml:space="preserve">EA-adjacent</x:t>
        </x:is>
      </x:c>
      <x:c r="F400" s="12" t="inlineStr">
        <x:is>
          <x:t xml:space="preserve">membership nonprofit</x:t>
        </x:is>
      </x:c>
      <x:c r="G400" s="12" t="inlineStr">
        <x:is>
          <x:t xml:space="preserve">no</x:t>
        </x:is>
      </x:c>
      <x:c r="H400" s="12" t="inlineStr">
        <x:is>
          <x:t xml:space="preserve">frozen_candidate_not_selected</x:t>
        </x:is>
      </x:c>
      <x:c r="I400" s="12" t="inlineStr">
        <x:is>
          <x:t xml:space="preserve">not selected</x:t>
        </x:is>
      </x:c>
      <x:c r="J400" s="13" t="inlineStr">
        <x:is>
          <x:t xml:space="preserve">Frozen candidate; not promoted into the 144-organization quantitative reference set during this pass.</x:t>
        </x:is>
      </x:c>
      <x:c r="K400" s="12" t="inlineStr">
        <x:is>
          <x:t xml:space="preserve">not collected</x:t>
        </x:is>
      </x:c>
      <x:c r="L400" s="16" t="inlineStr">
        <x:is>
          <x:t xml:space="preserve">https://projects.propublica.org/nonprofits/search?q=Engineering%20Biology%20Research%20Consortium</x:t>
        </x:is>
      </x:c>
    </x:row>
    <x:row r="401">
      <x:c r="A401" s="12" t="inlineStr">
        <x:is>
          <x:t xml:space="preserve">EXT3-092</x:t>
        </x:is>
      </x:c>
      <x:c r="B401" s="12" t="inlineStr">
        <x:is>
          <x:t xml:space="preserve">iGEM Foundation</x:t>
        </x:is>
      </x:c>
      <x:c r="C401" s="12" t="inlineStr">
        <x:is>
          <x:t xml:space="preserve">extension3_frozen</x:t>
        </x:is>
      </x:c>
      <x:c r="D401" s="12" t="inlineStr">
        <x:is>
          <x:t xml:space="preserve">biosecurity and emerging technology</x:t>
        </x:is>
      </x:c>
      <x:c r="E401" s="12" t="inlineStr">
        <x:is>
          <x:t xml:space="preserve">EA-adjacent</x:t>
        </x:is>
      </x:c>
      <x:c r="F401" s="12" t="inlineStr">
        <x:is>
          <x:t xml:space="preserve">independent nonprofit</x:t>
        </x:is>
      </x:c>
      <x:c r="G401" s="12" t="inlineStr">
        <x:is>
          <x:t xml:space="preserve">no</x:t>
        </x:is>
      </x:c>
      <x:c r="H401" s="12" t="inlineStr">
        <x:is>
          <x:t xml:space="preserve">frozen_candidate_not_selected</x:t>
        </x:is>
      </x:c>
      <x:c r="I401" s="12" t="inlineStr">
        <x:is>
          <x:t xml:space="preserve">not selected</x:t>
        </x:is>
      </x:c>
      <x:c r="J401" s="13" t="inlineStr">
        <x:is>
          <x:t xml:space="preserve">Frozen candidate; not promoted into the 144-organization quantitative reference set during this pass.</x:t>
        </x:is>
      </x:c>
      <x:c r="K401" s="12" t="inlineStr">
        <x:is>
          <x:t xml:space="preserve">not collected</x:t>
        </x:is>
      </x:c>
      <x:c r="L401" s="16" t="inlineStr">
        <x:is>
          <x:t xml:space="preserve">https://projects.propublica.org/nonprofits/search?q=iGEM%20Foundation</x:t>
        </x:is>
      </x:c>
    </x:row>
    <x:row r="402">
      <x:c r="A402" s="12" t="inlineStr">
        <x:is>
          <x:t xml:space="preserve">EXT3-093</x:t>
        </x:is>
      </x:c>
      <x:c r="B402" s="12" t="inlineStr">
        <x:is>
          <x:t xml:space="preserve">Water.org</x:t>
        </x:is>
      </x:c>
      <x:c r="C402" s="12" t="inlineStr">
        <x:is>
          <x:t xml:space="preserve">extension3_frozen</x:t>
        </x:is>
      </x:c>
      <x:c r="D402" s="12" t="inlineStr">
        <x:is>
          <x:t xml:space="preserve">global health and development</x:t>
        </x:is>
      </x:c>
      <x:c r="E402" s="12" t="inlineStr">
        <x:is>
          <x:t xml:space="preserve">EA-adjacent</x:t>
        </x:is>
      </x:c>
      <x:c r="F402" s="12" t="inlineStr">
        <x:is>
          <x:t xml:space="preserve">independent nonprofit</x:t>
        </x:is>
      </x:c>
      <x:c r="G402" s="12" t="inlineStr">
        <x:is>
          <x:t xml:space="preserve">no</x:t>
        </x:is>
      </x:c>
      <x:c r="H402" s="12" t="inlineStr">
        <x:is>
          <x:t xml:space="preserve">frozen_candidate_not_selected</x:t>
        </x:is>
      </x:c>
      <x:c r="I402" s="12" t="inlineStr">
        <x:is>
          <x:t xml:space="preserve">not selected</x:t>
        </x:is>
      </x:c>
      <x:c r="J402" s="13" t="inlineStr">
        <x:is>
          <x:t xml:space="preserve">Frozen candidate; not promoted into the 144-organization quantitative reference set during this pass.</x:t>
        </x:is>
      </x:c>
      <x:c r="K402" s="12" t="inlineStr">
        <x:is>
          <x:t xml:space="preserve">not collected</x:t>
        </x:is>
      </x:c>
      <x:c r="L402" s="16" t="inlineStr">
        <x:is>
          <x:t xml:space="preserve">https://projects.propublica.org/nonprofits/search?q=Water.org</x:t>
        </x:is>
      </x:c>
    </x:row>
    <x:row r="403">
      <x:c r="A403" s="12" t="inlineStr">
        <x:is>
          <x:t xml:space="preserve">EXT3-094</x:t>
        </x:is>
      </x:c>
      <x:c r="B403" s="12" t="inlineStr">
        <x:is>
          <x:t xml:space="preserve">Splash</x:t>
        </x:is>
      </x:c>
      <x:c r="C403" s="12" t="inlineStr">
        <x:is>
          <x:t xml:space="preserve">extension3_frozen</x:t>
        </x:is>
      </x:c>
      <x:c r="D403" s="12" t="inlineStr">
        <x:is>
          <x:t xml:space="preserve">global health and development</x:t>
        </x:is>
      </x:c>
      <x:c r="E403" s="12" t="inlineStr">
        <x:is>
          <x:t xml:space="preserve">EA-adjacent</x:t>
        </x:is>
      </x:c>
      <x:c r="F403" s="12" t="inlineStr">
        <x:is>
          <x:t xml:space="preserve">independent nonprofit</x:t>
        </x:is>
      </x:c>
      <x:c r="G403" s="12" t="inlineStr">
        <x:is>
          <x:t xml:space="preserve">no</x:t>
        </x:is>
      </x:c>
      <x:c r="H403" s="12" t="inlineStr">
        <x:is>
          <x:t xml:space="preserve">frozen_candidate_not_selected</x:t>
        </x:is>
      </x:c>
      <x:c r="I403" s="12" t="inlineStr">
        <x:is>
          <x:t xml:space="preserve">not selected</x:t>
        </x:is>
      </x:c>
      <x:c r="J403" s="13" t="inlineStr">
        <x:is>
          <x:t xml:space="preserve">Frozen candidate; not promoted into the 144-organization quantitative reference set during this pass.</x:t>
        </x:is>
      </x:c>
      <x:c r="K403" s="12" t="inlineStr">
        <x:is>
          <x:t xml:space="preserve">not collected</x:t>
        </x:is>
      </x:c>
      <x:c r="L403" s="16" t="inlineStr">
        <x:is>
          <x:t xml:space="preserve">https://projects.propublica.org/nonprofits/search?q=Splash</x:t>
        </x:is>
      </x:c>
    </x:row>
    <x:row r="404">
      <x:c r="A404" s="12" t="inlineStr">
        <x:is>
          <x:t xml:space="preserve">EXT3-095</x:t>
        </x:is>
      </x:c>
      <x:c r="B404" s="12" t="inlineStr">
        <x:is>
          <x:t xml:space="preserve">One Acre Fund</x:t>
        </x:is>
      </x:c>
      <x:c r="C404" s="12" t="inlineStr">
        <x:is>
          <x:t xml:space="preserve">extension3_frozen</x:t>
        </x:is>
      </x:c>
      <x:c r="D404" s="12" t="inlineStr">
        <x:is>
          <x:t xml:space="preserve">global health and development</x:t>
        </x:is>
      </x:c>
      <x:c r="E404" s="12" t="inlineStr">
        <x:is>
          <x:t xml:space="preserve">EA-adjacent</x:t>
        </x:is>
      </x:c>
      <x:c r="F404" s="12" t="inlineStr">
        <x:is>
          <x:t xml:space="preserve">independent nonprofit</x:t>
        </x:is>
      </x:c>
      <x:c r="G404" s="12" t="inlineStr">
        <x:is>
          <x:t xml:space="preserve">no</x:t>
        </x:is>
      </x:c>
      <x:c r="H404" s="12" t="inlineStr">
        <x:is>
          <x:t xml:space="preserve">frozen_candidate_not_selected</x:t>
        </x:is>
      </x:c>
      <x:c r="I404" s="12" t="inlineStr">
        <x:is>
          <x:t xml:space="preserve">not selected</x:t>
        </x:is>
      </x:c>
      <x:c r="J404" s="13" t="inlineStr">
        <x:is>
          <x:t xml:space="preserve">Frozen candidate; not promoted into the 144-organization quantitative reference set during this pass.</x:t>
        </x:is>
      </x:c>
      <x:c r="K404" s="12" t="inlineStr">
        <x:is>
          <x:t xml:space="preserve">not collected</x:t>
        </x:is>
      </x:c>
      <x:c r="L404" s="16" t="inlineStr">
        <x:is>
          <x:t xml:space="preserve">https://projects.propublica.org/nonprofits/search?q=One%20Acre%20Fund</x:t>
        </x:is>
      </x:c>
    </x:row>
    <x:row r="405">
      <x:c r="A405" s="12" t="inlineStr">
        <x:is>
          <x:t xml:space="preserve">EXT3-096</x:t>
        </x:is>
      </x:c>
      <x:c r="B405" s="12" t="inlineStr">
        <x:is>
          <x:t xml:space="preserve">Bridges to Prosperity</x:t>
        </x:is>
      </x:c>
      <x:c r="C405" s="12" t="inlineStr">
        <x:is>
          <x:t xml:space="preserve">extension3_frozen</x:t>
        </x:is>
      </x:c>
      <x:c r="D405" s="12" t="inlineStr">
        <x:is>
          <x:t xml:space="preserve">global health and development</x:t>
        </x:is>
      </x:c>
      <x:c r="E405" s="12" t="inlineStr">
        <x:is>
          <x:t xml:space="preserve">EA-adjacent</x:t>
        </x:is>
      </x:c>
      <x:c r="F405" s="12" t="inlineStr">
        <x:is>
          <x:t xml:space="preserve">independent nonprofit</x:t>
        </x:is>
      </x:c>
      <x:c r="G405" s="12" t="inlineStr">
        <x:is>
          <x:t xml:space="preserve">no</x:t>
        </x:is>
      </x:c>
      <x:c r="H405" s="12" t="inlineStr">
        <x:is>
          <x:t xml:space="preserve">frozen_candidate_not_selected</x:t>
        </x:is>
      </x:c>
      <x:c r="I405" s="12" t="inlineStr">
        <x:is>
          <x:t xml:space="preserve">not selected</x:t>
        </x:is>
      </x:c>
      <x:c r="J405" s="13" t="inlineStr">
        <x:is>
          <x:t xml:space="preserve">Frozen candidate; not promoted into the 144-organization quantitative reference set during this pass.</x:t>
        </x:is>
      </x:c>
      <x:c r="K405" s="12" t="inlineStr">
        <x:is>
          <x:t xml:space="preserve">not collected</x:t>
        </x:is>
      </x:c>
      <x:c r="L405" s="16" t="inlineStr">
        <x:is>
          <x:t xml:space="preserve">https://projects.propublica.org/nonprofits/search?q=Bridges%20to%20Prosperity</x:t>
        </x:is>
      </x:c>
    </x:row>
    <x:row r="406">
      <x:c r="A406" s="12" t="inlineStr">
        <x:is>
          <x:t xml:space="preserve">EXT3-097</x:t>
        </x:is>
      </x:c>
      <x:c r="B406" s="12" t="inlineStr">
        <x:is>
          <x:t xml:space="preserve">RESULTS Educational Fund</x:t>
        </x:is>
      </x:c>
      <x:c r="C406" s="12" t="inlineStr">
        <x:is>
          <x:t xml:space="preserve">extension3_frozen</x:t>
        </x:is>
      </x:c>
      <x:c r="D406" s="12" t="inlineStr">
        <x:is>
          <x:t xml:space="preserve">global health and development</x:t>
        </x:is>
      </x:c>
      <x:c r="E406" s="12" t="inlineStr">
        <x:is>
          <x:t xml:space="preserve">EA-adjacent</x:t>
        </x:is>
      </x:c>
      <x:c r="F406" s="12" t="inlineStr">
        <x:is>
          <x:t xml:space="preserve">independent nonprofit</x:t>
        </x:is>
      </x:c>
      <x:c r="G406" s="12" t="inlineStr">
        <x:is>
          <x:t xml:space="preserve">no</x:t>
        </x:is>
      </x:c>
      <x:c r="H406" s="12" t="inlineStr">
        <x:is>
          <x:t xml:space="preserve">frozen_candidate_not_selected</x:t>
        </x:is>
      </x:c>
      <x:c r="I406" s="12" t="inlineStr">
        <x:is>
          <x:t xml:space="preserve">not selected</x:t>
        </x:is>
      </x:c>
      <x:c r="J406" s="13" t="inlineStr">
        <x:is>
          <x:t xml:space="preserve">Frozen candidate; not promoted into the 144-organization quantitative reference set during this pass.</x:t>
        </x:is>
      </x:c>
      <x:c r="K406" s="12" t="inlineStr">
        <x:is>
          <x:t xml:space="preserve">not collected</x:t>
        </x:is>
      </x:c>
      <x:c r="L406" s="16" t="inlineStr">
        <x:is>
          <x:t xml:space="preserve">https://projects.propublica.org/nonprofits/search?q=RESULTS%20Educational%20Fund</x:t>
        </x:is>
      </x:c>
    </x:row>
    <x:row r="407">
      <x:c r="A407" s="12" t="inlineStr">
        <x:is>
          <x:t xml:space="preserve">EXT3-098</x:t>
        </x:is>
      </x:c>
      <x:c r="B407" s="12" t="inlineStr">
        <x:is>
          <x:t xml:space="preserve">Malaria No More</x:t>
        </x:is>
      </x:c>
      <x:c r="C407" s="12" t="inlineStr">
        <x:is>
          <x:t xml:space="preserve">extension3_frozen</x:t>
        </x:is>
      </x:c>
      <x:c r="D407" s="12" t="inlineStr">
        <x:is>
          <x:t xml:space="preserve">global health and development</x:t>
        </x:is>
      </x:c>
      <x:c r="E407" s="12" t="inlineStr">
        <x:is>
          <x:t xml:space="preserve">EA-adjacent</x:t>
        </x:is>
      </x:c>
      <x:c r="F407" s="12" t="inlineStr">
        <x:is>
          <x:t xml:space="preserve">independent nonprofit</x:t>
        </x:is>
      </x:c>
      <x:c r="G407" s="12" t="inlineStr">
        <x:is>
          <x:t xml:space="preserve">no</x:t>
        </x:is>
      </x:c>
      <x:c r="H407" s="12" t="inlineStr">
        <x:is>
          <x:t xml:space="preserve">frozen_candidate_not_selected</x:t>
        </x:is>
      </x:c>
      <x:c r="I407" s="12" t="inlineStr">
        <x:is>
          <x:t xml:space="preserve">not selected</x:t>
        </x:is>
      </x:c>
      <x:c r="J407" s="13" t="inlineStr">
        <x:is>
          <x:t xml:space="preserve">Frozen candidate; not promoted into the 144-organization quantitative reference set during this pass.</x:t>
        </x:is>
      </x:c>
      <x:c r="K407" s="12" t="inlineStr">
        <x:is>
          <x:t xml:space="preserve">not collected</x:t>
        </x:is>
      </x:c>
      <x:c r="L407" s="16" t="inlineStr">
        <x:is>
          <x:t xml:space="preserve">https://projects.propublica.org/nonprofits/search?q=Malaria%20No%20More</x:t>
        </x:is>
      </x:c>
    </x:row>
    <x:row r="408">
      <x:c r="A408" s="12" t="inlineStr">
        <x:is>
          <x:t xml:space="preserve">EXT3-099</x:t>
        </x:is>
      </x:c>
      <x:c r="B408" s="12" t="inlineStr">
        <x:is>
          <x:t xml:space="preserve">Project HOPE</x:t>
        </x:is>
      </x:c>
      <x:c r="C408" s="12" t="inlineStr">
        <x:is>
          <x:t xml:space="preserve">extension3_frozen</x:t>
        </x:is>
      </x:c>
      <x:c r="D408" s="12" t="inlineStr">
        <x:is>
          <x:t xml:space="preserve">global health and development</x:t>
        </x:is>
      </x:c>
      <x:c r="E408" s="12" t="inlineStr">
        <x:is>
          <x:t xml:space="preserve">functional-only</x:t>
        </x:is>
      </x:c>
      <x:c r="F408" s="12" t="inlineStr">
        <x:is>
          <x:t xml:space="preserve">independent nonprofit</x:t>
        </x:is>
      </x:c>
      <x:c r="G408" s="12" t="inlineStr">
        <x:is>
          <x:t xml:space="preserve">no</x:t>
        </x:is>
      </x:c>
      <x:c r="H408" s="12" t="inlineStr">
        <x:is>
          <x:t xml:space="preserve">frozen_candidate_not_selected</x:t>
        </x:is>
      </x:c>
      <x:c r="I408" s="12" t="inlineStr">
        <x:is>
          <x:t xml:space="preserve">not selected</x:t>
        </x:is>
      </x:c>
      <x:c r="J408" s="13" t="inlineStr">
        <x:is>
          <x:t xml:space="preserve">Frozen candidate; not promoted into the 144-organization quantitative reference set during this pass.</x:t>
        </x:is>
      </x:c>
      <x:c r="K408" s="12" t="inlineStr">
        <x:is>
          <x:t xml:space="preserve">not collected</x:t>
        </x:is>
      </x:c>
      <x:c r="L408" s="16" t="inlineStr">
        <x:is>
          <x:t xml:space="preserve">https://projects.propublica.org/nonprofits/search?q=Project%20HOPE</x:t>
        </x:is>
      </x:c>
    </x:row>
    <x:row r="409">
      <x:c r="A409" s="12" t="inlineStr">
        <x:is>
          <x:t xml:space="preserve">EXT3-100</x:t>
        </x:is>
      </x:c>
      <x:c r="B409" s="12" t="inlineStr">
        <x:is>
          <x:t xml:space="preserve">Partners In Health</x:t>
        </x:is>
      </x:c>
      <x:c r="C409" s="12" t="inlineStr">
        <x:is>
          <x:t xml:space="preserve">extension3_frozen</x:t>
        </x:is>
      </x:c>
      <x:c r="D409" s="12" t="inlineStr">
        <x:is>
          <x:t xml:space="preserve">global health and development</x:t>
        </x:is>
      </x:c>
      <x:c r="E409" s="12" t="inlineStr">
        <x:is>
          <x:t xml:space="preserve">EA-adjacent</x:t>
        </x:is>
      </x:c>
      <x:c r="F409" s="12" t="inlineStr">
        <x:is>
          <x:t xml:space="preserve">independent nonprofit</x:t>
        </x:is>
      </x:c>
      <x:c r="G409" s="12" t="inlineStr">
        <x:is>
          <x:t xml:space="preserve">no</x:t>
        </x:is>
      </x:c>
      <x:c r="H409" s="12" t="inlineStr">
        <x:is>
          <x:t xml:space="preserve">frozen_candidate_not_selected</x:t>
        </x:is>
      </x:c>
      <x:c r="I409" s="12" t="inlineStr">
        <x:is>
          <x:t xml:space="preserve">not selected</x:t>
        </x:is>
      </x:c>
      <x:c r="J409" s="13" t="inlineStr">
        <x:is>
          <x:t xml:space="preserve">Frozen candidate; not promoted into the 144-organization quantitative reference set during this pass.</x:t>
        </x:is>
      </x:c>
      <x:c r="K409" s="12" t="inlineStr">
        <x:is>
          <x:t xml:space="preserve">not collected</x:t>
        </x:is>
      </x:c>
      <x:c r="L409" s="16" t="inlineStr">
        <x:is>
          <x:t xml:space="preserve">https://projects.propublica.org/nonprofits/search?q=Partners%20In%20Health</x:t>
        </x:is>
      </x:c>
    </x:row>
    <x:row r="410">
      <x:c r="A410" s="12" t="inlineStr">
        <x:is>
          <x:t xml:space="preserve">EXT3-101</x:t>
        </x:is>
      </x:c>
      <x:c r="B410" s="12" t="inlineStr">
        <x:is>
          <x:t xml:space="preserve">Energy for Growth Hub</x:t>
        </x:is>
      </x:c>
      <x:c r="C410" s="12" t="inlineStr">
        <x:is>
          <x:t xml:space="preserve">extension3_frozen</x:t>
        </x:is>
      </x:c>
      <x:c r="D410" s="12" t="inlineStr">
        <x:is>
          <x:t xml:space="preserve">global development and climate</x:t>
        </x:is>
      </x:c>
      <x:c r="E410" s="12" t="inlineStr">
        <x:is>
          <x:t xml:space="preserve">EA-adjacent</x:t>
        </x:is>
      </x:c>
      <x:c r="F410" s="12" t="inlineStr">
        <x:is>
          <x:t xml:space="preserve">independent nonprofit</x:t>
        </x:is>
      </x:c>
      <x:c r="G410" s="12" t="inlineStr">
        <x:is>
          <x:t xml:space="preserve">no</x:t>
        </x:is>
      </x:c>
      <x:c r="H410" s="12" t="inlineStr">
        <x:is>
          <x:t xml:space="preserve">included</x:t>
        </x:is>
      </x:c>
      <x:c r="I410" s="12" t="inlineStr">
        <x:is>
          <x:t xml:space="preserve">Tier B</x:t>
        </x:is>
      </x:c>
      <x:c r="J410" s="13" t="inlineStr">
        <x:is>
          <x:t xml:space="preserve">Selected under frozen function/scale/EA/structure rules; compensation did not determine selection.</x:t>
        </x:is>
      </x:c>
      <x:c r="K410" s="12" t="inlineStr">
        <x:is>
          <x:t xml:space="preserve">primary</x:t>
        </x:is>
      </x:c>
      <x:c r="L410" s="16" t="inlineStr">
        <x:is>
          <x:t xml:space="preserve">https://projects.propublica.org/nonprofits/search?q=Energy%20for%20Growth%20Hub</x:t>
        </x:is>
      </x:c>
    </x:row>
    <x:row r="411">
      <x:c r="A411" s="12" t="inlineStr">
        <x:is>
          <x:t xml:space="preserve">EXT3-102</x:t>
        </x:is>
      </x:c>
      <x:c r="B411" s="12" t="inlineStr">
        <x:is>
          <x:t xml:space="preserve">Integrate Health</x:t>
        </x:is>
      </x:c>
      <x:c r="C411" s="12" t="inlineStr">
        <x:is>
          <x:t xml:space="preserve">extension3_frozen</x:t>
        </x:is>
      </x:c>
      <x:c r="D411" s="12" t="inlineStr">
        <x:is>
          <x:t xml:space="preserve">global health and development</x:t>
        </x:is>
      </x:c>
      <x:c r="E411" s="12" t="inlineStr">
        <x:is>
          <x:t xml:space="preserve">EA-adjacent</x:t>
        </x:is>
      </x:c>
      <x:c r="F411" s="12" t="inlineStr">
        <x:is>
          <x:t xml:space="preserve">independent nonprofit</x:t>
        </x:is>
      </x:c>
      <x:c r="G411" s="12" t="inlineStr">
        <x:is>
          <x:t xml:space="preserve">no</x:t>
        </x:is>
      </x:c>
      <x:c r="H411" s="12" t="inlineStr">
        <x:is>
          <x:t xml:space="preserve">frozen_candidate_not_selected</x:t>
        </x:is>
      </x:c>
      <x:c r="I411" s="12" t="inlineStr">
        <x:is>
          <x:t xml:space="preserve">not selected</x:t>
        </x:is>
      </x:c>
      <x:c r="J411" s="13" t="inlineStr">
        <x:is>
          <x:t xml:space="preserve">Frozen candidate; not promoted into the 144-organization quantitative reference set during this pass.</x:t>
        </x:is>
      </x:c>
      <x:c r="K411" s="12" t="inlineStr">
        <x:is>
          <x:t xml:space="preserve">not collected</x:t>
        </x:is>
      </x:c>
      <x:c r="L411" s="16" t="inlineStr">
        <x:is>
          <x:t xml:space="preserve">https://projects.propublica.org/nonprofits/search?q=Integrate%20Health</x:t>
        </x:is>
      </x:c>
    </x:row>
    <x:row r="412">
      <x:c r="A412" s="12" t="inlineStr">
        <x:is>
          <x:t xml:space="preserve">EXT3-103</x:t>
        </x:is>
      </x:c>
      <x:c r="B412" s="12" t="inlineStr">
        <x:is>
          <x:t xml:space="preserve">Global Health Council</x:t>
        </x:is>
      </x:c>
      <x:c r="C412" s="12" t="inlineStr">
        <x:is>
          <x:t xml:space="preserve">extension3_frozen</x:t>
        </x:is>
      </x:c>
      <x:c r="D412" s="12" t="inlineStr">
        <x:is>
          <x:t xml:space="preserve">global health and development</x:t>
        </x:is>
      </x:c>
      <x:c r="E412" s="12" t="inlineStr">
        <x:is>
          <x:t xml:space="preserve">functional-only</x:t>
        </x:is>
      </x:c>
      <x:c r="F412" s="12" t="inlineStr">
        <x:is>
          <x:t xml:space="preserve">membership nonprofit</x:t>
        </x:is>
      </x:c>
      <x:c r="G412" s="12" t="inlineStr">
        <x:is>
          <x:t xml:space="preserve">no</x:t>
        </x:is>
      </x:c>
      <x:c r="H412" s="12" t="inlineStr">
        <x:is>
          <x:t xml:space="preserve">frozen_candidate_not_selected</x:t>
        </x:is>
      </x:c>
      <x:c r="I412" s="12" t="inlineStr">
        <x:is>
          <x:t xml:space="preserve">not selected</x:t>
        </x:is>
      </x:c>
      <x:c r="J412" s="13" t="inlineStr">
        <x:is>
          <x:t xml:space="preserve">Frozen candidate; not promoted into the 144-organization quantitative reference set during this pass.</x:t>
        </x:is>
      </x:c>
      <x:c r="K412" s="12" t="inlineStr">
        <x:is>
          <x:t xml:space="preserve">not collected</x:t>
        </x:is>
      </x:c>
      <x:c r="L412" s="16" t="inlineStr">
        <x:is>
          <x:t xml:space="preserve">https://projects.propublica.org/nonprofits/search?q=Global%20Health%20Council</x:t>
        </x:is>
      </x:c>
    </x:row>
    <x:row r="413">
      <x:c r="A413" s="12" t="inlineStr">
        <x:is>
          <x:t xml:space="preserve">EXT3-104</x:t>
        </x:is>
      </x:c>
      <x:c r="B413" s="12" t="inlineStr">
        <x:is>
          <x:t xml:space="preserve">Global Fund for Children</x:t>
        </x:is>
      </x:c>
      <x:c r="C413" s="12" t="inlineStr">
        <x:is>
          <x:t xml:space="preserve">extension3_frozen</x:t>
        </x:is>
      </x:c>
      <x:c r="D413" s="12" t="inlineStr">
        <x:is>
          <x:t xml:space="preserve">global health and development</x:t>
        </x:is>
      </x:c>
      <x:c r="E413" s="12" t="inlineStr">
        <x:is>
          <x:t xml:space="preserve">EA-adjacent</x:t>
        </x:is>
      </x:c>
      <x:c r="F413" s="12" t="inlineStr">
        <x:is>
          <x:t xml:space="preserve">public charity / grantmaker</x:t>
        </x:is>
      </x:c>
      <x:c r="G413" s="12" t="inlineStr">
        <x:is>
          <x:t xml:space="preserve">no</x:t>
        </x:is>
      </x:c>
      <x:c r="H413" s="12" t="inlineStr">
        <x:is>
          <x:t xml:space="preserve">frozen_candidate_not_selected</x:t>
        </x:is>
      </x:c>
      <x:c r="I413" s="12" t="inlineStr">
        <x:is>
          <x:t xml:space="preserve">not selected</x:t>
        </x:is>
      </x:c>
      <x:c r="J413" s="13" t="inlineStr">
        <x:is>
          <x:t xml:space="preserve">Frozen candidate; not promoted into the 144-organization quantitative reference set during this pass.</x:t>
        </x:is>
      </x:c>
      <x:c r="K413" s="12" t="inlineStr">
        <x:is>
          <x:t xml:space="preserve">not collected</x:t>
        </x:is>
      </x:c>
      <x:c r="L413" s="16" t="inlineStr">
        <x:is>
          <x:t xml:space="preserve">https://projects.propublica.org/nonprofits/search?q=Global%20Fund%20for%20Children</x:t>
        </x:is>
      </x:c>
    </x:row>
    <x:row r="414">
      <x:c r="A414" s="12" t="inlineStr">
        <x:is>
          <x:t xml:space="preserve">EXT3-105</x:t>
        </x:is>
      </x:c>
      <x:c r="B414" s="12" t="inlineStr">
        <x:is>
          <x:t xml:space="preserve">Luminos Fund</x:t>
        </x:is>
      </x:c>
      <x:c r="C414" s="12" t="inlineStr">
        <x:is>
          <x:t xml:space="preserve">extension3_frozen</x:t>
        </x:is>
      </x:c>
      <x:c r="D414" s="12" t="inlineStr">
        <x:is>
          <x:t xml:space="preserve">global health and development</x:t>
        </x:is>
      </x:c>
      <x:c r="E414" s="12" t="inlineStr">
        <x:is>
          <x:t xml:space="preserve">EA-adjacent</x:t>
        </x:is>
      </x:c>
      <x:c r="F414" s="12" t="inlineStr">
        <x:is>
          <x:t xml:space="preserve">independent nonprofit</x:t>
        </x:is>
      </x:c>
      <x:c r="G414" s="12" t="inlineStr">
        <x:is>
          <x:t xml:space="preserve">no</x:t>
        </x:is>
      </x:c>
      <x:c r="H414" s="12" t="inlineStr">
        <x:is>
          <x:t xml:space="preserve">frozen_candidate_not_selected</x:t>
        </x:is>
      </x:c>
      <x:c r="I414" s="12" t="inlineStr">
        <x:is>
          <x:t xml:space="preserve">not selected</x:t>
        </x:is>
      </x:c>
      <x:c r="J414" s="13" t="inlineStr">
        <x:is>
          <x:t xml:space="preserve">Frozen candidate; not promoted into the 144-organization quantitative reference set during this pass.</x:t>
        </x:is>
      </x:c>
      <x:c r="K414" s="12" t="inlineStr">
        <x:is>
          <x:t xml:space="preserve">not collected</x:t>
        </x:is>
      </x:c>
      <x:c r="L414" s="16" t="inlineStr">
        <x:is>
          <x:t xml:space="preserve">https://projects.propublica.org/nonprofits/search?q=Luminos%20Fund</x:t>
        </x:is>
      </x:c>
    </x:row>
    <x:row r="415">
      <x:c r="A415" s="12" t="inlineStr">
        <x:is>
          <x:t xml:space="preserve">EXT3-106</x:t>
        </x:is>
      </x:c>
      <x:c r="B415" s="12" t="inlineStr">
        <x:is>
          <x:t xml:space="preserve">FINCA International</x:t>
        </x:is>
      </x:c>
      <x:c r="C415" s="12" t="inlineStr">
        <x:is>
          <x:t xml:space="preserve">extension3_frozen</x:t>
        </x:is>
      </x:c>
      <x:c r="D415" s="12" t="inlineStr">
        <x:is>
          <x:t xml:space="preserve">global health and development</x:t>
        </x:is>
      </x:c>
      <x:c r="E415" s="12" t="inlineStr">
        <x:is>
          <x:t xml:space="preserve">EA-adjacent</x:t>
        </x:is>
      </x:c>
      <x:c r="F415" s="12" t="inlineStr">
        <x:is>
          <x:t xml:space="preserve">independent nonprofit</x:t>
        </x:is>
      </x:c>
      <x:c r="G415" s="12" t="inlineStr">
        <x:is>
          <x:t xml:space="preserve">no</x:t>
        </x:is>
      </x:c>
      <x:c r="H415" s="12" t="inlineStr">
        <x:is>
          <x:t xml:space="preserve">frozen_candidate_not_selected</x:t>
        </x:is>
      </x:c>
      <x:c r="I415" s="12" t="inlineStr">
        <x:is>
          <x:t xml:space="preserve">not selected</x:t>
        </x:is>
      </x:c>
      <x:c r="J415" s="13" t="inlineStr">
        <x:is>
          <x:t xml:space="preserve">Frozen candidate; not promoted into the 144-organization quantitative reference set during this pass.</x:t>
        </x:is>
      </x:c>
      <x:c r="K415" s="12" t="inlineStr">
        <x:is>
          <x:t xml:space="preserve">not collected</x:t>
        </x:is>
      </x:c>
      <x:c r="L415" s="16" t="inlineStr">
        <x:is>
          <x:t xml:space="preserve">https://projects.propublica.org/nonprofits/search?q=FINCA%20International</x:t>
        </x:is>
      </x:c>
    </x:row>
    <x:row r="416">
      <x:c r="A416" s="12" t="inlineStr">
        <x:is>
          <x:t xml:space="preserve">EXT3-107</x:t>
        </x:is>
      </x:c>
      <x:c r="B416" s="12" t="inlineStr">
        <x:is>
          <x:t xml:space="preserve">Accion International</x:t>
        </x:is>
      </x:c>
      <x:c r="C416" s="12" t="inlineStr">
        <x:is>
          <x:t xml:space="preserve">extension3_frozen</x:t>
        </x:is>
      </x:c>
      <x:c r="D416" s="12" t="inlineStr">
        <x:is>
          <x:t xml:space="preserve">global health and development</x:t>
        </x:is>
      </x:c>
      <x:c r="E416" s="12" t="inlineStr">
        <x:is>
          <x:t xml:space="preserve">EA-adjacent</x:t>
        </x:is>
      </x:c>
      <x:c r="F416" s="12" t="inlineStr">
        <x:is>
          <x:t xml:space="preserve">independent nonprofit</x:t>
        </x:is>
      </x:c>
      <x:c r="G416" s="12" t="inlineStr">
        <x:is>
          <x:t xml:space="preserve">no</x:t>
        </x:is>
      </x:c>
      <x:c r="H416" s="12" t="inlineStr">
        <x:is>
          <x:t xml:space="preserve">frozen_candidate_not_selected</x:t>
        </x:is>
      </x:c>
      <x:c r="I416" s="12" t="inlineStr">
        <x:is>
          <x:t xml:space="preserve">not selected</x:t>
        </x:is>
      </x:c>
      <x:c r="J416" s="13" t="inlineStr">
        <x:is>
          <x:t xml:space="preserve">Frozen candidate; not promoted into the 144-organization quantitative reference set during this pass.</x:t>
        </x:is>
      </x:c>
      <x:c r="K416" s="12" t="inlineStr">
        <x:is>
          <x:t xml:space="preserve">not collected</x:t>
        </x:is>
      </x:c>
      <x:c r="L416" s="16" t="inlineStr">
        <x:is>
          <x:t xml:space="preserve">https://projects.propublica.org/nonprofits/search?q=Accion%20International</x:t>
        </x:is>
      </x:c>
    </x:row>
    <x:row r="417">
      <x:c r="A417" s="12" t="inlineStr">
        <x:is>
          <x:t xml:space="preserve">EXT3-108</x:t>
        </x:is>
      </x:c>
      <x:c r="B417" s="12" t="inlineStr">
        <x:is>
          <x:t xml:space="preserve">Opportunity International</x:t>
        </x:is>
      </x:c>
      <x:c r="C417" s="12" t="inlineStr">
        <x:is>
          <x:t xml:space="preserve">extension3_frozen</x:t>
        </x:is>
      </x:c>
      <x:c r="D417" s="12" t="inlineStr">
        <x:is>
          <x:t xml:space="preserve">global health and development</x:t>
        </x:is>
      </x:c>
      <x:c r="E417" s="12" t="inlineStr">
        <x:is>
          <x:t xml:space="preserve">EA-adjacent</x:t>
        </x:is>
      </x:c>
      <x:c r="F417" s="12" t="inlineStr">
        <x:is>
          <x:t xml:space="preserve">independent nonprofit</x:t>
        </x:is>
      </x:c>
      <x:c r="G417" s="12" t="inlineStr">
        <x:is>
          <x:t xml:space="preserve">no</x:t>
        </x:is>
      </x:c>
      <x:c r="H417" s="12" t="inlineStr">
        <x:is>
          <x:t xml:space="preserve">frozen_candidate_not_selected</x:t>
        </x:is>
      </x:c>
      <x:c r="I417" s="12" t="inlineStr">
        <x:is>
          <x:t xml:space="preserve">not selected</x:t>
        </x:is>
      </x:c>
      <x:c r="J417" s="13" t="inlineStr">
        <x:is>
          <x:t xml:space="preserve">Frozen candidate; not promoted into the 144-organization quantitative reference set during this pass.</x:t>
        </x:is>
      </x:c>
      <x:c r="K417" s="12" t="inlineStr">
        <x:is>
          <x:t xml:space="preserve">not collected</x:t>
        </x:is>
      </x:c>
      <x:c r="L417" s="16" t="inlineStr">
        <x:is>
          <x:t xml:space="preserve">https://projects.propublica.org/nonprofits/search?q=Opportunity%20International</x:t>
        </x:is>
      </x:c>
    </x:row>
    <x:row r="418">
      <x:c r="A418" s="12" t="inlineStr">
        <x:is>
          <x:t xml:space="preserve">EXT3-109</x:t>
        </x:is>
      </x:c>
      <x:c r="B418" s="12" t="inlineStr">
        <x:is>
          <x:t xml:space="preserve">WaterAid America</x:t>
        </x:is>
      </x:c>
      <x:c r="C418" s="12" t="inlineStr">
        <x:is>
          <x:t xml:space="preserve">extension3_frozen</x:t>
        </x:is>
      </x:c>
      <x:c r="D418" s="12" t="inlineStr">
        <x:is>
          <x:t xml:space="preserve">global health and development</x:t>
        </x:is>
      </x:c>
      <x:c r="E418" s="12" t="inlineStr">
        <x:is>
          <x:t xml:space="preserve">EA-adjacent</x:t>
        </x:is>
      </x:c>
      <x:c r="F418" s="12" t="inlineStr">
        <x:is>
          <x:t xml:space="preserve">international nonprofit affiliate</x:t>
        </x:is>
      </x:c>
      <x:c r="G418" s="12" t="inlineStr">
        <x:is>
          <x:t xml:space="preserve">no</x:t>
        </x:is>
      </x:c>
      <x:c r="H418" s="12" t="inlineStr">
        <x:is>
          <x:t xml:space="preserve">frozen_candidate_not_selected</x:t>
        </x:is>
      </x:c>
      <x:c r="I418" s="12" t="inlineStr">
        <x:is>
          <x:t xml:space="preserve">not selected</x:t>
        </x:is>
      </x:c>
      <x:c r="J418" s="13" t="inlineStr">
        <x:is>
          <x:t xml:space="preserve">Frozen candidate; not promoted into the 144-organization quantitative reference set during this pass.</x:t>
        </x:is>
      </x:c>
      <x:c r="K418" s="12" t="inlineStr">
        <x:is>
          <x:t xml:space="preserve">not collected</x:t>
        </x:is>
      </x:c>
      <x:c r="L418" s="16" t="inlineStr">
        <x:is>
          <x:t xml:space="preserve">https://projects.propublica.org/nonprofits/search?q=WaterAid%20America</x:t>
        </x:is>
      </x:c>
    </x:row>
    <x:row r="419">
      <x:c r="A419" s="12" t="inlineStr">
        <x:is>
          <x:t xml:space="preserve">EXT3-110</x:t>
        </x:is>
      </x:c>
      <x:c r="B419" s="12" t="inlineStr">
        <x:is>
          <x:t xml:space="preserve">Fistula Foundation</x:t>
        </x:is>
      </x:c>
      <x:c r="C419" s="12" t="inlineStr">
        <x:is>
          <x:t xml:space="preserve">extension3_frozen</x:t>
        </x:is>
      </x:c>
      <x:c r="D419" s="12" t="inlineStr">
        <x:is>
          <x:t xml:space="preserve">global health and development</x:t>
        </x:is>
      </x:c>
      <x:c r="E419" s="12" t="inlineStr">
        <x:is>
          <x:t xml:space="preserve">EA-adjacent</x:t>
        </x:is>
      </x:c>
      <x:c r="F419" s="12" t="inlineStr">
        <x:is>
          <x:t xml:space="preserve">public charity / grantmaker</x:t>
        </x:is>
      </x:c>
      <x:c r="G419" s="12" t="inlineStr">
        <x:is>
          <x:t xml:space="preserve">no</x:t>
        </x:is>
      </x:c>
      <x:c r="H419" s="12" t="inlineStr">
        <x:is>
          <x:t xml:space="preserve">frozen_candidate_not_selected</x:t>
        </x:is>
      </x:c>
      <x:c r="I419" s="12" t="inlineStr">
        <x:is>
          <x:t xml:space="preserve">not selected</x:t>
        </x:is>
      </x:c>
      <x:c r="J419" s="13" t="inlineStr">
        <x:is>
          <x:t xml:space="preserve">Frozen candidate; not promoted into the 144-organization quantitative reference set during this pass.</x:t>
        </x:is>
      </x:c>
      <x:c r="K419" s="12" t="inlineStr">
        <x:is>
          <x:t xml:space="preserve">not collected</x:t>
        </x:is>
      </x:c>
      <x:c r="L419" s="16" t="inlineStr">
        <x:is>
          <x:t xml:space="preserve">https://projects.propublica.org/nonprofits/search?q=Fistula%20Foundation</x:t>
        </x:is>
      </x:c>
    </x:row>
    <x:row r="420">
      <x:c r="A420" s="12" t="inlineStr">
        <x:is>
          <x:t xml:space="preserve">EXT3-111</x:t>
        </x:is>
      </x:c>
      <x:c r="B420" s="12" t="inlineStr">
        <x:is>
          <x:t xml:space="preserve">MiracleFeet</x:t>
        </x:is>
      </x:c>
      <x:c r="C420" s="12" t="inlineStr">
        <x:is>
          <x:t xml:space="preserve">extension3_frozen</x:t>
        </x:is>
      </x:c>
      <x:c r="D420" s="12" t="inlineStr">
        <x:is>
          <x:t xml:space="preserve">global health and development</x:t>
        </x:is>
      </x:c>
      <x:c r="E420" s="12" t="inlineStr">
        <x:is>
          <x:t xml:space="preserve">EA-adjacent</x:t>
        </x:is>
      </x:c>
      <x:c r="F420" s="12" t="inlineStr">
        <x:is>
          <x:t xml:space="preserve">independent nonprofit</x:t>
        </x:is>
      </x:c>
      <x:c r="G420" s="12" t="inlineStr">
        <x:is>
          <x:t xml:space="preserve">no</x:t>
        </x:is>
      </x:c>
      <x:c r="H420" s="12" t="inlineStr">
        <x:is>
          <x:t xml:space="preserve">frozen_candidate_not_selected</x:t>
        </x:is>
      </x:c>
      <x:c r="I420" s="12" t="inlineStr">
        <x:is>
          <x:t xml:space="preserve">not selected</x:t>
        </x:is>
      </x:c>
      <x:c r="J420" s="13" t="inlineStr">
        <x:is>
          <x:t xml:space="preserve">Frozen candidate; not promoted into the 144-organization quantitative reference set during this pass.</x:t>
        </x:is>
      </x:c>
      <x:c r="K420" s="12" t="inlineStr">
        <x:is>
          <x:t xml:space="preserve">not collected</x:t>
        </x:is>
      </x:c>
      <x:c r="L420" s="16" t="inlineStr">
        <x:is>
          <x:t xml:space="preserve">https://projects.propublica.org/nonprofits/search?q=MiracleFeet</x:t>
        </x:is>
      </x:c>
    </x:row>
    <x:row r="421">
      <x:c r="A421" s="12" t="inlineStr">
        <x:is>
          <x:t xml:space="preserve">EXT3-112</x:t>
        </x:is>
      </x:c>
      <x:c r="B421" s="12" t="inlineStr">
        <x:is>
          <x:t xml:space="preserve">Seva Foundation</x:t>
        </x:is>
      </x:c>
      <x:c r="C421" s="12" t="inlineStr">
        <x:is>
          <x:t xml:space="preserve">extension3_frozen</x:t>
        </x:is>
      </x:c>
      <x:c r="D421" s="12" t="inlineStr">
        <x:is>
          <x:t xml:space="preserve">global health and development</x:t>
        </x:is>
      </x:c>
      <x:c r="E421" s="12" t="inlineStr">
        <x:is>
          <x:t xml:space="preserve">EA-adjacent</x:t>
        </x:is>
      </x:c>
      <x:c r="F421" s="12" t="inlineStr">
        <x:is>
          <x:t xml:space="preserve">independent nonprofit</x:t>
        </x:is>
      </x:c>
      <x:c r="G421" s="12" t="inlineStr">
        <x:is>
          <x:t xml:space="preserve">no</x:t>
        </x:is>
      </x:c>
      <x:c r="H421" s="12" t="inlineStr">
        <x:is>
          <x:t xml:space="preserve">frozen_candidate_not_selected</x:t>
        </x:is>
      </x:c>
      <x:c r="I421" s="12" t="inlineStr">
        <x:is>
          <x:t xml:space="preserve">not selected</x:t>
        </x:is>
      </x:c>
      <x:c r="J421" s="13" t="inlineStr">
        <x:is>
          <x:t xml:space="preserve">Frozen candidate; not promoted into the 144-organization quantitative reference set during this pass.</x:t>
        </x:is>
      </x:c>
      <x:c r="K421" s="12" t="inlineStr">
        <x:is>
          <x:t xml:space="preserve">not collected</x:t>
        </x:is>
      </x:c>
      <x:c r="L421" s="16" t="inlineStr">
        <x:is>
          <x:t xml:space="preserve">https://projects.propublica.org/nonprofits/search?q=Seva%20Foundation</x:t>
        </x:is>
      </x:c>
    </x:row>
    <x:row r="422">
      <x:c r="A422" s="12" t="inlineStr">
        <x:is>
          <x:t xml:space="preserve">EXT3-113</x:t>
        </x:is>
      </x:c>
      <x:c r="B422" s="12" t="inlineStr">
        <x:is>
          <x:t xml:space="preserve">Project Drawdown</x:t>
        </x:is>
      </x:c>
      <x:c r="C422" s="12" t="inlineStr">
        <x:is>
          <x:t xml:space="preserve">extension3_frozen</x:t>
        </x:is>
      </x:c>
      <x:c r="D422" s="12" t="inlineStr">
        <x:is>
          <x:t xml:space="preserve">climate and evidence</x:t>
        </x:is>
      </x:c>
      <x:c r="E422" s="12" t="inlineStr">
        <x:is>
          <x:t xml:space="preserve">EA-adjacent</x:t>
        </x:is>
      </x:c>
      <x:c r="F422" s="12" t="inlineStr">
        <x:is>
          <x:t xml:space="preserve">independent nonprofit</x:t>
        </x:is>
      </x:c>
      <x:c r="G422" s="12" t="inlineStr">
        <x:is>
          <x:t xml:space="preserve">no</x:t>
        </x:is>
      </x:c>
      <x:c r="H422" s="12" t="inlineStr">
        <x:is>
          <x:t xml:space="preserve">included</x:t>
        </x:is>
      </x:c>
      <x:c r="I422" s="12" t="inlineStr">
        <x:is>
          <x:t xml:space="preserve">Tier A</x:t>
        </x:is>
      </x:c>
      <x:c r="J422" s="13" t="inlineStr">
        <x:is>
          <x:t xml:space="preserve">Selected under frozen function/scale/EA/structure rules; compensation did not determine selection.</x:t>
        </x:is>
      </x:c>
      <x:c r="K422" s="12" t="inlineStr">
        <x:is>
          <x:t xml:space="preserve">primary</x:t>
        </x:is>
      </x:c>
      <x:c r="L422" s="16" t="inlineStr">
        <x:is>
          <x:t xml:space="preserve">https://projects.propublica.org/nonprofits/search?q=Project%20Drawdown</x:t>
        </x:is>
      </x:c>
    </x:row>
    <x:row r="423">
      <x:c r="A423" s="12" t="inlineStr">
        <x:is>
          <x:t xml:space="preserve">EXT3-114</x:t>
        </x:is>
      </x:c>
      <x:c r="B423" s="12" t="inlineStr">
        <x:is>
          <x:t xml:space="preserve">Global Energy Monitor</x:t>
        </x:is>
      </x:c>
      <x:c r="C423" s="12" t="inlineStr">
        <x:is>
          <x:t xml:space="preserve">extension3_frozen</x:t>
        </x:is>
      </x:c>
      <x:c r="D423" s="12" t="inlineStr">
        <x:is>
          <x:t xml:space="preserve">climate and evidence</x:t>
        </x:is>
      </x:c>
      <x:c r="E423" s="12" t="inlineStr">
        <x:is>
          <x:t xml:space="preserve">EA-adjacent</x:t>
        </x:is>
      </x:c>
      <x:c r="F423" s="12" t="inlineStr">
        <x:is>
          <x:t xml:space="preserve">independent nonprofit</x:t>
        </x:is>
      </x:c>
      <x:c r="G423" s="12" t="inlineStr">
        <x:is>
          <x:t xml:space="preserve">no</x:t>
        </x:is>
      </x:c>
      <x:c r="H423" s="12" t="inlineStr">
        <x:is>
          <x:t xml:space="preserve">frozen_candidate_not_selected</x:t>
        </x:is>
      </x:c>
      <x:c r="I423" s="12" t="inlineStr">
        <x:is>
          <x:t xml:space="preserve">not selected</x:t>
        </x:is>
      </x:c>
      <x:c r="J423" s="13" t="inlineStr">
        <x:is>
          <x:t xml:space="preserve">Frozen candidate; not promoted into the 144-organization quantitative reference set during this pass.</x:t>
        </x:is>
      </x:c>
      <x:c r="K423" s="12" t="inlineStr">
        <x:is>
          <x:t xml:space="preserve">not collected</x:t>
        </x:is>
      </x:c>
      <x:c r="L423" s="16" t="inlineStr">
        <x:is>
          <x:t xml:space="preserve">https://projects.propublica.org/nonprofits/search?q=Global%20Energy%20Monitor</x:t>
        </x:is>
      </x:c>
    </x:row>
    <x:row r="424">
      <x:c r="A424" s="12" t="inlineStr">
        <x:is>
          <x:t xml:space="preserve">EXT3-115</x:t>
        </x:is>
      </x:c>
      <x:c r="B424" s="12" t="inlineStr">
        <x:is>
          <x:t xml:space="preserve">Carbon Mapper</x:t>
        </x:is>
      </x:c>
      <x:c r="C424" s="12" t="inlineStr">
        <x:is>
          <x:t xml:space="preserve">extension3_frozen</x:t>
        </x:is>
      </x:c>
      <x:c r="D424" s="12" t="inlineStr">
        <x:is>
          <x:t xml:space="preserve">climate and evidence</x:t>
        </x:is>
      </x:c>
      <x:c r="E424" s="12" t="inlineStr">
        <x:is>
          <x:t xml:space="preserve">EA-adjacent</x:t>
        </x:is>
      </x:c>
      <x:c r="F424" s="12" t="inlineStr">
        <x:is>
          <x:t xml:space="preserve">independent nonprofit</x:t>
        </x:is>
      </x:c>
      <x:c r="G424" s="12" t="inlineStr">
        <x:is>
          <x:t xml:space="preserve">no</x:t>
        </x:is>
      </x:c>
      <x:c r="H424" s="12" t="inlineStr">
        <x:is>
          <x:t xml:space="preserve">included</x:t>
        </x:is>
      </x:c>
      <x:c r="I424" s="12" t="inlineStr">
        <x:is>
          <x:t xml:space="preserve">Tier A</x:t>
        </x:is>
      </x:c>
      <x:c r="J424" s="13" t="inlineStr">
        <x:is>
          <x:t xml:space="preserve">Selected under frozen function/scale/EA/structure rules; compensation did not determine selection.</x:t>
        </x:is>
      </x:c>
      <x:c r="K424" s="12" t="inlineStr">
        <x:is>
          <x:t xml:space="preserve">primary_with_structure_flag</x:t>
        </x:is>
      </x:c>
      <x:c r="L424" s="16" t="inlineStr">
        <x:is>
          <x:t xml:space="preserve">https://projects.propublica.org/nonprofits/search?q=Carbon%20Mapper</x:t>
        </x:is>
      </x:c>
    </x:row>
    <x:row r="425">
      <x:c r="A425" s="12" t="inlineStr">
        <x:is>
          <x:t xml:space="preserve">EXT3-116</x:t>
        </x:is>
      </x:c>
      <x:c r="B425" s="12" t="inlineStr">
        <x:is>
          <x:t xml:space="preserve">WattTime</x:t>
        </x:is>
      </x:c>
      <x:c r="C425" s="12" t="inlineStr">
        <x:is>
          <x:t xml:space="preserve">extension3_frozen</x:t>
        </x:is>
      </x:c>
      <x:c r="D425" s="12" t="inlineStr">
        <x:is>
          <x:t xml:space="preserve">climate and evidence</x:t>
        </x:is>
      </x:c>
      <x:c r="E425" s="12" t="inlineStr">
        <x:is>
          <x:t xml:space="preserve">EA-adjacent</x:t>
        </x:is>
      </x:c>
      <x:c r="F425" s="12" t="inlineStr">
        <x:is>
          <x:t xml:space="preserve">independent nonprofit</x:t>
        </x:is>
      </x:c>
      <x:c r="G425" s="12" t="inlineStr">
        <x:is>
          <x:t xml:space="preserve">no</x:t>
        </x:is>
      </x:c>
      <x:c r="H425" s="12" t="inlineStr">
        <x:is>
          <x:t xml:space="preserve">excluded_or_structural</x:t>
        </x:is>
      </x:c>
      <x:c r="I425" s="12" t="inlineStr">
        <x:is>
          <x:t xml:space="preserve">excluded_measurement</x:t>
        </x:is>
      </x:c>
      <x:c r="J425" s="13" t="inlineStr">
        <x:is>
          <x:t xml:space="preserve">Latest filing lists senior technical staff but no clean organization-wide CEO/ED observation in the accessible compensation table.</x:t>
        </x:is>
      </x:c>
      <x:c r="K425" s="12" t="inlineStr">
        <x:is>
          <x:t xml:space="preserve">excluded_measurement</x:t>
        </x:is>
      </x:c>
      <x:c r="L425" s="16" t="inlineStr">
        <x:is>
          <x:t xml:space="preserve">https://projects.propublica.org/nonprofits/search?q=WattTime</x:t>
        </x:is>
      </x:c>
    </x:row>
    <x:row r="426">
      <x:c r="A426" s="12" t="inlineStr">
        <x:is>
          <x:t xml:space="preserve">EXT3-117</x:t>
        </x:is>
      </x:c>
      <x:c r="B426" s="12" t="inlineStr">
        <x:is>
          <x:t xml:space="preserve">Regulatory Assistance Project</x:t>
        </x:is>
      </x:c>
      <x:c r="C426" s="12" t="inlineStr">
        <x:is>
          <x:t xml:space="preserve">extension3_frozen</x:t>
        </x:is>
      </x:c>
      <x:c r="D426" s="12" t="inlineStr">
        <x:is>
          <x:t xml:space="preserve">climate and evidence</x:t>
        </x:is>
      </x:c>
      <x:c r="E426" s="12" t="inlineStr">
        <x:is>
          <x:t xml:space="preserve">EA-adjacent</x:t>
        </x:is>
      </x:c>
      <x:c r="F426" s="12" t="inlineStr">
        <x:is>
          <x:t xml:space="preserve">independent nonprofit</x:t>
        </x:is>
      </x:c>
      <x:c r="G426" s="12" t="inlineStr">
        <x:is>
          <x:t xml:space="preserve">no</x:t>
        </x:is>
      </x:c>
      <x:c r="H426" s="12" t="inlineStr">
        <x:is>
          <x:t xml:space="preserve">frozen_candidate_not_selected</x:t>
        </x:is>
      </x:c>
      <x:c r="I426" s="12" t="inlineStr">
        <x:is>
          <x:t xml:space="preserve">not selected</x:t>
        </x:is>
      </x:c>
      <x:c r="J426" s="13" t="inlineStr">
        <x:is>
          <x:t xml:space="preserve">Frozen candidate; not promoted into the 144-organization quantitative reference set during this pass.</x:t>
        </x:is>
      </x:c>
      <x:c r="K426" s="12" t="inlineStr">
        <x:is>
          <x:t xml:space="preserve">not collected</x:t>
        </x:is>
      </x:c>
      <x:c r="L426" s="16" t="inlineStr">
        <x:is>
          <x:t xml:space="preserve">https://projects.propublica.org/nonprofits/search?q=Regulatory%20Assistance%20Project</x:t>
        </x:is>
      </x:c>
    </x:row>
    <x:row r="427">
      <x:c r="A427" s="12" t="inlineStr">
        <x:is>
          <x:t xml:space="preserve">EXT3-118</x:t>
        </x:is>
      </x:c>
      <x:c r="B427" s="12" t="inlineStr">
        <x:is>
          <x:t xml:space="preserve">Clean Energy States Alliance</x:t>
        </x:is>
      </x:c>
      <x:c r="C427" s="12" t="inlineStr">
        <x:is>
          <x:t xml:space="preserve">extension3_frozen</x:t>
        </x:is>
      </x:c>
      <x:c r="D427" s="12" t="inlineStr">
        <x:is>
          <x:t xml:space="preserve">climate and evidence</x:t>
        </x:is>
      </x:c>
      <x:c r="E427" s="12" t="inlineStr">
        <x:is>
          <x:t xml:space="preserve">functional-only</x:t>
        </x:is>
      </x:c>
      <x:c r="F427" s="12" t="inlineStr">
        <x:is>
          <x:t xml:space="preserve">membership nonprofit</x:t>
        </x:is>
      </x:c>
      <x:c r="G427" s="12" t="inlineStr">
        <x:is>
          <x:t xml:space="preserve">no</x:t>
        </x:is>
      </x:c>
      <x:c r="H427" s="12" t="inlineStr">
        <x:is>
          <x:t xml:space="preserve">frozen_candidate_not_selected</x:t>
        </x:is>
      </x:c>
      <x:c r="I427" s="12" t="inlineStr">
        <x:is>
          <x:t xml:space="preserve">not selected</x:t>
        </x:is>
      </x:c>
      <x:c r="J427" s="13" t="inlineStr">
        <x:is>
          <x:t xml:space="preserve">Frozen candidate; not promoted into the 144-organization quantitative reference set during this pass.</x:t>
        </x:is>
      </x:c>
      <x:c r="K427" s="12" t="inlineStr">
        <x:is>
          <x:t xml:space="preserve">not collected</x:t>
        </x:is>
      </x:c>
      <x:c r="L427" s="16" t="inlineStr">
        <x:is>
          <x:t xml:space="preserve">https://projects.propublica.org/nonprofits/search?q=Clean%20Energy%20States%20Alliance</x:t>
        </x:is>
      </x:c>
    </x:row>
    <x:row r="428">
      <x:c r="A428" s="12" t="inlineStr">
        <x:is>
          <x:t xml:space="preserve">EXT3-119</x:t>
        </x:is>
      </x:c>
      <x:c r="B428" s="12" t="inlineStr">
        <x:is>
          <x:t xml:space="preserve">Center for Sustainable Energy</x:t>
        </x:is>
      </x:c>
      <x:c r="C428" s="12" t="inlineStr">
        <x:is>
          <x:t xml:space="preserve">extension3_frozen</x:t>
        </x:is>
      </x:c>
      <x:c r="D428" s="12" t="inlineStr">
        <x:is>
          <x:t xml:space="preserve">climate and evidence</x:t>
        </x:is>
      </x:c>
      <x:c r="E428" s="12" t="inlineStr">
        <x:is>
          <x:t xml:space="preserve">functional-only</x:t>
        </x:is>
      </x:c>
      <x:c r="F428" s="12" t="inlineStr">
        <x:is>
          <x:t xml:space="preserve">independent nonprofit</x:t>
        </x:is>
      </x:c>
      <x:c r="G428" s="12" t="inlineStr">
        <x:is>
          <x:t xml:space="preserve">no</x:t>
        </x:is>
      </x:c>
      <x:c r="H428" s="12" t="inlineStr">
        <x:is>
          <x:t xml:space="preserve">frozen_candidate_not_selected</x:t>
        </x:is>
      </x:c>
      <x:c r="I428" s="12" t="inlineStr">
        <x:is>
          <x:t xml:space="preserve">not selected</x:t>
        </x:is>
      </x:c>
      <x:c r="J428" s="13" t="inlineStr">
        <x:is>
          <x:t xml:space="preserve">Frozen candidate; not promoted into the 144-organization quantitative reference set during this pass.</x:t>
        </x:is>
      </x:c>
      <x:c r="K428" s="12" t="inlineStr">
        <x:is>
          <x:t xml:space="preserve">not collected</x:t>
        </x:is>
      </x:c>
      <x:c r="L428" s="16" t="inlineStr">
        <x:is>
          <x:t xml:space="preserve">https://projects.propublica.org/nonprofits/search?q=Center%20for%20Sustainable%20Energy</x:t>
        </x:is>
      </x:c>
    </x:row>
    <x:row r="429">
      <x:c r="A429" s="12" t="inlineStr">
        <x:is>
          <x:t xml:space="preserve">EXT3-120</x:t>
        </x:is>
      </x:c>
      <x:c r="B429" s="12" t="inlineStr">
        <x:is>
          <x:t xml:space="preserve">The Greenlining Institute</x:t>
        </x:is>
      </x:c>
      <x:c r="C429" s="12" t="inlineStr">
        <x:is>
          <x:t xml:space="preserve">extension3_frozen</x:t>
        </x:is>
      </x:c>
      <x:c r="D429" s="12" t="inlineStr">
        <x:is>
          <x:t xml:space="preserve">climate and policy</x:t>
        </x:is>
      </x:c>
      <x:c r="E429" s="12" t="inlineStr">
        <x:is>
          <x:t xml:space="preserve">functional-only</x:t>
        </x:is>
      </x:c>
      <x:c r="F429" s="12" t="inlineStr">
        <x:is>
          <x:t xml:space="preserve">independent nonprofit</x:t>
        </x:is>
      </x:c>
      <x:c r="G429" s="12" t="inlineStr">
        <x:is>
          <x:t xml:space="preserve">no</x:t>
        </x:is>
      </x:c>
      <x:c r="H429" s="12" t="inlineStr">
        <x:is>
          <x:t xml:space="preserve">frozen_candidate_not_selected</x:t>
        </x:is>
      </x:c>
      <x:c r="I429" s="12" t="inlineStr">
        <x:is>
          <x:t xml:space="preserve">not selected</x:t>
        </x:is>
      </x:c>
      <x:c r="J429" s="13" t="inlineStr">
        <x:is>
          <x:t xml:space="preserve">Frozen candidate; not promoted into the 144-organization quantitative reference set during this pass.</x:t>
        </x:is>
      </x:c>
      <x:c r="K429" s="12" t="inlineStr">
        <x:is>
          <x:t xml:space="preserve">not collected</x:t>
        </x:is>
      </x:c>
      <x:c r="L429" s="16" t="inlineStr">
        <x:is>
          <x:t xml:space="preserve">https://projects.propublica.org/nonprofits/search?q=The%20Greenlining%20Institute</x:t>
        </x:is>
      </x:c>
    </x:row>
    <x:row r="430">
      <x:c r="A430" s="12" t="inlineStr">
        <x:is>
          <x:t xml:space="preserve">EXT3-121</x:t>
        </x:is>
      </x:c>
      <x:c r="B430" s="12" t="inlineStr">
        <x:is>
          <x:t xml:space="preserve">Acadia Center</x:t>
        </x:is>
      </x:c>
      <x:c r="C430" s="12" t="inlineStr">
        <x:is>
          <x:t xml:space="preserve">extension3_frozen</x:t>
        </x:is>
      </x:c>
      <x:c r="D430" s="12" t="inlineStr">
        <x:is>
          <x:t xml:space="preserve">climate and evidence</x:t>
        </x:is>
      </x:c>
      <x:c r="E430" s="12" t="inlineStr">
        <x:is>
          <x:t xml:space="preserve">functional-only</x:t>
        </x:is>
      </x:c>
      <x:c r="F430" s="12" t="inlineStr">
        <x:is>
          <x:t xml:space="preserve">independent nonprofit</x:t>
        </x:is>
      </x:c>
      <x:c r="G430" s="12" t="inlineStr">
        <x:is>
          <x:t xml:space="preserve">no</x:t>
        </x:is>
      </x:c>
      <x:c r="H430" s="12" t="inlineStr">
        <x:is>
          <x:t xml:space="preserve">frozen_candidate_not_selected</x:t>
        </x:is>
      </x:c>
      <x:c r="I430" s="12" t="inlineStr">
        <x:is>
          <x:t xml:space="preserve">not selected</x:t>
        </x:is>
      </x:c>
      <x:c r="J430" s="13" t="inlineStr">
        <x:is>
          <x:t xml:space="preserve">Frozen candidate; not promoted into the 144-organization quantitative reference set during this pass.</x:t>
        </x:is>
      </x:c>
      <x:c r="K430" s="12" t="inlineStr">
        <x:is>
          <x:t xml:space="preserve">not collected</x:t>
        </x:is>
      </x:c>
      <x:c r="L430" s="16" t="inlineStr">
        <x:is>
          <x:t xml:space="preserve">https://projects.propublica.org/nonprofits/search?q=Acadia%20Center</x:t>
        </x:is>
      </x:c>
    </x:row>
    <x:row r="431">
      <x:c r="A431" s="12" t="inlineStr">
        <x:is>
          <x:t xml:space="preserve">EXT3-122</x:t>
        </x:is>
      </x:c>
      <x:c r="B431" s="12" t="inlineStr">
        <x:is>
          <x:t xml:space="preserve">Climate Solutions</x:t>
        </x:is>
      </x:c>
      <x:c r="C431" s="12" t="inlineStr">
        <x:is>
          <x:t xml:space="preserve">extension3_frozen</x:t>
        </x:is>
      </x:c>
      <x:c r="D431" s="12" t="inlineStr">
        <x:is>
          <x:t xml:space="preserve">climate and evidence</x:t>
        </x:is>
      </x:c>
      <x:c r="E431" s="12" t="inlineStr">
        <x:is>
          <x:t xml:space="preserve">functional-only</x:t>
        </x:is>
      </x:c>
      <x:c r="F431" s="12" t="inlineStr">
        <x:is>
          <x:t xml:space="preserve">independent nonprofit</x:t>
        </x:is>
      </x:c>
      <x:c r="G431" s="12" t="inlineStr">
        <x:is>
          <x:t xml:space="preserve">no</x:t>
        </x:is>
      </x:c>
      <x:c r="H431" s="12" t="inlineStr">
        <x:is>
          <x:t xml:space="preserve">frozen_candidate_not_selected</x:t>
        </x:is>
      </x:c>
      <x:c r="I431" s="12" t="inlineStr">
        <x:is>
          <x:t xml:space="preserve">not selected</x:t>
        </x:is>
      </x:c>
      <x:c r="J431" s="13" t="inlineStr">
        <x:is>
          <x:t xml:space="preserve">Frozen candidate; not promoted into the 144-organization quantitative reference set during this pass.</x:t>
        </x:is>
      </x:c>
      <x:c r="K431" s="12" t="inlineStr">
        <x:is>
          <x:t xml:space="preserve">not collected</x:t>
        </x:is>
      </x:c>
      <x:c r="L431" s="16" t="inlineStr">
        <x:is>
          <x:t xml:space="preserve">https://projects.propublica.org/nonprofits/search?q=Climate%20Solutions</x:t>
        </x:is>
      </x:c>
    </x:row>
    <x:row r="432">
      <x:c r="A432" s="12" t="inlineStr">
        <x:is>
          <x:t xml:space="preserve">EXT3-123</x:t>
        </x:is>
      </x:c>
      <x:c r="B432" s="12" t="inlineStr">
        <x:is>
          <x:t xml:space="preserve">Climate XChange</x:t>
        </x:is>
      </x:c>
      <x:c r="C432" s="12" t="inlineStr">
        <x:is>
          <x:t xml:space="preserve">extension3_frozen</x:t>
        </x:is>
      </x:c>
      <x:c r="D432" s="12" t="inlineStr">
        <x:is>
          <x:t xml:space="preserve">climate and evidence</x:t>
        </x:is>
      </x:c>
      <x:c r="E432" s="12" t="inlineStr">
        <x:is>
          <x:t xml:space="preserve">EA-adjacent</x:t>
        </x:is>
      </x:c>
      <x:c r="F432" s="12" t="inlineStr">
        <x:is>
          <x:t xml:space="preserve">independent nonprofit</x:t>
        </x:is>
      </x:c>
      <x:c r="G432" s="12" t="inlineStr">
        <x:is>
          <x:t xml:space="preserve">no</x:t>
        </x:is>
      </x:c>
      <x:c r="H432" s="12" t="inlineStr">
        <x:is>
          <x:t xml:space="preserve">frozen_candidate_not_selected</x:t>
        </x:is>
      </x:c>
      <x:c r="I432" s="12" t="inlineStr">
        <x:is>
          <x:t xml:space="preserve">not selected</x:t>
        </x:is>
      </x:c>
      <x:c r="J432" s="13" t="inlineStr">
        <x:is>
          <x:t xml:space="preserve">Frozen candidate; not promoted into the 144-organization quantitative reference set during this pass.</x:t>
        </x:is>
      </x:c>
      <x:c r="K432" s="12" t="inlineStr">
        <x:is>
          <x:t xml:space="preserve">not collected</x:t>
        </x:is>
      </x:c>
      <x:c r="L432" s="16" t="inlineStr">
        <x:is>
          <x:t xml:space="preserve">https://projects.propublica.org/nonprofits/search?q=Climate%20XChange</x:t>
        </x:is>
      </x:c>
    </x:row>
    <x:row r="433">
      <x:c r="A433" s="12" t="inlineStr">
        <x:is>
          <x:t xml:space="preserve">EXT3-124</x:t>
        </x:is>
      </x:c>
      <x:c r="B433" s="12" t="inlineStr">
        <x:is>
          <x:t xml:space="preserve">Citizens' Climate Education</x:t>
        </x:is>
      </x:c>
      <x:c r="C433" s="12" t="inlineStr">
        <x:is>
          <x:t xml:space="preserve">extension3_frozen</x:t>
        </x:is>
      </x:c>
      <x:c r="D433" s="12" t="inlineStr">
        <x:is>
          <x:t xml:space="preserve">climate and evidence</x:t>
        </x:is>
      </x:c>
      <x:c r="E433" s="12" t="inlineStr">
        <x:is>
          <x:t xml:space="preserve">functional-only</x:t>
        </x:is>
      </x:c>
      <x:c r="F433" s="12" t="inlineStr">
        <x:is>
          <x:t xml:space="preserve">independent nonprofit</x:t>
        </x:is>
      </x:c>
      <x:c r="G433" s="12" t="inlineStr">
        <x:is>
          <x:t xml:space="preserve">no</x:t>
        </x:is>
      </x:c>
      <x:c r="H433" s="12" t="inlineStr">
        <x:is>
          <x:t xml:space="preserve">frozen_candidate_not_selected</x:t>
        </x:is>
      </x:c>
      <x:c r="I433" s="12" t="inlineStr">
        <x:is>
          <x:t xml:space="preserve">not selected</x:t>
        </x:is>
      </x:c>
      <x:c r="J433" s="13" t="inlineStr">
        <x:is>
          <x:t xml:space="preserve">Frozen candidate; not promoted into the 144-organization quantitative reference set during this pass.</x:t>
        </x:is>
      </x:c>
      <x:c r="K433" s="12" t="inlineStr">
        <x:is>
          <x:t xml:space="preserve">not collected</x:t>
        </x:is>
      </x:c>
      <x:c r="L433" s="16" t="inlineStr">
        <x:is>
          <x:t xml:space="preserve">https://projects.propublica.org/nonprofits/search?q=Citizens%27%20Climate%20Education</x:t>
        </x:is>
      </x:c>
    </x:row>
    <x:row r="434">
      <x:c r="A434" s="12" t="inlineStr">
        <x:is>
          <x:t xml:space="preserve">EXT3-125</x:t>
        </x:is>
      </x:c>
      <x:c r="B434" s="12" t="inlineStr">
        <x:is>
          <x:t xml:space="preserve">Center for Climate Integrity</x:t>
        </x:is>
      </x:c>
      <x:c r="C434" s="12" t="inlineStr">
        <x:is>
          <x:t xml:space="preserve">extension3_frozen</x:t>
        </x:is>
      </x:c>
      <x:c r="D434" s="12" t="inlineStr">
        <x:is>
          <x:t xml:space="preserve">climate and evidence</x:t>
        </x:is>
      </x:c>
      <x:c r="E434" s="12" t="inlineStr">
        <x:is>
          <x:t xml:space="preserve">functional-only</x:t>
        </x:is>
      </x:c>
      <x:c r="F434" s="12" t="inlineStr">
        <x:is>
          <x:t xml:space="preserve">independent nonprofit</x:t>
        </x:is>
      </x:c>
      <x:c r="G434" s="12" t="inlineStr">
        <x:is>
          <x:t xml:space="preserve">no</x:t>
        </x:is>
      </x:c>
      <x:c r="H434" s="12" t="inlineStr">
        <x:is>
          <x:t xml:space="preserve">frozen_candidate_not_selected</x:t>
        </x:is>
      </x:c>
      <x:c r="I434" s="12" t="inlineStr">
        <x:is>
          <x:t xml:space="preserve">not selected</x:t>
        </x:is>
      </x:c>
      <x:c r="J434" s="13" t="inlineStr">
        <x:is>
          <x:t xml:space="preserve">Frozen candidate; not promoted into the 144-organization quantitative reference set during this pass.</x:t>
        </x:is>
      </x:c>
      <x:c r="K434" s="12" t="inlineStr">
        <x:is>
          <x:t xml:space="preserve">not collected</x:t>
        </x:is>
      </x:c>
      <x:c r="L434" s="16" t="inlineStr">
        <x:is>
          <x:t xml:space="preserve">https://projects.propublica.org/nonprofits/search?q=Center%20for%20Climate%20Integrity</x:t>
        </x:is>
      </x:c>
    </x:row>
    <x:row r="435">
      <x:c r="A435" s="12" t="inlineStr">
        <x:is>
          <x:t xml:space="preserve">EXT3-126</x:t>
        </x:is>
      </x:c>
      <x:c r="B435" s="12" t="inlineStr">
        <x:is>
          <x:t xml:space="preserve">Evergreen Collaborative</x:t>
        </x:is>
      </x:c>
      <x:c r="C435" s="12" t="inlineStr">
        <x:is>
          <x:t xml:space="preserve">extension3_frozen</x:t>
        </x:is>
      </x:c>
      <x:c r="D435" s="12" t="inlineStr">
        <x:is>
          <x:t xml:space="preserve">climate and evidence</x:t>
        </x:is>
      </x:c>
      <x:c r="E435" s="12" t="inlineStr">
        <x:is>
          <x:t xml:space="preserve">EA-adjacent</x:t>
        </x:is>
      </x:c>
      <x:c r="F435" s="12" t="inlineStr">
        <x:is>
          <x:t xml:space="preserve">independent nonprofit</x:t>
        </x:is>
      </x:c>
      <x:c r="G435" s="12" t="inlineStr">
        <x:is>
          <x:t xml:space="preserve">no</x:t>
        </x:is>
      </x:c>
      <x:c r="H435" s="12" t="inlineStr">
        <x:is>
          <x:t xml:space="preserve">frozen_candidate_not_selected</x:t>
        </x:is>
      </x:c>
      <x:c r="I435" s="12" t="inlineStr">
        <x:is>
          <x:t xml:space="preserve">not selected</x:t>
        </x:is>
      </x:c>
      <x:c r="J435" s="13" t="inlineStr">
        <x:is>
          <x:t xml:space="preserve">Frozen candidate; not promoted into the 144-organization quantitative reference set during this pass.</x:t>
        </x:is>
      </x:c>
      <x:c r="K435" s="12" t="inlineStr">
        <x:is>
          <x:t xml:space="preserve">not collected</x:t>
        </x:is>
      </x:c>
      <x:c r="L435" s="16" t="inlineStr">
        <x:is>
          <x:t xml:space="preserve">https://projects.propublica.org/nonprofits/search?q=Evergreen%20Collaborative</x:t>
        </x:is>
      </x:c>
    </x:row>
    <x:row r="436">
      <x:c r="A436" s="12" t="inlineStr">
        <x:is>
          <x:t xml:space="preserve">EXT3-127</x:t>
        </x:is>
      </x:c>
      <x:c r="B436" s="12" t="inlineStr">
        <x:is>
          <x:t xml:space="preserve">Climate Imperative Foundation</x:t>
        </x:is>
      </x:c>
      <x:c r="C436" s="12" t="inlineStr">
        <x:is>
          <x:t xml:space="preserve">extension3_frozen</x:t>
        </x:is>
      </x:c>
      <x:c r="D436" s="12" t="inlineStr">
        <x:is>
          <x:t xml:space="preserve">climate and philanthropy</x:t>
        </x:is>
      </x:c>
      <x:c r="E436" s="12" t="inlineStr">
        <x:is>
          <x:t xml:space="preserve">EA-adjacent</x:t>
        </x:is>
      </x:c>
      <x:c r="F436" s="12" t="inlineStr">
        <x:is>
          <x:t xml:space="preserve">public charity / grantmaker</x:t>
        </x:is>
      </x:c>
      <x:c r="G436" s="12" t="inlineStr">
        <x:is>
          <x:t xml:space="preserve">no</x:t>
        </x:is>
      </x:c>
      <x:c r="H436" s="12" t="inlineStr">
        <x:is>
          <x:t xml:space="preserve">frozen_candidate_not_selected</x:t>
        </x:is>
      </x:c>
      <x:c r="I436" s="12" t="inlineStr">
        <x:is>
          <x:t xml:space="preserve">not selected</x:t>
        </x:is>
      </x:c>
      <x:c r="J436" s="13" t="inlineStr">
        <x:is>
          <x:t xml:space="preserve">Frozen candidate; not promoted into the 144-organization quantitative reference set during this pass.</x:t>
        </x:is>
      </x:c>
      <x:c r="K436" s="12" t="inlineStr">
        <x:is>
          <x:t xml:space="preserve">not collected</x:t>
        </x:is>
      </x:c>
      <x:c r="L436" s="16" t="inlineStr">
        <x:is>
          <x:t xml:space="preserve">https://projects.propublica.org/nonprofits/search?q=Climate%20Imperative%20Foundation</x:t>
        </x:is>
      </x:c>
    </x:row>
    <x:row r="437">
      <x:c r="A437" s="12" t="inlineStr">
        <x:is>
          <x:t xml:space="preserve">EXT3-128</x:t>
        </x:is>
      </x:c>
      <x:c r="B437" s="12" t="inlineStr">
        <x:is>
          <x:t xml:space="preserve">Rewiring America</x:t>
        </x:is>
      </x:c>
      <x:c r="C437" s="12" t="inlineStr">
        <x:is>
          <x:t xml:space="preserve">extension3_frozen</x:t>
        </x:is>
      </x:c>
      <x:c r="D437" s="12" t="inlineStr">
        <x:is>
          <x:t xml:space="preserve">climate and evidence</x:t>
        </x:is>
      </x:c>
      <x:c r="E437" s="12" t="inlineStr">
        <x:is>
          <x:t xml:space="preserve">EA-adjacent</x:t>
        </x:is>
      </x:c>
      <x:c r="F437" s="12" t="inlineStr">
        <x:is>
          <x:t xml:space="preserve">independent nonprofit</x:t>
        </x:is>
      </x:c>
      <x:c r="G437" s="12" t="inlineStr">
        <x:is>
          <x:t xml:space="preserve">no</x:t>
        </x:is>
      </x:c>
      <x:c r="H437" s="12" t="inlineStr">
        <x:is>
          <x:t xml:space="preserve">frozen_candidate_not_selected</x:t>
        </x:is>
      </x:c>
      <x:c r="I437" s="12" t="inlineStr">
        <x:is>
          <x:t xml:space="preserve">not selected</x:t>
        </x:is>
      </x:c>
      <x:c r="J437" s="13" t="inlineStr">
        <x:is>
          <x:t xml:space="preserve">Frozen candidate; not promoted into the 144-organization quantitative reference set during this pass.</x:t>
        </x:is>
      </x:c>
      <x:c r="K437" s="12" t="inlineStr">
        <x:is>
          <x:t xml:space="preserve">not collected</x:t>
        </x:is>
      </x:c>
      <x:c r="L437" s="16" t="inlineStr">
        <x:is>
          <x:t xml:space="preserve">https://projects.propublica.org/nonprofits/search?q=Rewiring%20America</x:t>
        </x:is>
      </x:c>
    </x:row>
    <x:row r="438">
      <x:c r="A438" s="12" t="inlineStr">
        <x:is>
          <x:t xml:space="preserve">EXT3-129</x:t>
        </x:is>
      </x:c>
      <x:c r="B438" s="12" t="inlineStr">
        <x:is>
          <x:t xml:space="preserve">Fresh Energy</x:t>
        </x:is>
      </x:c>
      <x:c r="C438" s="12" t="inlineStr">
        <x:is>
          <x:t xml:space="preserve">extension3_frozen</x:t>
        </x:is>
      </x:c>
      <x:c r="D438" s="12" t="inlineStr">
        <x:is>
          <x:t xml:space="preserve">climate and evidence</x:t>
        </x:is>
      </x:c>
      <x:c r="E438" s="12" t="inlineStr">
        <x:is>
          <x:t xml:space="preserve">functional-only</x:t>
        </x:is>
      </x:c>
      <x:c r="F438" s="12" t="inlineStr">
        <x:is>
          <x:t xml:space="preserve">independent nonprofit</x:t>
        </x:is>
      </x:c>
      <x:c r="G438" s="12" t="inlineStr">
        <x:is>
          <x:t xml:space="preserve">no</x:t>
        </x:is>
      </x:c>
      <x:c r="H438" s="12" t="inlineStr">
        <x:is>
          <x:t xml:space="preserve">included</x:t>
        </x:is>
      </x:c>
      <x:c r="I438" s="12" t="inlineStr">
        <x:is>
          <x:t xml:space="preserve">Tier A</x:t>
        </x:is>
      </x:c>
      <x:c r="J438" s="13" t="inlineStr">
        <x:is>
          <x:t xml:space="preserve">Selected under frozen function/scale/EA/structure rules; compensation did not determine selection.</x:t>
        </x:is>
      </x:c>
      <x:c r="K438" s="12" t="inlineStr">
        <x:is>
          <x:t xml:space="preserve">primary</x:t>
        </x:is>
      </x:c>
      <x:c r="L438" s="16" t="inlineStr">
        <x:is>
          <x:t xml:space="preserve">https://projects.propublica.org/nonprofits/search?q=Fresh%20Energy</x:t>
        </x:is>
      </x:c>
    </x:row>
    <x:row r="439">
      <x:c r="A439" s="12" t="inlineStr">
        <x:is>
          <x:t xml:space="preserve">EXT3-130</x:t>
        </x:is>
      </x:c>
      <x:c r="B439" s="12" t="inlineStr">
        <x:is>
          <x:t xml:space="preserve">Great Plains Institute</x:t>
        </x:is>
      </x:c>
      <x:c r="C439" s="12" t="inlineStr">
        <x:is>
          <x:t xml:space="preserve">extension3_frozen</x:t>
        </x:is>
      </x:c>
      <x:c r="D439" s="12" t="inlineStr">
        <x:is>
          <x:t xml:space="preserve">climate and evidence</x:t>
        </x:is>
      </x:c>
      <x:c r="E439" s="12" t="inlineStr">
        <x:is>
          <x:t xml:space="preserve">functional-only</x:t>
        </x:is>
      </x:c>
      <x:c r="F439" s="12" t="inlineStr">
        <x:is>
          <x:t xml:space="preserve">independent nonprofit</x:t>
        </x:is>
      </x:c>
      <x:c r="G439" s="12" t="inlineStr">
        <x:is>
          <x:t xml:space="preserve">no</x:t>
        </x:is>
      </x:c>
      <x:c r="H439" s="12" t="inlineStr">
        <x:is>
          <x:t xml:space="preserve">frozen_candidate_not_selected</x:t>
        </x:is>
      </x:c>
      <x:c r="I439" s="12" t="inlineStr">
        <x:is>
          <x:t xml:space="preserve">not selected</x:t>
        </x:is>
      </x:c>
      <x:c r="J439" s="13" t="inlineStr">
        <x:is>
          <x:t xml:space="preserve">Frozen candidate; not promoted into the 144-organization quantitative reference set during this pass.</x:t>
        </x:is>
      </x:c>
      <x:c r="K439" s="12" t="inlineStr">
        <x:is>
          <x:t xml:space="preserve">not collected</x:t>
        </x:is>
      </x:c>
      <x:c r="L439" s="16" t="inlineStr">
        <x:is>
          <x:t xml:space="preserve">https://projects.propublica.org/nonprofits/search?q=Great%20Plains%20Institute</x:t>
        </x:is>
      </x:c>
    </x:row>
    <x:row r="440">
      <x:c r="A440" s="12" t="inlineStr">
        <x:is>
          <x:t xml:space="preserve">EXT3-131</x:t>
        </x:is>
      </x:c>
      <x:c r="B440" s="12" t="inlineStr">
        <x:is>
          <x:t xml:space="preserve">Institute for Market Transformation</x:t>
        </x:is>
      </x:c>
      <x:c r="C440" s="12" t="inlineStr">
        <x:is>
          <x:t xml:space="preserve">extension3_frozen</x:t>
        </x:is>
      </x:c>
      <x:c r="D440" s="12" t="inlineStr">
        <x:is>
          <x:t xml:space="preserve">climate and evidence</x:t>
        </x:is>
      </x:c>
      <x:c r="E440" s="12" t="inlineStr">
        <x:is>
          <x:t xml:space="preserve">functional-only</x:t>
        </x:is>
      </x:c>
      <x:c r="F440" s="12" t="inlineStr">
        <x:is>
          <x:t xml:space="preserve">independent nonprofit</x:t>
        </x:is>
      </x:c>
      <x:c r="G440" s="12" t="inlineStr">
        <x:is>
          <x:t xml:space="preserve">no</x:t>
        </x:is>
      </x:c>
      <x:c r="H440" s="12" t="inlineStr">
        <x:is>
          <x:t xml:space="preserve">excluded_or_structural</x:t>
        </x:is>
      </x:c>
      <x:c r="I440" s="12" t="inlineStr">
        <x:is>
          <x:t xml:space="preserve">structural_sensitivity</x:t>
        </x:is>
      </x:c>
      <x:c r="J440" s="13" t="inlineStr">
        <x:is>
          <x:t xml:space="preserve">Exact CEO start date was not established; excluded from primary rather than silently treating as full-year.</x:t>
        </x:is>
      </x:c>
      <x:c r="K440" s="12" t="inlineStr">
        <x:is>
          <x:t xml:space="preserve">structural_sensitivity</x:t>
        </x:is>
      </x:c>
      <x:c r="L440" s="16" t="inlineStr">
        <x:is>
          <x:t xml:space="preserve">https://projects.propublica.org/nonprofits/search?q=Institute%20for%20Market%20Transformation</x:t>
        </x:is>
      </x:c>
    </x:row>
    <x:row r="441">
      <x:c r="A441" s="12" t="inlineStr">
        <x:is>
          <x:t xml:space="preserve">EXT3-132</x:t>
        </x:is>
      </x:c>
      <x:c r="B441" s="12" t="inlineStr">
        <x:is>
          <x:t xml:space="preserve">Climate Nexus</x:t>
        </x:is>
      </x:c>
      <x:c r="C441" s="12" t="inlineStr">
        <x:is>
          <x:t xml:space="preserve">extension3_frozen</x:t>
        </x:is>
      </x:c>
      <x:c r="D441" s="12" t="inlineStr">
        <x:is>
          <x:t xml:space="preserve">climate and evidence</x:t>
        </x:is>
      </x:c>
      <x:c r="E441" s="12" t="inlineStr">
        <x:is>
          <x:t xml:space="preserve">functional-only</x:t>
        </x:is>
      </x:c>
      <x:c r="F441" s="12" t="inlineStr">
        <x:is>
          <x:t xml:space="preserve">nonprofit/project</x:t>
        </x:is>
      </x:c>
      <x:c r="G441" s="12" t="inlineStr">
        <x:is>
          <x:t xml:space="preserve">no</x:t>
        </x:is>
      </x:c>
      <x:c r="H441" s="12" t="inlineStr">
        <x:is>
          <x:t xml:space="preserve">frozen_candidate_not_selected</x:t>
        </x:is>
      </x:c>
      <x:c r="I441" s="12" t="inlineStr">
        <x:is>
          <x:t xml:space="preserve">not selected</x:t>
        </x:is>
      </x:c>
      <x:c r="J441" s="13" t="inlineStr">
        <x:is>
          <x:t xml:space="preserve">Frozen candidate; not promoted into the 144-organization quantitative reference set during this pass.</x:t>
        </x:is>
      </x:c>
      <x:c r="K441" s="12" t="inlineStr">
        <x:is>
          <x:t xml:space="preserve">not collected</x:t>
        </x:is>
      </x:c>
      <x:c r="L441" s="16" t="inlineStr">
        <x:is>
          <x:t xml:space="preserve">https://projects.propublica.org/nonprofits/search?q=Climate%20Nexus</x:t>
        </x:is>
      </x:c>
    </x:row>
    <x:row r="442">
      <x:c r="A442" s="12" t="inlineStr">
        <x:is>
          <x:t xml:space="preserve">EXT3-133</x:t>
        </x:is>
      </x:c>
      <x:c r="B442" s="12" t="inlineStr">
        <x:is>
          <x:t xml:space="preserve">Earth Innovation Institute</x:t>
        </x:is>
      </x:c>
      <x:c r="C442" s="12" t="inlineStr">
        <x:is>
          <x:t xml:space="preserve">extension3_frozen</x:t>
        </x:is>
      </x:c>
      <x:c r="D442" s="12" t="inlineStr">
        <x:is>
          <x:t xml:space="preserve">climate and evidence</x:t>
        </x:is>
      </x:c>
      <x:c r="E442" s="12" t="inlineStr">
        <x:is>
          <x:t xml:space="preserve">EA-adjacent</x:t>
        </x:is>
      </x:c>
      <x:c r="F442" s="12" t="inlineStr">
        <x:is>
          <x:t xml:space="preserve">independent nonprofit</x:t>
        </x:is>
      </x:c>
      <x:c r="G442" s="12" t="inlineStr">
        <x:is>
          <x:t xml:space="preserve">no</x:t>
        </x:is>
      </x:c>
      <x:c r="H442" s="12" t="inlineStr">
        <x:is>
          <x:t xml:space="preserve">frozen_candidate_not_selected</x:t>
        </x:is>
      </x:c>
      <x:c r="I442" s="12" t="inlineStr">
        <x:is>
          <x:t xml:space="preserve">not selected</x:t>
        </x:is>
      </x:c>
      <x:c r="J442" s="13" t="inlineStr">
        <x:is>
          <x:t xml:space="preserve">Frozen candidate; not promoted into the 144-organization quantitative reference set during this pass.</x:t>
        </x:is>
      </x:c>
      <x:c r="K442" s="12" t="inlineStr">
        <x:is>
          <x:t xml:space="preserve">not collected</x:t>
        </x:is>
      </x:c>
      <x:c r="L442" s="16" t="inlineStr">
        <x:is>
          <x:t xml:space="preserve">https://projects.propublica.org/nonprofits/search?q=Earth%20Innovation%20Institute</x:t>
        </x:is>
      </x:c>
    </x:row>
    <x:row r="443">
      <x:c r="A443" s="12" t="inlineStr">
        <x:is>
          <x:t xml:space="preserve">EXT3-134</x:t>
        </x:is>
      </x:c>
      <x:c r="B443" s="12" t="inlineStr">
        <x:is>
          <x:t xml:space="preserve">Animal Ethics</x:t>
        </x:is>
      </x:c>
      <x:c r="C443" s="12" t="inlineStr">
        <x:is>
          <x:t xml:space="preserve">extension3_frozen</x:t>
        </x:is>
      </x:c>
      <x:c r="D443" s="12" t="inlineStr">
        <x:is>
          <x:t xml:space="preserve">animal welfare and research</x:t>
        </x:is>
      </x:c>
      <x:c r="E443" s="12" t="inlineStr">
        <x:is>
          <x:t xml:space="preserve">EA-adjacent</x:t>
        </x:is>
      </x:c>
      <x:c r="F443" s="12" t="inlineStr">
        <x:is>
          <x:t xml:space="preserve">independent nonprofit</x:t>
        </x:is>
      </x:c>
      <x:c r="G443" s="12" t="inlineStr">
        <x:is>
          <x:t xml:space="preserve">no</x:t>
        </x:is>
      </x:c>
      <x:c r="H443" s="12" t="inlineStr">
        <x:is>
          <x:t xml:space="preserve">frozen_candidate_not_selected</x:t>
        </x:is>
      </x:c>
      <x:c r="I443" s="12" t="inlineStr">
        <x:is>
          <x:t xml:space="preserve">not selected</x:t>
        </x:is>
      </x:c>
      <x:c r="J443" s="13" t="inlineStr">
        <x:is>
          <x:t xml:space="preserve">Frozen candidate; not promoted into the 144-organization quantitative reference set during this pass.</x:t>
        </x:is>
      </x:c>
      <x:c r="K443" s="12" t="inlineStr">
        <x:is>
          <x:t xml:space="preserve">not collected</x:t>
        </x:is>
      </x:c>
      <x:c r="L443" s="16" t="inlineStr">
        <x:is>
          <x:t xml:space="preserve">https://projects.propublica.org/nonprofits/search?q=Animal%20Ethics</x:t>
        </x:is>
      </x:c>
    </x:row>
    <x:row r="444">
      <x:c r="A444" s="12" t="inlineStr">
        <x:is>
          <x:t xml:space="preserve">EXT3-135</x:t>
        </x:is>
      </x:c>
      <x:c r="B444" s="12" t="inlineStr">
        <x:is>
          <x:t xml:space="preserve">Better Food Foundation</x:t>
        </x:is>
      </x:c>
      <x:c r="C444" s="12" t="inlineStr">
        <x:is>
          <x:t xml:space="preserve">extension3_frozen</x:t>
        </x:is>
      </x:c>
      <x:c r="D444" s="12" t="inlineStr">
        <x:is>
          <x:t xml:space="preserve">animal welfare and food systems</x:t>
        </x:is>
      </x:c>
      <x:c r="E444" s="12" t="inlineStr">
        <x:is>
          <x:t xml:space="preserve">EA-adjacent</x:t>
        </x:is>
      </x:c>
      <x:c r="F444" s="12" t="inlineStr">
        <x:is>
          <x:t xml:space="preserve">independent nonprofit</x:t>
        </x:is>
      </x:c>
      <x:c r="G444" s="12" t="inlineStr">
        <x:is>
          <x:t xml:space="preserve">no</x:t>
        </x:is>
      </x:c>
      <x:c r="H444" s="12" t="inlineStr">
        <x:is>
          <x:t xml:space="preserve">included</x:t>
        </x:is>
      </x:c>
      <x:c r="I444" s="12" t="inlineStr">
        <x:is>
          <x:t xml:space="preserve">Tier C</x:t>
        </x:is>
      </x:c>
      <x:c r="J444" s="13" t="inlineStr">
        <x:is>
          <x:t xml:space="preserve">Selected under frozen function/scale/EA/structure rules; compensation did not determine selection.</x:t>
        </x:is>
      </x:c>
      <x:c r="K444" s="12" t="inlineStr">
        <x:is>
          <x:t xml:space="preserve">primary_with_structure_flag</x:t>
        </x:is>
      </x:c>
      <x:c r="L444" s="16" t="inlineStr">
        <x:is>
          <x:t xml:space="preserve">https://projects.propublica.org/nonprofits/search?q=Better%20Food%20Foundation</x:t>
        </x:is>
      </x:c>
    </x:row>
    <x:row r="445">
      <x:c r="A445" s="12" t="inlineStr">
        <x:is>
          <x:t xml:space="preserve">EXT3-136</x:t>
        </x:is>
      </x:c>
      <x:c r="B445" s="12" t="inlineStr">
        <x:is>
          <x:t xml:space="preserve">Vegan Hacktivists</x:t>
        </x:is>
      </x:c>
      <x:c r="C445" s="12" t="inlineStr">
        <x:is>
          <x:t xml:space="preserve">extension3_frozen</x:t>
        </x:is>
      </x:c>
      <x:c r="D445" s="12" t="inlineStr">
        <x:is>
          <x:t xml:space="preserve">animal welfare and food systems</x:t>
        </x:is>
      </x:c>
      <x:c r="E445" s="12" t="inlineStr">
        <x:is>
          <x:t xml:space="preserve">EA-adjacent</x:t>
        </x:is>
      </x:c>
      <x:c r="F445" s="12" t="inlineStr">
        <x:is>
          <x:t xml:space="preserve">independent nonprofit</x:t>
        </x:is>
      </x:c>
      <x:c r="G445" s="12" t="inlineStr">
        <x:is>
          <x:t xml:space="preserve">no</x:t>
        </x:is>
      </x:c>
      <x:c r="H445" s="12" t="inlineStr">
        <x:is>
          <x:t xml:space="preserve">frozen_candidate_not_selected</x:t>
        </x:is>
      </x:c>
      <x:c r="I445" s="12" t="inlineStr">
        <x:is>
          <x:t xml:space="preserve">not selected</x:t>
        </x:is>
      </x:c>
      <x:c r="J445" s="13" t="inlineStr">
        <x:is>
          <x:t xml:space="preserve">Frozen candidate; not promoted into the 144-organization quantitative reference set during this pass.</x:t>
        </x:is>
      </x:c>
      <x:c r="K445" s="12" t="inlineStr">
        <x:is>
          <x:t xml:space="preserve">not collected</x:t>
        </x:is>
      </x:c>
      <x:c r="L445" s="16" t="inlineStr">
        <x:is>
          <x:t xml:space="preserve">https://projects.propublica.org/nonprofits/search?q=Vegan%20Hacktivists</x:t>
        </x:is>
      </x:c>
    </x:row>
    <x:row r="446">
      <x:c r="A446" s="12" t="inlineStr">
        <x:is>
          <x:t xml:space="preserve">EXT3-137</x:t>
        </x:is>
      </x:c>
      <x:c r="B446" s="12" t="inlineStr">
        <x:is>
          <x:t xml:space="preserve">Animal Partisan</x:t>
        </x:is>
      </x:c>
      <x:c r="C446" s="12" t="inlineStr">
        <x:is>
          <x:t xml:space="preserve">extension3_frozen</x:t>
        </x:is>
      </x:c>
      <x:c r="D446" s="12" t="inlineStr">
        <x:is>
          <x:t xml:space="preserve">animal welfare and food systems</x:t>
        </x:is>
      </x:c>
      <x:c r="E446" s="12" t="inlineStr">
        <x:is>
          <x:t xml:space="preserve">EA-adjacent</x:t>
        </x:is>
      </x:c>
      <x:c r="F446" s="12" t="inlineStr">
        <x:is>
          <x:t xml:space="preserve">independent nonprofit</x:t>
        </x:is>
      </x:c>
      <x:c r="G446" s="12" t="inlineStr">
        <x:is>
          <x:t xml:space="preserve">no</x:t>
        </x:is>
      </x:c>
      <x:c r="H446" s="12" t="inlineStr">
        <x:is>
          <x:t xml:space="preserve">frozen_candidate_not_selected</x:t>
        </x:is>
      </x:c>
      <x:c r="I446" s="12" t="inlineStr">
        <x:is>
          <x:t xml:space="preserve">not selected</x:t>
        </x:is>
      </x:c>
      <x:c r="J446" s="13" t="inlineStr">
        <x:is>
          <x:t xml:space="preserve">Frozen candidate; not promoted into the 144-organization quantitative reference set during this pass.</x:t>
        </x:is>
      </x:c>
      <x:c r="K446" s="12" t="inlineStr">
        <x:is>
          <x:t xml:space="preserve">not collected</x:t>
        </x:is>
      </x:c>
      <x:c r="L446" s="16" t="inlineStr">
        <x:is>
          <x:t xml:space="preserve">https://projects.propublica.org/nonprofits/search?q=Animal%20Partisan</x:t>
        </x:is>
      </x:c>
    </x:row>
    <x:row r="447">
      <x:c r="A447" s="12" t="inlineStr">
        <x:is>
          <x:t xml:space="preserve">EXT3-138</x:t>
        </x:is>
      </x:c>
      <x:c r="B447" s="12" t="inlineStr">
        <x:is>
          <x:t xml:space="preserve">Encompass</x:t>
        </x:is>
      </x:c>
      <x:c r="C447" s="12" t="inlineStr">
        <x:is>
          <x:t xml:space="preserve">extension3_frozen</x:t>
        </x:is>
      </x:c>
      <x:c r="D447" s="12" t="inlineStr">
        <x:is>
          <x:t xml:space="preserve">animal welfare and food systems</x:t>
        </x:is>
      </x:c>
      <x:c r="E447" s="12" t="inlineStr">
        <x:is>
          <x:t xml:space="preserve">EA-adjacent</x:t>
        </x:is>
      </x:c>
      <x:c r="F447" s="12" t="inlineStr">
        <x:is>
          <x:t xml:space="preserve">independent nonprofit</x:t>
        </x:is>
      </x:c>
      <x:c r="G447" s="12" t="inlineStr">
        <x:is>
          <x:t xml:space="preserve">no</x:t>
        </x:is>
      </x:c>
      <x:c r="H447" s="12" t="inlineStr">
        <x:is>
          <x:t xml:space="preserve">frozen_candidate_not_selected</x:t>
        </x:is>
      </x:c>
      <x:c r="I447" s="12" t="inlineStr">
        <x:is>
          <x:t xml:space="preserve">not selected</x:t>
        </x:is>
      </x:c>
      <x:c r="J447" s="13" t="inlineStr">
        <x:is>
          <x:t xml:space="preserve">Frozen candidate; not promoted into the 144-organization quantitative reference set during this pass.</x:t>
        </x:is>
      </x:c>
      <x:c r="K447" s="12" t="inlineStr">
        <x:is>
          <x:t xml:space="preserve">not collected</x:t>
        </x:is>
      </x:c>
      <x:c r="L447" s="16" t="inlineStr">
        <x:is>
          <x:t xml:space="preserve">https://projects.propublica.org/nonprofits/search?q=Encompass</x:t>
        </x:is>
      </x:c>
    </x:row>
    <x:row r="448">
      <x:c r="A448" s="12" t="inlineStr">
        <x:is>
          <x:t xml:space="preserve">EXT3-139</x:t>
        </x:is>
      </x:c>
      <x:c r="B448" s="12" t="inlineStr">
        <x:is>
          <x:t xml:space="preserve">Food System Innovations</x:t>
        </x:is>
      </x:c>
      <x:c r="C448" s="12" t="inlineStr">
        <x:is>
          <x:t xml:space="preserve">extension3_frozen</x:t>
        </x:is>
      </x:c>
      <x:c r="D448" s="12" t="inlineStr">
        <x:is>
          <x:t xml:space="preserve">animal welfare and food systems</x:t>
        </x:is>
      </x:c>
      <x:c r="E448" s="12" t="inlineStr">
        <x:is>
          <x:t xml:space="preserve">EA-adjacent</x:t>
        </x:is>
      </x:c>
      <x:c r="F448" s="12" t="inlineStr">
        <x:is>
          <x:t xml:space="preserve">independent nonprofit</x:t>
        </x:is>
      </x:c>
      <x:c r="G448" s="12" t="inlineStr">
        <x:is>
          <x:t xml:space="preserve">no</x:t>
        </x:is>
      </x:c>
      <x:c r="H448" s="12" t="inlineStr">
        <x:is>
          <x:t xml:space="preserve">frozen_candidate_not_selected</x:t>
        </x:is>
      </x:c>
      <x:c r="I448" s="12" t="inlineStr">
        <x:is>
          <x:t xml:space="preserve">not selected</x:t>
        </x:is>
      </x:c>
      <x:c r="J448" s="13" t="inlineStr">
        <x:is>
          <x:t xml:space="preserve">Frozen candidate; not promoted into the 144-organization quantitative reference set during this pass.</x:t>
        </x:is>
      </x:c>
      <x:c r="K448" s="12" t="inlineStr">
        <x:is>
          <x:t xml:space="preserve">not collected</x:t>
        </x:is>
      </x:c>
      <x:c r="L448" s="16" t="inlineStr">
        <x:is>
          <x:t xml:space="preserve">https://projects.propublica.org/nonprofits/search?q=Food%20System%20Innovations</x:t>
        </x:is>
      </x:c>
    </x:row>
    <x:row r="449">
      <x:c r="A449" s="12" t="inlineStr">
        <x:is>
          <x:t xml:space="preserve">EXT3-140</x:t>
        </x:is>
      </x:c>
      <x:c r="B449" s="12" t="inlineStr">
        <x:is>
          <x:t xml:space="preserve">Born Free USA</x:t>
        </x:is>
      </x:c>
      <x:c r="C449" s="12" t="inlineStr">
        <x:is>
          <x:t xml:space="preserve">extension3_frozen</x:t>
        </x:is>
      </x:c>
      <x:c r="D449" s="12" t="inlineStr">
        <x:is>
          <x:t xml:space="preserve">animal welfare and food systems</x:t>
        </x:is>
      </x:c>
      <x:c r="E449" s="12" t="inlineStr">
        <x:is>
          <x:t xml:space="preserve">EA-adjacent</x:t>
        </x:is>
      </x:c>
      <x:c r="F449" s="12" t="inlineStr">
        <x:is>
          <x:t xml:space="preserve">international nonprofit affiliate</x:t>
        </x:is>
      </x:c>
      <x:c r="G449" s="12" t="inlineStr">
        <x:is>
          <x:t xml:space="preserve">no</x:t>
        </x:is>
      </x:c>
      <x:c r="H449" s="12" t="inlineStr">
        <x:is>
          <x:t xml:space="preserve">frozen_candidate_not_selected</x:t>
        </x:is>
      </x:c>
      <x:c r="I449" s="12" t="inlineStr">
        <x:is>
          <x:t xml:space="preserve">not selected</x:t>
        </x:is>
      </x:c>
      <x:c r="J449" s="13" t="inlineStr">
        <x:is>
          <x:t xml:space="preserve">Frozen candidate; not promoted into the 144-organization quantitative reference set during this pass.</x:t>
        </x:is>
      </x:c>
      <x:c r="K449" s="12" t="inlineStr">
        <x:is>
          <x:t xml:space="preserve">not collected</x:t>
        </x:is>
      </x:c>
      <x:c r="L449" s="16" t="inlineStr">
        <x:is>
          <x:t xml:space="preserve">https://projects.propublica.org/nonprofits/search?q=Born%20Free%20USA</x:t>
        </x:is>
      </x:c>
    </x:row>
    <x:row r="450">
      <x:c r="A450" s="12" t="inlineStr">
        <x:is>
          <x:t xml:space="preserve">EXT3-141</x:t>
        </x:is>
      </x:c>
      <x:c r="B450" s="12" t="inlineStr">
        <x:is>
          <x:t xml:space="preserve">WildAid</x:t>
        </x:is>
      </x:c>
      <x:c r="C450" s="12" t="inlineStr">
        <x:is>
          <x:t xml:space="preserve">extension3_frozen</x:t>
        </x:is>
      </x:c>
      <x:c r="D450" s="12" t="inlineStr">
        <x:is>
          <x:t xml:space="preserve">animal welfare and conservation</x:t>
        </x:is>
      </x:c>
      <x:c r="E450" s="12" t="inlineStr">
        <x:is>
          <x:t xml:space="preserve">EA-adjacent</x:t>
        </x:is>
      </x:c>
      <x:c r="F450" s="12" t="inlineStr">
        <x:is>
          <x:t xml:space="preserve">independent nonprofit</x:t>
        </x:is>
      </x:c>
      <x:c r="G450" s="12" t="inlineStr">
        <x:is>
          <x:t xml:space="preserve">no</x:t>
        </x:is>
      </x:c>
      <x:c r="H450" s="12" t="inlineStr">
        <x:is>
          <x:t xml:space="preserve">frozen_candidate_not_selected</x:t>
        </x:is>
      </x:c>
      <x:c r="I450" s="12" t="inlineStr">
        <x:is>
          <x:t xml:space="preserve">not selected</x:t>
        </x:is>
      </x:c>
      <x:c r="J450" s="13" t="inlineStr">
        <x:is>
          <x:t xml:space="preserve">Frozen candidate; not promoted into the 144-organization quantitative reference set during this pass.</x:t>
        </x:is>
      </x:c>
      <x:c r="K450" s="12" t="inlineStr">
        <x:is>
          <x:t xml:space="preserve">not collected</x:t>
        </x:is>
      </x:c>
      <x:c r="L450" s="16" t="inlineStr">
        <x:is>
          <x:t xml:space="preserve">https://projects.propublica.org/nonprofits/search?q=WildAid</x:t>
        </x:is>
      </x:c>
    </x:row>
    <x:row r="451">
      <x:c r="A451" s="12" t="inlineStr">
        <x:is>
          <x:t xml:space="preserve">EXT3-142</x:t>
        </x:is>
      </x:c>
      <x:c r="B451" s="12" t="inlineStr">
        <x:is>
          <x:t xml:space="preserve">Panthera</x:t>
        </x:is>
      </x:c>
      <x:c r="C451" s="12" t="inlineStr">
        <x:is>
          <x:t xml:space="preserve">extension3_frozen</x:t>
        </x:is>
      </x:c>
      <x:c r="D451" s="12" t="inlineStr">
        <x:is>
          <x:t xml:space="preserve">animal welfare and conservation</x:t>
        </x:is>
      </x:c>
      <x:c r="E451" s="12" t="inlineStr">
        <x:is>
          <x:t xml:space="preserve">EA-adjacent</x:t>
        </x:is>
      </x:c>
      <x:c r="F451" s="12" t="inlineStr">
        <x:is>
          <x:t xml:space="preserve">independent nonprofit</x:t>
        </x:is>
      </x:c>
      <x:c r="G451" s="12" t="inlineStr">
        <x:is>
          <x:t xml:space="preserve">no</x:t>
        </x:is>
      </x:c>
      <x:c r="H451" s="12" t="inlineStr">
        <x:is>
          <x:t xml:space="preserve">frozen_candidate_not_selected</x:t>
        </x:is>
      </x:c>
      <x:c r="I451" s="12" t="inlineStr">
        <x:is>
          <x:t xml:space="preserve">not selected</x:t>
        </x:is>
      </x:c>
      <x:c r="J451" s="13" t="inlineStr">
        <x:is>
          <x:t xml:space="preserve">Frozen candidate; not promoted into the 144-organization quantitative reference set during this pass.</x:t>
        </x:is>
      </x:c>
      <x:c r="K451" s="12" t="inlineStr">
        <x:is>
          <x:t xml:space="preserve">not collected</x:t>
        </x:is>
      </x:c>
      <x:c r="L451" s="16" t="inlineStr">
        <x:is>
          <x:t xml:space="preserve">https://projects.propublica.org/nonprofits/search?q=Panthera</x:t>
        </x:is>
      </x:c>
    </x:row>
    <x:row r="452">
      <x:c r="A452" s="12" t="inlineStr">
        <x:is>
          <x:t xml:space="preserve">EXT3-143</x:t>
        </x:is>
      </x:c>
      <x:c r="B452" s="12" t="inlineStr">
        <x:is>
          <x:t xml:space="preserve">International Fund for Animal Welfare</x:t>
        </x:is>
      </x:c>
      <x:c r="C452" s="12" t="inlineStr">
        <x:is>
          <x:t xml:space="preserve">extension3_frozen</x:t>
        </x:is>
      </x:c>
      <x:c r="D452" s="12" t="inlineStr">
        <x:is>
          <x:t xml:space="preserve">animal welfare and conservation</x:t>
        </x:is>
      </x:c>
      <x:c r="E452" s="12" t="inlineStr">
        <x:is>
          <x:t xml:space="preserve">EA-adjacent</x:t>
        </x:is>
      </x:c>
      <x:c r="F452" s="12" t="inlineStr">
        <x:is>
          <x:t xml:space="preserve">independent nonprofit</x:t>
        </x:is>
      </x:c>
      <x:c r="G452" s="12" t="inlineStr">
        <x:is>
          <x:t xml:space="preserve">no</x:t>
        </x:is>
      </x:c>
      <x:c r="H452" s="12" t="inlineStr">
        <x:is>
          <x:t xml:space="preserve">frozen_candidate_not_selected</x:t>
        </x:is>
      </x:c>
      <x:c r="I452" s="12" t="inlineStr">
        <x:is>
          <x:t xml:space="preserve">not selected</x:t>
        </x:is>
      </x:c>
      <x:c r="J452" s="13" t="inlineStr">
        <x:is>
          <x:t xml:space="preserve">Frozen candidate; not promoted into the 144-organization quantitative reference set during this pass.</x:t>
        </x:is>
      </x:c>
      <x:c r="K452" s="12" t="inlineStr">
        <x:is>
          <x:t xml:space="preserve">not collected</x:t>
        </x:is>
      </x:c>
      <x:c r="L452" s="16" t="inlineStr">
        <x:is>
          <x:t xml:space="preserve">https://projects.propublica.org/nonprofits/search?q=International%20Fund%20for%20Animal%20Welfare</x:t>
        </x:is>
      </x:c>
    </x:row>
    <x:row r="453">
      <x:c r="A453" s="12" t="inlineStr">
        <x:is>
          <x:t xml:space="preserve">EXT3-144</x:t>
        </x:is>
      </x:c>
      <x:c r="B453" s="12" t="inlineStr">
        <x:is>
          <x:t xml:space="preserve">Animal Agriculture Reform Collaborative</x:t>
        </x:is>
      </x:c>
      <x:c r="C453" s="12" t="inlineStr">
        <x:is>
          <x:t xml:space="preserve">extension3_frozen</x:t>
        </x:is>
      </x:c>
      <x:c r="D453" s="12" t="inlineStr">
        <x:is>
          <x:t xml:space="preserve">animal welfare and food systems</x:t>
        </x:is>
      </x:c>
      <x:c r="E453" s="12" t="inlineStr">
        <x:is>
          <x:t xml:space="preserve">EA-adjacent</x:t>
        </x:is>
      </x:c>
      <x:c r="F453" s="12" t="inlineStr">
        <x:is>
          <x:t xml:space="preserve">coalition / fiscally sponsored</x:t>
        </x:is>
      </x:c>
      <x:c r="G453" s="12" t="inlineStr">
        <x:is>
          <x:t xml:space="preserve">no</x:t>
        </x:is>
      </x:c>
      <x:c r="H453" s="12" t="inlineStr">
        <x:is>
          <x:t xml:space="preserve">frozen_candidate_not_selected</x:t>
        </x:is>
      </x:c>
      <x:c r="I453" s="12" t="inlineStr">
        <x:is>
          <x:t xml:space="preserve">not selected</x:t>
        </x:is>
      </x:c>
      <x:c r="J453" s="13" t="inlineStr">
        <x:is>
          <x:t xml:space="preserve">Frozen candidate; not promoted into the 144-organization quantitative reference set during this pass.</x:t>
        </x:is>
      </x:c>
      <x:c r="K453" s="12" t="inlineStr">
        <x:is>
          <x:t xml:space="preserve">not collected</x:t>
        </x:is>
      </x:c>
      <x:c r="L453" s="16" t="inlineStr">
        <x:is>
          <x:t xml:space="preserve">https://projects.propublica.org/nonprofits/search?q=Animal%20Agriculture%20Reform%20Collaborative</x:t>
        </x:is>
      </x:c>
    </x:row>
    <x:row r="454">
      <x:c r="A454" s="12" t="inlineStr">
        <x:is>
          <x:t xml:space="preserve">EXT3-145</x:t>
        </x:is>
      </x:c>
      <x:c r="B454" s="12" t="inlineStr">
        <x:is>
          <x:t xml:space="preserve">Center for Food Safety</x:t>
        </x:is>
      </x:c>
      <x:c r="C454" s="12" t="inlineStr">
        <x:is>
          <x:t xml:space="preserve">extension3_frozen</x:t>
        </x:is>
      </x:c>
      <x:c r="D454" s="12" t="inlineStr">
        <x:is>
          <x:t xml:space="preserve">animal welfare and food systems</x:t>
        </x:is>
      </x:c>
      <x:c r="E454" s="12" t="inlineStr">
        <x:is>
          <x:t xml:space="preserve">EA-adjacent</x:t>
        </x:is>
      </x:c>
      <x:c r="F454" s="12" t="inlineStr">
        <x:is>
          <x:t xml:space="preserve">independent nonprofit</x:t>
        </x:is>
      </x:c>
      <x:c r="G454" s="12" t="inlineStr">
        <x:is>
          <x:t xml:space="preserve">no</x:t>
        </x:is>
      </x:c>
      <x:c r="H454" s="12" t="inlineStr">
        <x:is>
          <x:t xml:space="preserve">frozen_candidate_not_selected</x:t>
        </x:is>
      </x:c>
      <x:c r="I454" s="12" t="inlineStr">
        <x:is>
          <x:t xml:space="preserve">not selected</x:t>
        </x:is>
      </x:c>
      <x:c r="J454" s="13" t="inlineStr">
        <x:is>
          <x:t xml:space="preserve">Frozen candidate; not promoted into the 144-organization quantitative reference set during this pass.</x:t>
        </x:is>
      </x:c>
      <x:c r="K454" s="12" t="inlineStr">
        <x:is>
          <x:t xml:space="preserve">not collected</x:t>
        </x:is>
      </x:c>
      <x:c r="L454" s="16" t="inlineStr">
        <x:is>
          <x:t xml:space="preserve">https://projects.propublica.org/nonprofits/search?q=Center%20for%20Food%20Safety</x:t>
        </x:is>
      </x:c>
    </x:row>
    <x:row r="455">
      <x:c r="A455" s="12" t="inlineStr">
        <x:is>
          <x:t xml:space="preserve">LEGACY-001</x:t>
        </x:is>
      </x:c>
      <x:c r="B455" s="12" t="inlineStr">
        <x:is>
          <x:t xml:space="preserve">Niskanen Center</x:t>
        </x:is>
      </x:c>
      <x:c r="C455" s="12" t="inlineStr">
        <x:is>
          <x:t xml:space="preserve">original_frozen_legacy_bridge</x:t>
        </x:is>
      </x:c>
      <x:c r="D455" s="13" t="inlineStr">
        <x:is>
          <x:t xml:space="preserve">Research, evaluation, philanthropy infrastructure, and policy</x:t>
        </x:is>
      </x:c>
      <x:c r="E455" s="12" t="inlineStr">
        <x:is>
          <x:t xml:space="preserve">functional-only</x:t>
        </x:is>
      </x:c>
      <x:c r="F455" s="12" t="inlineStr">
        <x:is>
          <x:t xml:space="preserve">independent nonprofit</x:t>
        </x:is>
      </x:c>
      <x:c r="G455" s="12" t="inlineStr">
        <x:is>
          <x:t xml:space="preserve">no</x:t>
        </x:is>
      </x:c>
      <x:c r="H455" s="12" t="inlineStr">
        <x:is>
          <x:t xml:space="preserve">included</x:t>
        </x:is>
      </x:c>
      <x:c r="I455" s="12" t="inlineStr">
        <x:is>
          <x:t xml:space="preserve">Tier A</x:t>
        </x:is>
      </x:c>
      <x:c r="J455" s="13" t="inlineStr">
        <x:is>
          <x:t xml:space="preserve">Selected under frozen function/scale/EA/structure rules; compensation did not determine selection.</x:t>
        </x:is>
      </x:c>
      <x:c r="K455" s="12" t="inlineStr">
        <x:is>
          <x:t xml:space="preserve">primary</x:t>
        </x:is>
      </x:c>
      <x:c r="L455" s="17" t="n"/>
    </x:row>
    <x:row r="456">
      <x:c r="A456" s="12" t="inlineStr">
        <x:is>
          <x:t xml:space="preserve">LEGACY-002</x:t>
        </x:is>
      </x:c>
      <x:c r="B456" s="12" t="inlineStr">
        <x:is>
          <x:t xml:space="preserve">Results for America</x:t>
        </x:is>
      </x:c>
      <x:c r="C456" s="12" t="inlineStr">
        <x:is>
          <x:t xml:space="preserve">original_frozen_legacy_bridge</x:t>
        </x:is>
      </x:c>
      <x:c r="D456" s="13" t="inlineStr">
        <x:is>
          <x:t xml:space="preserve">Research, evaluation, philanthropy infrastructure, and policy</x:t>
        </x:is>
      </x:c>
      <x:c r="E456" s="12" t="inlineStr">
        <x:is>
          <x:t xml:space="preserve">functional-only</x:t>
        </x:is>
      </x:c>
      <x:c r="F456" s="12" t="inlineStr">
        <x:is>
          <x:t xml:space="preserve">independent nonprofit</x:t>
        </x:is>
      </x:c>
      <x:c r="G456" s="12" t="inlineStr">
        <x:is>
          <x:t xml:space="preserve">no</x:t>
        </x:is>
      </x:c>
      <x:c r="H456" s="12" t="inlineStr">
        <x:is>
          <x:t xml:space="preserve">included</x:t>
        </x:is>
      </x:c>
      <x:c r="I456" s="12" t="inlineStr">
        <x:is>
          <x:t xml:space="preserve">Tier B</x:t>
        </x:is>
      </x:c>
      <x:c r="J456" s="13" t="inlineStr">
        <x:is>
          <x:t xml:space="preserve">Selected under frozen function/scale/EA/structure rules; compensation did not determine selection.</x:t>
        </x:is>
      </x:c>
      <x:c r="K456" s="12" t="inlineStr">
        <x:is>
          <x:t xml:space="preserve">primary</x:t>
        </x:is>
      </x:c>
      <x:c r="L456" s="17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48" customWidth="1"/>
    <x:col min="3" max="3" width="39" customWidth="1"/>
    <x:col min="4" max="4" width="48" customWidth="1"/>
    <x:col min="5" max="5" width="48" customWidth="1"/>
    <x:col min="6" max="6" width="27" customWidth="1"/>
    <x:col min="7" max="7" width="48" customWidth="1"/>
    <x:col min="8" max="8" width="30" customWidth="1"/>
    <x:col min="9" max="9" width="13" customWidth="1"/>
    <x:col min="10" max="10" width="48" customWidth="1"/>
    <x:col min="11" max="11" width="26" customWidth="1"/>
    <x:col min="12" max="12" width="17" customWidth="1"/>
    <x:col min="13" max="13" width="20" customWidth="1"/>
    <x:col min="14" max="14" width="36" customWidth="1"/>
    <x:col min="15" max="15" width="48" customWidth="1"/>
    <x:col min="16" max="16" width="48" customWidth="1"/>
    <x:col min="17" max="17" width="48" customWidth="1"/>
  </x:cols>
  <x:sheetData>
    <x:row r="1" ht="28" customHeight="1">
      <x:c r="A1" s="1" t="inlineStr">
        <x:is>
          <x:t xml:space="preserve">Source Manifest</x:t>
        </x:is>
      </x:c>
    </x:row>
    <x:row r="2" ht="28" customHeight="1">
      <x:c r="A2" s="2" t="inlineStr">
        <x:is>
          <x:t xml:space="preserve">Original/resolved URLs, local archive paths, byte lengths, SHA-256 hashes, filing identifiers, and validation notes</x:t>
        </x:is>
      </x:c>
    </x:row>
    <x:row r="3"/>
    <x:row r="4" ht="30" customHeight="1">
      <x:c r="A4" s="3" t="inlineStr">
        <x:is>
          <x:t xml:space="preserve">source_id</x:t>
        </x:is>
      </x:c>
      <x:c r="B4" s="3" t="inlineStr">
        <x:is>
          <x:t xml:space="preserve">organization</x:t>
        </x:is>
      </x:c>
      <x:c r="C4" s="3" t="inlineStr">
        <x:is>
          <x:t xml:space="preserve">document_type</x:t>
        </x:is>
      </x:c>
      <x:c r="D4" s="3" t="inlineStr">
        <x:is>
          <x:t xml:space="preserve">original_url</x:t>
        </x:is>
      </x:c>
      <x:c r="E4" s="3" t="inlineStr">
        <x:is>
          <x:t xml:space="preserve">resolved_url</x:t>
        </x:is>
      </x:c>
      <x:c r="F4" s="3" t="inlineStr">
        <x:is>
          <x:t xml:space="preserve">retrieval_timestamp</x:t>
        </x:is>
      </x:c>
      <x:c r="G4" s="3" t="inlineStr">
        <x:is>
          <x:t xml:space="preserve">local_archive_path</x:t>
        </x:is>
      </x:c>
      <x:c r="H4" s="3" t="inlineStr">
        <x:is>
          <x:t xml:space="preserve">mime_type</x:t>
        </x:is>
      </x:c>
      <x:c r="I4" s="3" t="inlineStr">
        <x:is>
          <x:t xml:space="preserve">byte_length</x:t>
        </x:is>
      </x:c>
      <x:c r="J4" s="3" t="inlineStr">
        <x:is>
          <x:t xml:space="preserve">sha256</x:t>
        </x:is>
      </x:c>
      <x:c r="K4" s="3" t="inlineStr">
        <x:is>
          <x:t xml:space="preserve">tax_period</x:t>
        </x:is>
      </x:c>
      <x:c r="L4" s="3" t="inlineStr">
        <x:is>
          <x:t xml:space="preserve">ein</x:t>
        </x:is>
      </x:c>
      <x:c r="M4" s="3" t="inlineStr">
        <x:is>
          <x:t xml:space="preserve">irs_object_id</x:t>
        </x:is>
      </x:c>
      <x:c r="N4" s="3" t="inlineStr">
        <x:is>
          <x:t xml:space="preserve">provenance_class</x:t>
        </x:is>
      </x:c>
      <x:c r="O4" s="3" t="inlineStr">
        <x:is>
          <x:t xml:space="preserve">upstream_provenance</x:t>
        </x:is>
      </x:c>
      <x:c r="P4" s="3" t="inlineStr">
        <x:is>
          <x:t xml:space="preserve">extraction_location</x:t>
        </x:is>
      </x:c>
      <x:c r="Q4" s="3" t="inlineStr">
        <x:is>
          <x:t xml:space="preserve">validation_notes</x:t>
        </x:is>
      </x:c>
    </x:row>
    <x:row r="5">
      <x:c r="A5" s="12" t="inlineStr">
        <x:is>
          <x:t xml:space="preserve">SRC-AD-ALLCHICAGO</x:t>
        </x:is>
      </x:c>
      <x:c r="B5" s="12" t="inlineStr">
        <x:is>
          <x:t xml:space="preserve">All Chicago Making Homelessness History</x:t>
        </x:is>
      </x:c>
      <x:c r="C5" s="12" t="inlineStr">
        <x:is>
          <x:t xml:space="preserve">CEO/ED recruitment advertisement</x:t>
        </x:is>
      </x:c>
      <x:c r="D5" s="17" t="inlineStr">
        <x:is>
          <x:t xml:space="preserve">https://allchicago.org/</x:t>
        </x:is>
      </x:c>
      <x:c r="E5" s="17" t="inlineStr">
        <x:is>
          <x:t xml:space="preserve">https://allchicago.org/</x:t>
        </x:is>
      </x:c>
      <x:c r="F5" s="12" t="inlineStr">
        <x:is>
          <x:t xml:space="preserve">2026-08-17T18:45:00-07:00</x:t>
        </x:is>
      </x:c>
      <x:c r="G5" s="17" t="inlineStr">
        <x:is>
          <x:t xml:space="preserve">sources/raw/src-ad-allchicago.txt</x:t>
        </x:is>
      </x:c>
      <x:c r="H5" s="12" t="inlineStr">
        <x:is>
          <x:t xml:space="preserve">text/plain; charset=utf-8</x:t>
        </x:is>
      </x:c>
      <x:c r="I5" s="12" t="n">
        <x:v>1172</x:v>
      </x:c>
      <x:c r="J5" s="13" t="inlineStr">
        <x:is>
          <x:t xml:space="preserve">f794b1f8eee006475dc110f9543d41c193a9e88a348e599f41f49f57b20b1832</x:t>
        </x:is>
      </x:c>
      <x:c r="K5" s="12" t="n"/>
      <x:c r="L5" s="12" t="n"/>
      <x:c r="M5" s="12" t="n"/>
      <x:c r="N5" s="12" t="inlineStr">
        <x:is>
          <x:t xml:space="preserve">derivative</x:t>
        </x:is>
      </x:c>
      <x:c r="O5" s="12" t="inlineStr">
        <x:is>
          <x:t xml:space="preserve">discovery result</x:t>
        </x:is>
      </x:c>
      <x:c r="P5" s="12" t="inlineStr">
        <x:is>
          <x:t xml:space="preserve">discovery search; full source not retained</x:t>
        </x:is>
      </x:c>
      <x:c r="Q5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6">
      <x:c r="A6" s="12" t="inlineStr">
        <x:is>
          <x:t xml:space="preserve">SRC-AD-ANDYHILL-2026</x:t>
        </x:is>
      </x:c>
      <x:c r="B6" s="13" t="inlineStr">
        <x:is>
          <x:t xml:space="preserve">Andy Hill Cancer Research Endowment (CARE) Fund</x:t>
        </x:is>
      </x:c>
      <x:c r="C6" s="12" t="inlineStr">
        <x:is>
          <x:t xml:space="preserve">CEO/ED recruitment advertisement</x:t>
        </x:is>
      </x:c>
      <x:c r="D6" s="16" t="inlineStr">
        <x:is>
          <x:t xml:space="preserve">https://careers.councilofnonprofits.org/jobs/executive-director-in-bothell-washington-us/</x:t>
        </x:is>
      </x:c>
      <x:c r="E6" s="16" t="inlineStr">
        <x:is>
          <x:t xml:space="preserve">https://careers.councilofnonprofits.org/jobs/executive-director-in-bothell-washington-us/</x:t>
        </x:is>
      </x:c>
      <x:c r="F6" s="12" t="inlineStr">
        <x:is>
          <x:t xml:space="preserve">2026-08-25T16:45:00-0700</x:t>
        </x:is>
      </x:c>
      <x:c r="G6" s="17" t="inlineStr">
        <x:is>
          <x:t xml:space="preserve">sources/raw/src-ad-andyhill-2026.txt</x:t>
        </x:is>
      </x:c>
      <x:c r="H6" s="12" t="inlineStr">
        <x:is>
          <x:t xml:space="preserve">text/plain; charset=utf-8</x:t>
        </x:is>
      </x:c>
      <x:c r="I6" s="12" t="n">
        <x:v>2064</x:v>
      </x:c>
      <x:c r="J6" s="13" t="inlineStr">
        <x:is>
          <x:t xml:space="preserve">28c8d619e349408d7c3afe0383b2a4f6e13e29b2877f81eeaffed96280c358cc</x:t>
        </x:is>
      </x:c>
      <x:c r="K6" s="12" t="n"/>
      <x:c r="L6" s="12" t="n"/>
      <x:c r="M6" s="12" t="n"/>
      <x:c r="N6" s="12" t="inlineStr">
        <x:is>
          <x:t xml:space="preserve">derivative</x:t>
        </x:is>
      </x:c>
      <x:c r="O6" s="13" t="inlineStr">
        <x:is>
          <x:t xml:space="preserve">source-native nonprofit job board cached rendering</x:t>
        </x:is>
      </x:c>
      <x:c r="P6" s="12" t="inlineStr">
        <x:is>
          <x:t xml:space="preserve">turn341398search1; turn118965search8</x:t>
        </x:is>
      </x:c>
      <x:c r="Q6" s="13" t="inlineStr">
        <x:is>
          <x:t xml:space="preserve">Full job-board content was available in search cache but the live page later redirected after expiry; cached facts and original URL preserved.</x:t>
        </x:is>
      </x:c>
    </x:row>
    <x:row r="7">
      <x:c r="A7" s="12" t="inlineStr">
        <x:is>
          <x:t xml:space="preserve">SRC-AD-APPLESEED-2026</x:t>
        </x:is>
      </x:c>
      <x:c r="B7" s="12" t="inlineStr">
        <x:is>
          <x:t xml:space="preserve">Appleseed Foundation</x:t>
        </x:is>
      </x:c>
      <x:c r="C7" s="12" t="inlineStr">
        <x:is>
          <x:t xml:space="preserve">CEO/ED recruitment advertisement</x:t>
        </x:is>
      </x:c>
      <x:c r="D7" s="16" t="inlineStr">
        <x:is>
          <x:t xml:space="preserve">https://remoteimpact.org/jobs/executive-director-appleseed-foundation/</x:t>
        </x:is>
      </x:c>
      <x:c r="E7" s="16" t="inlineStr">
        <x:is>
          <x:t xml:space="preserve">https://remoteimpact.org/jobs/executive-director-appleseed-foundation/</x:t>
        </x:is>
      </x:c>
      <x:c r="F7" s="12" t="inlineStr">
        <x:is>
          <x:t xml:space="preserve">2026-08-25T16:20:00-0700</x:t>
        </x:is>
      </x:c>
      <x:c r="G7" s="17" t="inlineStr">
        <x:is>
          <x:t xml:space="preserve">sources/raw/src-ad-appleseed-2026.txt</x:t>
        </x:is>
      </x:c>
      <x:c r="H7" s="12" t="inlineStr">
        <x:is>
          <x:t xml:space="preserve">text/plain; charset=utf-8</x:t>
        </x:is>
      </x:c>
      <x:c r="I7" s="12" t="n">
        <x:v>1641</x:v>
      </x:c>
      <x:c r="J7" s="13" t="inlineStr">
        <x:is>
          <x:t xml:space="preserve">9b676014c65360b980750736e4caf3a629239136252f52443ce54f83d61fe2b3</x:t>
        </x:is>
      </x:c>
      <x:c r="K7" s="12" t="n"/>
      <x:c r="L7" s="12" t="n"/>
      <x:c r="M7" s="12" t="n"/>
      <x:c r="N7" s="12" t="inlineStr">
        <x:is>
          <x:t xml:space="preserve">derivative</x:t>
        </x:is>
      </x:c>
      <x:c r="O7" s="12" t="inlineStr">
        <x:is>
          <x:t xml:space="preserve">complete third-party copy</x:t>
        </x:is>
      </x:c>
      <x:c r="P7" s="12" t="inlineStr">
        <x:is>
          <x:t xml:space="preserve">turn970460view2 lines 28-81</x:t>
        </x:is>
      </x:c>
      <x:c r="Q7" s="13" t="inlineStr">
        <x:is>
          <x:t xml:space="preserve">Complete mirror; no accessible budget or staff figure.</x:t>
        </x:is>
      </x:c>
    </x:row>
    <x:row r="8">
      <x:c r="A8" s="12" t="inlineStr">
        <x:is>
          <x:t xml:space="preserve">SRC-AD-CSCCE</x:t>
        </x:is>
      </x:c>
      <x:c r="B8" s="13" t="inlineStr">
        <x:is>
          <x:t xml:space="preserve">Center for Scientific Collaboration and Community Engagement</x:t>
        </x:is>
      </x:c>
      <x:c r="C8" s="12" t="inlineStr">
        <x:is>
          <x:t xml:space="preserve">CEO/ED recruitment advertisement</x:t>
        </x:is>
      </x:c>
      <x:c r="D8" s="17" t="inlineStr">
        <x:is>
          <x:t xml:space="preserve">https://www.cscce.org/</x:t>
        </x:is>
      </x:c>
      <x:c r="E8" s="17" t="inlineStr">
        <x:is>
          <x:t xml:space="preserve">https://www.cscce.org/</x:t>
        </x:is>
      </x:c>
      <x:c r="F8" s="12" t="inlineStr">
        <x:is>
          <x:t xml:space="preserve">2026-08-17T18:45:00-07:00</x:t>
        </x:is>
      </x:c>
      <x:c r="G8" s="17" t="inlineStr">
        <x:is>
          <x:t xml:space="preserve">sources/raw/src-ad-cscce.txt</x:t>
        </x:is>
      </x:c>
      <x:c r="H8" s="12" t="inlineStr">
        <x:is>
          <x:t xml:space="preserve">text/plain; charset=utf-8</x:t>
        </x:is>
      </x:c>
      <x:c r="I8" s="12" t="n">
        <x:v>1216</x:v>
      </x:c>
      <x:c r="J8" s="13" t="inlineStr">
        <x:is>
          <x:t xml:space="preserve">001a654d7913e1a3ba2dab1fadb3cc28d8b06f28bdf06b3fdb671713a9e808ab</x:t>
        </x:is>
      </x:c>
      <x:c r="K8" s="12" t="n"/>
      <x:c r="L8" s="12" t="n"/>
      <x:c r="M8" s="12" t="n"/>
      <x:c r="N8" s="12" t="inlineStr">
        <x:is>
          <x:t xml:space="preserve">derivative</x:t>
        </x:is>
      </x:c>
      <x:c r="O8" s="12" t="inlineStr">
        <x:is>
          <x:t xml:space="preserve">discovery result</x:t>
        </x:is>
      </x:c>
      <x:c r="P8" s="12" t="inlineStr">
        <x:is>
          <x:t xml:space="preserve">discovery search; full source not retained</x:t>
        </x:is>
      </x:c>
      <x:c r="Q8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9">
      <x:c r="A9" s="12" t="inlineStr">
        <x:is>
          <x:t xml:space="preserve">SRC-AD-CHAPA-AMBIG</x:t>
        </x:is>
      </x:c>
      <x:c r="B9" s="12" t="inlineStr">
        <x:is>
          <x:t xml:space="preserve">Citizens Housing and Planning Association</x:t>
        </x:is>
      </x:c>
      <x:c r="C9" s="12" t="inlineStr">
        <x:is>
          <x:t xml:space="preserve">CEO/ED recruitment advertisement</x:t>
        </x:is>
      </x:c>
      <x:c r="D9" s="16" t="inlineStr">
        <x:is>
          <x:t xml:space="preserve">https://commonwealthbeacon.org/job/citizens-housing-and-planning-association-boston-full-time-chief-executive-officer/</x:t>
        </x:is>
      </x:c>
      <x:c r="E9" s="16" t="inlineStr">
        <x:is>
          <x:t xml:space="preserve">https://commonwealthbeacon.org/job/citizens-housing-and-planning-association-boston-full-time-chief-executive-officer/</x:t>
        </x:is>
      </x:c>
      <x:c r="F9" s="12" t="inlineStr">
        <x:is>
          <x:t xml:space="preserve">2026-08-25T16:20:00-0700</x:t>
        </x:is>
      </x:c>
      <x:c r="G9" s="17" t="inlineStr">
        <x:is>
          <x:t xml:space="preserve">sources/raw/src-ad-chapa-ambiguous.txt</x:t>
        </x:is>
      </x:c>
      <x:c r="H9" s="12" t="inlineStr">
        <x:is>
          <x:t xml:space="preserve">text/plain; charset=utf-8</x:t>
        </x:is>
      </x:c>
      <x:c r="I9" s="12" t="n">
        <x:v>1990</x:v>
      </x:c>
      <x:c r="J9" s="13" t="inlineStr">
        <x:is>
          <x:t xml:space="preserve">ee9bd5a2d4a3d3d8d878ce4d01a5f3651929105904be186153ddf2afae9841e9</x:t>
        </x:is>
      </x:c>
      <x:c r="K9" s="12" t="n"/>
      <x:c r="L9" s="12" t="n"/>
      <x:c r="M9" s="12" t="n"/>
      <x:c r="N9" s="12" t="inlineStr">
        <x:is>
          <x:t xml:space="preserve">derivative</x:t>
        </x:is>
      </x:c>
      <x:c r="O9" s="12" t="inlineStr">
        <x:is>
          <x:t xml:space="preserve">complete third-party copy</x:t>
        </x:is>
      </x:c>
      <x:c r="P9" s="13" t="inlineStr">
        <x:is>
          <x:t xml:space="preserve">turn542118view0 lines 137-150; turn542118view2 lines 261-271</x:t>
        </x:is>
      </x:c>
      <x:c r="Q9" s="13" t="inlineStr">
        <x:is>
          <x:t xml:space="preserve">Page published February 2026, but process says February-April 2025 interviews and May 2025 start.</x:t>
        </x:is>
      </x:c>
    </x:row>
    <x:row r="10">
      <x:c r="A10" s="12" t="inlineStr">
        <x:is>
          <x:t xml:space="preserve">SRC-AD-CETI</x:t>
        </x:is>
      </x:c>
      <x:c r="B10" s="12" t="inlineStr">
        <x:is>
          <x:t xml:space="preserve">Clean Energy Transition Institute</x:t>
        </x:is>
      </x:c>
      <x:c r="C10" s="12" t="inlineStr">
        <x:is>
          <x:t xml:space="preserve">CEO/ED recruitment advertisement</x:t>
        </x:is>
      </x:c>
      <x:c r="D10" s="17" t="inlineStr">
        <x:is>
          <x:t xml:space="preserve">https://www.cleanenergytransition.org/</x:t>
        </x:is>
      </x:c>
      <x:c r="E10" s="17" t="inlineStr">
        <x:is>
          <x:t xml:space="preserve">https://www.cleanenergytransition.org/</x:t>
        </x:is>
      </x:c>
      <x:c r="F10" s="12" t="inlineStr">
        <x:is>
          <x:t xml:space="preserve">2026-08-17T18:45:00-07:00</x:t>
        </x:is>
      </x:c>
      <x:c r="G10" s="17" t="inlineStr">
        <x:is>
          <x:t xml:space="preserve">sources/raw/src-ad-ceti.txt</x:t>
        </x:is>
      </x:c>
      <x:c r="H10" s="12" t="inlineStr">
        <x:is>
          <x:t xml:space="preserve">text/plain; charset=utf-8</x:t>
        </x:is>
      </x:c>
      <x:c r="I10" s="12" t="n">
        <x:v>1165</x:v>
      </x:c>
      <x:c r="J10" s="13" t="inlineStr">
        <x:is>
          <x:t xml:space="preserve">7ba69f8146c672180f797b517db7ca01ad37d6b4e7aa64d6b6a956bd80e1ed70</x:t>
        </x:is>
      </x:c>
      <x:c r="K10" s="12" t="n"/>
      <x:c r="L10" s="12" t="n"/>
      <x:c r="M10" s="12" t="n"/>
      <x:c r="N10" s="12" t="inlineStr">
        <x:is>
          <x:t xml:space="preserve">derivative</x:t>
        </x:is>
      </x:c>
      <x:c r="O10" s="12" t="inlineStr">
        <x:is>
          <x:t xml:space="preserve">discovery result</x:t>
        </x:is>
      </x:c>
      <x:c r="P10" s="12" t="inlineStr">
        <x:is>
          <x:t xml:space="preserve">discovery search; full source not retained</x:t>
        </x:is>
      </x:c>
      <x:c r="Q10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1">
      <x:c r="A11" s="12" t="inlineStr">
        <x:is>
          <x:t xml:space="preserve">SRC-AD-CFL-2026</x:t>
        </x:is>
      </x:c>
      <x:c r="B11" s="12" t="inlineStr">
        <x:is>
          <x:t xml:space="preserve">Community Foundation of Louisville</x:t>
        </x:is>
      </x:c>
      <x:c r="C11" s="12" t="inlineStr">
        <x:is>
          <x:t xml:space="preserve">CEO/ED recruitment advertisement</x:t>
        </x:is>
      </x:c>
      <x:c r="D11" s="17" t="inlineStr">
        <x:is>
          <x:t xml:space="preserve">https://pac.org/job/chief-executive-officer-4</x:t>
        </x:is>
      </x:c>
      <x:c r="E11" s="17" t="inlineStr">
        <x:is>
          <x:t xml:space="preserve">https://pac.org/job/chief-executive-officer-4</x:t>
        </x:is>
      </x:c>
      <x:c r="F11" s="12" t="inlineStr">
        <x:is>
          <x:t xml:space="preserve">2026-08-25T16:20:00-0700</x:t>
        </x:is>
      </x:c>
      <x:c r="G11" s="17" t="inlineStr">
        <x:is>
          <x:t xml:space="preserve">sources/raw/src-ad-cfl-2026.txt</x:t>
        </x:is>
      </x:c>
      <x:c r="H11" s="12" t="inlineStr">
        <x:is>
          <x:t xml:space="preserve">text/plain; charset=utf-8</x:t>
        </x:is>
      </x:c>
      <x:c r="I11" s="12" t="n">
        <x:v>1478</x:v>
      </x:c>
      <x:c r="J11" s="13" t="inlineStr">
        <x:is>
          <x:t xml:space="preserve">a26748a65d80997423bcefb3cf1d2ad5f7ae6bf1216297903a489b744c11c9d5</x:t>
        </x:is>
      </x:c>
      <x:c r="K11" s="12" t="n"/>
      <x:c r="L11" s="12" t="n"/>
      <x:c r="M11" s="12" t="n"/>
      <x:c r="N11" s="12" t="inlineStr">
        <x:is>
          <x:t xml:space="preserve">derivative</x:t>
        </x:is>
      </x:c>
      <x:c r="O11" s="12" t="inlineStr">
        <x:is>
          <x:t xml:space="preserve">recruiter complete copy</x:t>
        </x:is>
      </x:c>
      <x:c r="P11" s="12" t="inlineStr">
        <x:is>
          <x:t xml:space="preserve">turn562106view0 lines 46-60, 72-118</x:t>
        </x:is>
      </x:c>
      <x:c r="Q11" s="12" t="inlineStr">
        <x:is>
          <x:t xml:space="preserve">Complete posting.</x:t>
        </x:is>
      </x:c>
    </x:row>
    <x:row r="12">
      <x:c r="A12" s="12" t="inlineStr">
        <x:is>
          <x:t xml:space="preserve">SRC-AD-DRW</x:t>
        </x:is>
      </x:c>
      <x:c r="B12" s="12" t="inlineStr">
        <x:is>
          <x:t xml:space="preserve">Disability Rights Washington</x:t>
        </x:is>
      </x:c>
      <x:c r="C12" s="12" t="inlineStr">
        <x:is>
          <x:t xml:space="preserve">CEO/ED recruitment advertisement</x:t>
        </x:is>
      </x:c>
      <x:c r="D12" s="17" t="inlineStr">
        <x:is>
          <x:t xml:space="preserve">https://www.disabilityrightswa.org/</x:t>
        </x:is>
      </x:c>
      <x:c r="E12" s="17" t="inlineStr">
        <x:is>
          <x:t xml:space="preserve">https://www.disabilityrightswa.org/</x:t>
        </x:is>
      </x:c>
      <x:c r="F12" s="12" t="inlineStr">
        <x:is>
          <x:t xml:space="preserve">2026-08-17T18:45:00-07:00</x:t>
        </x:is>
      </x:c>
      <x:c r="G12" s="17" t="inlineStr">
        <x:is>
          <x:t xml:space="preserve">sources/raw/src-ad-drw.txt</x:t>
        </x:is>
      </x:c>
      <x:c r="H12" s="12" t="inlineStr">
        <x:is>
          <x:t xml:space="preserve">text/plain; charset=utf-8</x:t>
        </x:is>
      </x:c>
      <x:c r="I12" s="12" t="n">
        <x:v>1155</x:v>
      </x:c>
      <x:c r="J12" s="13" t="inlineStr">
        <x:is>
          <x:t xml:space="preserve">06621b6ff105d0b0a07d79dbd19735d3bf533910e0f554c54d5d78cd9961ac41</x:t>
        </x:is>
      </x:c>
      <x:c r="K12" s="12" t="n"/>
      <x:c r="L12" s="12" t="n"/>
      <x:c r="M12" s="12" t="n"/>
      <x:c r="N12" s="12" t="inlineStr">
        <x:is>
          <x:t xml:space="preserve">derivative</x:t>
        </x:is>
      </x:c>
      <x:c r="O12" s="12" t="inlineStr">
        <x:is>
          <x:t xml:space="preserve">discovery result</x:t>
        </x:is>
      </x:c>
      <x:c r="P12" s="12" t="inlineStr">
        <x:is>
          <x:t xml:space="preserve">discovery search; full source not retained</x:t>
        </x:is>
      </x:c>
      <x:c r="Q1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3">
      <x:c r="A13" s="12" t="inlineStr">
        <x:is>
          <x:t xml:space="preserve">SRC-AD-DREAM-2026</x:t>
        </x:is>
      </x:c>
      <x:c r="B13" s="12" t="inlineStr">
        <x:is>
          <x:t xml:space="preserve">Dream.Org</x:t>
        </x:is>
      </x:c>
      <x:c r="C13" s="12" t="inlineStr">
        <x:is>
          <x:t xml:space="preserve">CEO/ED recruitment advertisement</x:t>
        </x:is>
      </x:c>
      <x:c r="D13" s="16" t="inlineStr">
        <x:is>
          <x:t xml:space="preserve">https://www.nonprofitoperations.com/job-submissions/chief-executive-officer-/dream.org-</x:t>
        </x:is>
      </x:c>
      <x:c r="E13" s="16" t="inlineStr">
        <x:is>
          <x:t xml:space="preserve">https://www.nonprofitoperations.com/job-submissions/chief-executive-officer-/dream.org-</x:t>
        </x:is>
      </x:c>
      <x:c r="F13" s="12" t="inlineStr">
        <x:is>
          <x:t xml:space="preserve">2026-08-25T16:20:00-0700</x:t>
        </x:is>
      </x:c>
      <x:c r="G13" s="17" t="inlineStr">
        <x:is>
          <x:t xml:space="preserve">sources/raw/src-ad-dream-2026.txt</x:t>
        </x:is>
      </x:c>
      <x:c r="H13" s="12" t="inlineStr">
        <x:is>
          <x:t xml:space="preserve">text/plain; charset=utf-8</x:t>
        </x:is>
      </x:c>
      <x:c r="I13" s="12" t="n">
        <x:v>1753</x:v>
      </x:c>
      <x:c r="J13" s="13" t="inlineStr">
        <x:is>
          <x:t xml:space="preserve">077173888ba4b55629b6b6bc3f4900f444881d67f70be8ec15ae65861f79ac95</x:t>
        </x:is>
      </x:c>
      <x:c r="K13" s="12" t="n"/>
      <x:c r="L13" s="12" t="n"/>
      <x:c r="M13" s="12" t="n"/>
      <x:c r="N13" s="12" t="inlineStr">
        <x:is>
          <x:t xml:space="preserve">derivative</x:t>
        </x:is>
      </x:c>
      <x:c r="O13" s="12" t="inlineStr">
        <x:is>
          <x:t xml:space="preserve">recruiter/job-board complete copy</x:t>
        </x:is>
      </x:c>
      <x:c r="P13" s="12" t="inlineStr">
        <x:is>
          <x:t xml:space="preserve">turn970460view1 lines 18-63, 76-115, 181-195</x:t>
        </x:is>
      </x:c>
      <x:c r="Q13" s="13" t="inlineStr">
        <x:is>
          <x:t xml:space="preserve">Detailed body range controls over conflicting header range; conflict retained.</x:t>
        </x:is>
      </x:c>
    </x:row>
    <x:row r="14">
      <x:c r="A14" s="12" t="inlineStr">
        <x:is>
          <x:t xml:space="preserve">SRC-AD-ELP-2026</x:t>
        </x:is>
      </x:c>
      <x:c r="B14" s="12" t="inlineStr">
        <x:is>
          <x:t xml:space="preserve">Environmental Leadership Program</x:t>
        </x:is>
      </x:c>
      <x:c r="C14" s="12" t="inlineStr">
        <x:is>
          <x:t xml:space="preserve">CEO/ED recruitment advertisement</x:t>
        </x:is>
      </x:c>
      <x:c r="D14" s="16" t="inlineStr">
        <x:is>
          <x:t xml:space="preserve">https://elpnet.org/executive-director-position</x:t>
        </x:is>
      </x:c>
      <x:c r="E14" s="16" t="inlineStr">
        <x:is>
          <x:t xml:space="preserve">https://elpnet.org/executive-director-position</x:t>
        </x:is>
      </x:c>
      <x:c r="F14" s="12" t="inlineStr">
        <x:is>
          <x:t xml:space="preserve">2026-08-17T18:45:00-07:00</x:t>
        </x:is>
      </x:c>
      <x:c r="G14" s="17" t="inlineStr">
        <x:is>
          <x:t xml:space="preserve">sources/raw/src-ad-elp-2026.txt</x:t>
        </x:is>
      </x:c>
      <x:c r="H14" s="12" t="inlineStr">
        <x:is>
          <x:t xml:space="preserve">text/plain; charset=utf-8</x:t>
        </x:is>
      </x:c>
      <x:c r="I14" s="12" t="n">
        <x:v>1220</x:v>
      </x:c>
      <x:c r="J14" s="13" t="inlineStr">
        <x:is>
          <x:t xml:space="preserve">9662986218fbc143eaf4ee6489ab943b0b60d32a6518c6b88375288ede6c9c7f</x:t>
        </x:is>
      </x:c>
      <x:c r="K14" s="12" t="n"/>
      <x:c r="L14" s="12" t="n"/>
      <x:c r="M14" s="12" t="n"/>
      <x:c r="N14" s="12" t="inlineStr">
        <x:is>
          <x:t xml:space="preserve">derivative</x:t>
        </x:is>
      </x:c>
      <x:c r="O14" s="12" t="inlineStr">
        <x:is>
          <x:t xml:space="preserve">discovery result</x:t>
        </x:is>
      </x:c>
      <x:c r="P14" s="12" t="inlineStr">
        <x:is>
          <x:t xml:space="preserve">turn663171search0</x:t>
        </x:is>
      </x:c>
      <x:c r="Q14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5">
      <x:c r="A15" s="12" t="inlineStr">
        <x:is>
          <x:t xml:space="preserve">SRC-AD-FFIS-2026</x:t>
        </x:is>
      </x:c>
      <x:c r="B15" s="12" t="inlineStr">
        <x:is>
          <x:t xml:space="preserve">Federal Funds Information for States</x:t>
        </x:is>
      </x:c>
      <x:c r="C15" s="12" t="inlineStr">
        <x:is>
          <x:t xml:space="preserve">CEO/ED recruitment advertisement</x:t>
        </x:is>
      </x:c>
      <x:c r="D15" s="16" t="inlineStr">
        <x:is>
          <x:t xml:space="preserve">https://recruiting.paylocity.com/recruiting/jobs/Details/4336561/Federal-Funds-Information-for-States-Inc/Executive-Director-and-Executive-Editor</x:t>
        </x:is>
      </x:c>
      <x:c r="E15" s="17" t="inlineStr">
        <x:is>
          <x:t xml:space="preserve">https://ffis.org/jobs/</x:t>
        </x:is>
      </x:c>
      <x:c r="F15" s="12" t="inlineStr">
        <x:is>
          <x:t xml:space="preserve">2026-08-17T18:45:00-07:00</x:t>
        </x:is>
      </x:c>
      <x:c r="G15" s="17" t="inlineStr">
        <x:is>
          <x:t xml:space="preserve">sources/raw/src-ad-ffis-2026.txt</x:t>
        </x:is>
      </x:c>
      <x:c r="H15" s="12" t="inlineStr">
        <x:is>
          <x:t xml:space="preserve">text/plain; charset=utf-8</x:t>
        </x:is>
      </x:c>
      <x:c r="I15" s="12" t="n">
        <x:v>1413</x:v>
      </x:c>
      <x:c r="J15" s="13" t="inlineStr">
        <x:is>
          <x:t xml:space="preserve">dd3f7b3d11e715dc4ce2ffe344ba1b8147f5d8746f73d6328d5c4878ba882705</x:t>
        </x:is>
      </x:c>
      <x:c r="K15" s="12" t="n"/>
      <x:c r="L15" s="12" t="n"/>
      <x:c r="M15" s="12" t="n"/>
      <x:c r="N15" s="12" t="inlineStr">
        <x:is>
          <x:t xml:space="preserve">derivative</x:t>
        </x:is>
      </x:c>
      <x:c r="O15" s="12" t="inlineStr">
        <x:is>
          <x:t xml:space="preserve">employer plus source-native ATS copy</x:t>
        </x:is>
      </x:c>
      <x:c r="P15" s="13" t="inlineStr">
        <x:is>
          <x:t xml:space="preserve">turn955421search3; turn955421search6; turn220517view3 L0-L4</x:t>
        </x:is>
      </x:c>
      <x:c r="Q15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6">
      <x:c r="A16" s="12" t="inlineStr">
        <x:is>
          <x:t xml:space="preserve">SRC-AD-GBWN-2026</x:t>
        </x:is>
      </x:c>
      <x:c r="B16" s="12" t="inlineStr">
        <x:is>
          <x:t xml:space="preserve">Great Basin Water Network</x:t>
        </x:is>
      </x:c>
      <x:c r="C16" s="12" t="inlineStr">
        <x:is>
          <x:t xml:space="preserve">CEO/ED recruitment advertisement</x:t>
        </x:is>
      </x:c>
      <x:c r="D16" s="16" t="inlineStr">
        <x:is>
          <x:t xml:space="preserve">https://careers.councilofnonprofits.org/jobs/executive-director-in-reno-nevada-us/</x:t>
        </x:is>
      </x:c>
      <x:c r="E16" s="16" t="inlineStr">
        <x:is>
          <x:t xml:space="preserve">https://careers.councilofnonprofits.org/jobs/executive-director-in-reno-nevada-us/</x:t>
        </x:is>
      </x:c>
      <x:c r="F16" s="12" t="inlineStr">
        <x:is>
          <x:t xml:space="preserve">2026-08-25T16:45:00-0700</x:t>
        </x:is>
      </x:c>
      <x:c r="G16" s="17" t="inlineStr">
        <x:is>
          <x:t xml:space="preserve">sources/raw/src-ad-gbwn-2026.txt</x:t>
        </x:is>
      </x:c>
      <x:c r="H16" s="12" t="inlineStr">
        <x:is>
          <x:t xml:space="preserve">text/plain; charset=utf-8</x:t>
        </x:is>
      </x:c>
      <x:c r="I16" s="12" t="n">
        <x:v>1978</x:v>
      </x:c>
      <x:c r="J16" s="13" t="inlineStr">
        <x:is>
          <x:t xml:space="preserve">bd21e7071fec4446d1af5e4d2dad9a80f646476cbbe461cd5578e06647f49c9b</x:t>
        </x:is>
      </x:c>
      <x:c r="K16" s="12" t="n"/>
      <x:c r="L16" s="12" t="n"/>
      <x:c r="M16" s="12" t="n"/>
      <x:c r="N16" s="12" t="inlineStr">
        <x:is>
          <x:t xml:space="preserve">derivative</x:t>
        </x:is>
      </x:c>
      <x:c r="O16" s="12" t="inlineStr">
        <x:is>
          <x:t xml:space="preserve">source-native nonprofit job board</x:t>
        </x:is>
      </x:c>
      <x:c r="P16" s="13" t="inlineStr">
        <x:is>
          <x:t xml:space="preserve">turn596223view1 lines 18-45; scale corroboration turn341398search0</x:t>
        </x:is>
      </x:c>
      <x:c r="Q16" s="13" t="inlineStr">
        <x:is>
          <x:t xml:space="preserve">Complete job-board copy. Posting explicitly identifies the ED as the sole full-time employee.</x:t>
        </x:is>
      </x:c>
    </x:row>
    <x:row r="17">
      <x:c r="A17" s="12" t="inlineStr">
        <x:is>
          <x:t xml:space="preserve">SRC-AD-HAGLEY-2026</x:t>
        </x:is>
      </x:c>
      <x:c r="B17" s="12" t="inlineStr">
        <x:is>
          <x:t xml:space="preserve">Hagley Museum and Library</x:t>
        </x:is>
      </x:c>
      <x:c r="C17" s="12" t="inlineStr">
        <x:is>
          <x:t xml:space="preserve">CEO/ED recruitment advertisement</x:t>
        </x:is>
      </x:c>
      <x:c r="D17" s="16" t="inlineStr">
        <x:is>
          <x:t xml:space="preserve">https://www.nonprofitoperations.com/job-submissions/chief-executive-officer-/hagley-museum-and-library-</x:t>
        </x:is>
      </x:c>
      <x:c r="E17" s="16" t="inlineStr">
        <x:is>
          <x:t xml:space="preserve">https://www.nonprofitoperations.com/job-submissions/chief-executive-officer-/hagley-museum-and-library-</x:t>
        </x:is>
      </x:c>
      <x:c r="F17" s="12" t="inlineStr">
        <x:is>
          <x:t xml:space="preserve">2026-08-25T16:20:00-0700</x:t>
        </x:is>
      </x:c>
      <x:c r="G17" s="17" t="inlineStr">
        <x:is>
          <x:t xml:space="preserve">sources/raw/src-ad-hagley-2026.txt</x:t>
        </x:is>
      </x:c>
      <x:c r="H17" s="12" t="inlineStr">
        <x:is>
          <x:t xml:space="preserve">text/plain; charset=utf-8</x:t>
        </x:is>
      </x:c>
      <x:c r="I17" s="12" t="n">
        <x:v>1830</x:v>
      </x:c>
      <x:c r="J17" s="13" t="inlineStr">
        <x:is>
          <x:t xml:space="preserve">cee5c439cb50929b29dcd1414f05552f9c2b60eae8d73d82f2ea2e10dac6e30f</x:t>
        </x:is>
      </x:c>
      <x:c r="K17" s="12" t="n"/>
      <x:c r="L17" s="12" t="n"/>
      <x:c r="M17" s="12" t="n"/>
      <x:c r="N17" s="12" t="inlineStr">
        <x:is>
          <x:t xml:space="preserve">derivative</x:t>
        </x:is>
      </x:c>
      <x:c r="O17" s="12" t="inlineStr">
        <x:is>
          <x:t xml:space="preserve">recruiter/job-board complete copy</x:t>
        </x:is>
      </x:c>
      <x:c r="P17" s="12" t="inlineStr">
        <x:is>
          <x:t xml:space="preserve">turn562106view1 lines 18-72</x:t>
        </x:is>
      </x:c>
      <x:c r="Q17" s="13" t="inlineStr">
        <x:is>
          <x:t xml:space="preserve">Detailed body range controls over conflicting page header; both retained.</x:t>
        </x:is>
      </x:c>
    </x:row>
    <x:row r="18">
      <x:c r="A18" s="12" t="inlineStr">
        <x:is>
          <x:t xml:space="preserve">SRC-AD-HCAP-2026</x:t>
        </x:is>
      </x:c>
      <x:c r="B18" s="12" t="inlineStr">
        <x:is>
          <x:t xml:space="preserve">Healthcare Career Advancement Program</x:t>
        </x:is>
      </x:c>
      <x:c r="C18" s="12" t="inlineStr">
        <x:is>
          <x:t xml:space="preserve">CEO/ED recruitment advertisement</x:t>
        </x:is>
      </x:c>
      <x:c r="D18" s="16" t="inlineStr">
        <x:is>
          <x:t xml:space="preserve">https://dailyremote.com/remote-job/h-cap-executive-director-4517350</x:t>
        </x:is>
      </x:c>
      <x:c r="E18" s="16" t="inlineStr">
        <x:is>
          <x:t xml:space="preserve">https://dailyremote.com/remote-job/h-cap-executive-director-4517350</x:t>
        </x:is>
      </x:c>
      <x:c r="F18" s="12" t="inlineStr">
        <x:is>
          <x:t xml:space="preserve">2026-08-25T16:20:00-0700</x:t>
        </x:is>
      </x:c>
      <x:c r="G18" s="17" t="inlineStr">
        <x:is>
          <x:t xml:space="preserve">sources/raw/src-ad-hcap-2026.txt</x:t>
        </x:is>
      </x:c>
      <x:c r="H18" s="12" t="inlineStr">
        <x:is>
          <x:t xml:space="preserve">text/plain; charset=utf-8</x:t>
        </x:is>
      </x:c>
      <x:c r="I18" s="12" t="n">
        <x:v>1697</x:v>
      </x:c>
      <x:c r="J18" s="13" t="inlineStr">
        <x:is>
          <x:t xml:space="preserve">3bf648bf40a60d3ec178c207d081fa2353445d5b1c5ad1f6edfb30a031af42ed</x:t>
        </x:is>
      </x:c>
      <x:c r="K18" s="12" t="n"/>
      <x:c r="L18" s="12" t="n"/>
      <x:c r="M18" s="12" t="n"/>
      <x:c r="N18" s="12" t="inlineStr">
        <x:is>
          <x:t xml:space="preserve">derivative</x:t>
        </x:is>
      </x:c>
      <x:c r="O18" s="12" t="inlineStr">
        <x:is>
          <x:t xml:space="preserve">complete third-party copy</x:t>
        </x:is>
      </x:c>
      <x:c r="P18" s="13" t="inlineStr">
        <x:is>
          <x:t xml:space="preserve">turn506720view4 lines 139-155; turn506720view6 lines 81-97</x:t>
        </x:is>
      </x:c>
      <x:c r="Q18" s="12" t="inlineStr">
        <x:is>
          <x:t xml:space="preserve">Mirror text; first-round cutoff explicit.</x:t>
        </x:is>
      </x:c>
    </x:row>
    <x:row r="19">
      <x:c r="A19" s="12" t="inlineStr">
        <x:is>
          <x:t xml:space="preserve">SRC-AD-INJUSTICEWATCH</x:t>
        </x:is>
      </x:c>
      <x:c r="B19" s="12" t="inlineStr">
        <x:is>
          <x:t xml:space="preserve">Injustice Watch</x:t>
        </x:is>
      </x:c>
      <x:c r="C19" s="12" t="inlineStr">
        <x:is>
          <x:t xml:space="preserve">CEO/ED recruitment advertisement</x:t>
        </x:is>
      </x:c>
      <x:c r="D19" s="17" t="inlineStr">
        <x:is>
          <x:t xml:space="preserve">https://www.injusticewatch.org/</x:t>
        </x:is>
      </x:c>
      <x:c r="E19" s="17" t="inlineStr">
        <x:is>
          <x:t xml:space="preserve">https://www.injusticewatch.org/</x:t>
        </x:is>
      </x:c>
      <x:c r="F19" s="12" t="inlineStr">
        <x:is>
          <x:t xml:space="preserve">2026-08-17T18:45:00-07:00</x:t>
        </x:is>
      </x:c>
      <x:c r="G19" s="17" t="inlineStr">
        <x:is>
          <x:t xml:space="preserve">sources/raw/src-ad-injusticewatch.txt</x:t>
        </x:is>
      </x:c>
      <x:c r="H19" s="12" t="inlineStr">
        <x:is>
          <x:t xml:space="preserve">text/plain; charset=utf-8</x:t>
        </x:is>
      </x:c>
      <x:c r="I19" s="12" t="n">
        <x:v>1142</x:v>
      </x:c>
      <x:c r="J19" s="13" t="inlineStr">
        <x:is>
          <x:t xml:space="preserve">5dcf8ee7101a11eee766722264d566c11104862b1cdd6d03b243feb4f83970a5</x:t>
        </x:is>
      </x:c>
      <x:c r="K19" s="12" t="n"/>
      <x:c r="L19" s="12" t="n"/>
      <x:c r="M19" s="12" t="n"/>
      <x:c r="N19" s="12" t="inlineStr">
        <x:is>
          <x:t xml:space="preserve">derivative</x:t>
        </x:is>
      </x:c>
      <x:c r="O19" s="12" t="inlineStr">
        <x:is>
          <x:t xml:space="preserve">discovery result</x:t>
        </x:is>
      </x:c>
      <x:c r="P19" s="12" t="inlineStr">
        <x:is>
          <x:t xml:space="preserve">discovery search; full source not retained</x:t>
        </x:is>
      </x:c>
      <x:c r="Q19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0">
      <x:c r="A20" s="12" t="inlineStr">
        <x:is>
          <x:t xml:space="preserve">SRC-AD-JOYCEIVY-2026</x:t>
        </x:is>
      </x:c>
      <x:c r="B20" s="12" t="inlineStr">
        <x:is>
          <x:t xml:space="preserve">Joyce Ivy Foundation</x:t>
        </x:is>
      </x:c>
      <x:c r="C20" s="12" t="inlineStr">
        <x:is>
          <x:t xml:space="preserve">CEO/ED recruitment advertisement</x:t>
        </x:is>
      </x:c>
      <x:c r="D20" s="16" t="inlineStr">
        <x:is>
          <x:t xml:space="preserve">https://careers.councilofnonprofits.org/jobs/executive-director-joyce-ivy-foundation-remote-in-anywhere/</x:t>
        </x:is>
      </x:c>
      <x:c r="E20" s="16" t="inlineStr">
        <x:is>
          <x:t xml:space="preserve">https://careers.councilofnonprofits.org/jobs/executive-director-joyce-ivy-foundation-remote-in-anywhere/</x:t>
        </x:is>
      </x:c>
      <x:c r="F20" s="12" t="inlineStr">
        <x:is>
          <x:t xml:space="preserve">2026-08-25T16:20:00-0700</x:t>
        </x:is>
      </x:c>
      <x:c r="G20" s="17" t="inlineStr">
        <x:is>
          <x:t xml:space="preserve">sources/raw/src-ad-joyceivy-2026.txt</x:t>
        </x:is>
      </x:c>
      <x:c r="H20" s="12" t="inlineStr">
        <x:is>
          <x:t xml:space="preserve">text/plain; charset=utf-8</x:t>
        </x:is>
      </x:c>
      <x:c r="I20" s="12" t="n">
        <x:v>1777</x:v>
      </x:c>
      <x:c r="J20" s="13" t="inlineStr">
        <x:is>
          <x:t xml:space="preserve">94210f1857fa772625cf291929d541a8470f42e7bfe7549df16ddc14fcb828e3</x:t>
        </x:is>
      </x:c>
      <x:c r="K20" s="12" t="n"/>
      <x:c r="L20" s="12" t="n"/>
      <x:c r="M20" s="12" t="n"/>
      <x:c r="N20" s="12" t="inlineStr">
        <x:is>
          <x:t xml:space="preserve">derivative</x:t>
        </x:is>
      </x:c>
      <x:c r="O20" s="12" t="inlineStr">
        <x:is>
          <x:t xml:space="preserve">source-native job board</x:t>
        </x:is>
      </x:c>
      <x:c r="P20" s="12" t="inlineStr">
        <x:is>
          <x:t xml:space="preserve">turn690667view3 lines 18-31, 80-84</x:t>
        </x:is>
      </x:c>
      <x:c r="Q20" s="13" t="inlineStr">
        <x:is>
          <x:t xml:space="preserve">Posted before cutoff; fractional option prevents clean full-time base comparison.</x:t>
        </x:is>
      </x:c>
    </x:row>
    <x:row r="21">
      <x:c r="A21" s="12" t="inlineStr">
        <x:is>
          <x:t xml:space="preserve">SRC-AD-MOST-2025</x:t>
        </x:is>
      </x:c>
      <x:c r="B21" s="12" t="inlineStr">
        <x:is>
          <x:t xml:space="preserve">MOST Policy Initiative</x:t>
        </x:is>
      </x:c>
      <x:c r="C21" s="12" t="inlineStr">
        <x:is>
          <x:t xml:space="preserve">CEO/ED recruitment advertisement</x:t>
        </x:is>
      </x:c>
      <x:c r="D21" s="16" t="inlineStr">
        <x:is>
          <x:t xml:space="preserve">https://onthinktanks.org/job/executive-director-15/</x:t>
        </x:is>
      </x:c>
      <x:c r="E21" s="16" t="inlineStr">
        <x:is>
          <x:t xml:space="preserve">https://onthinktanks.org/job/executive-director-15/</x:t>
        </x:is>
      </x:c>
      <x:c r="F21" s="12" t="inlineStr">
        <x:is>
          <x:t xml:space="preserve">2026-08-17T18:45:00-07:00</x:t>
        </x:is>
      </x:c>
      <x:c r="G21" s="17" t="inlineStr">
        <x:is>
          <x:t xml:space="preserve">sources/raw/src-ad-most-2025.txt</x:t>
        </x:is>
      </x:c>
      <x:c r="H21" s="12" t="inlineStr">
        <x:is>
          <x:t xml:space="preserve">text/plain; charset=utf-8</x:t>
        </x:is>
      </x:c>
      <x:c r="I21" s="12" t="n">
        <x:v>1159</x:v>
      </x:c>
      <x:c r="J21" s="13" t="inlineStr">
        <x:is>
          <x:t xml:space="preserve">8aee411062d7ac538f650c8e14377b9d8fb321dc305528042044ec945fa45655</x:t>
        </x:is>
      </x:c>
      <x:c r="K21" s="12" t="n"/>
      <x:c r="L21" s="12" t="n"/>
      <x:c r="M21" s="12" t="n"/>
      <x:c r="N21" s="12" t="inlineStr">
        <x:is>
          <x:t xml:space="preserve">derivative</x:t>
        </x:is>
      </x:c>
      <x:c r="O21" s="12" t="inlineStr">
        <x:is>
          <x:t xml:space="preserve">discovery result</x:t>
        </x:is>
      </x:c>
      <x:c r="P21" s="12" t="inlineStr">
        <x:is>
          <x:t xml:space="preserve">turn663171search2</x:t>
        </x:is>
      </x:c>
      <x:c r="Q21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2">
      <x:c r="A22" s="12" t="inlineStr">
        <x:is>
          <x:t xml:space="preserve">SRC-AD-MSI</x:t>
        </x:is>
      </x:c>
      <x:c r="B22" s="12" t="inlineStr">
        <x:is>
          <x:t xml:space="preserve">Marine Science Institute</x:t>
        </x:is>
      </x:c>
      <x:c r="C22" s="12" t="inlineStr">
        <x:is>
          <x:t xml:space="preserve">CEO/ED recruitment advertisement</x:t>
        </x:is>
      </x:c>
      <x:c r="D22" s="17" t="inlineStr">
        <x:is>
          <x:t xml:space="preserve">https://www.sfbaymsi.org/</x:t>
        </x:is>
      </x:c>
      <x:c r="E22" s="17" t="inlineStr">
        <x:is>
          <x:t xml:space="preserve">https://www.sfbaymsi.org/</x:t>
        </x:is>
      </x:c>
      <x:c r="F22" s="12" t="inlineStr">
        <x:is>
          <x:t xml:space="preserve">2026-08-17T18:45:00-07:00</x:t>
        </x:is>
      </x:c>
      <x:c r="G22" s="17" t="inlineStr">
        <x:is>
          <x:t xml:space="preserve">sources/raw/src-ad-msi.txt</x:t>
        </x:is>
      </x:c>
      <x:c r="H22" s="12" t="inlineStr">
        <x:is>
          <x:t xml:space="preserve">text/plain; charset=utf-8</x:t>
        </x:is>
      </x:c>
      <x:c r="I22" s="12" t="n">
        <x:v>1135</x:v>
      </x:c>
      <x:c r="J22" s="13" t="inlineStr">
        <x:is>
          <x:t xml:space="preserve">d95d45971f1ed65f81e9e29f904d61ce9491349b3330bd83cd703f35348eca21</x:t>
        </x:is>
      </x:c>
      <x:c r="K22" s="12" t="n"/>
      <x:c r="L22" s="12" t="n"/>
      <x:c r="M22" s="12" t="n"/>
      <x:c r="N22" s="12" t="inlineStr">
        <x:is>
          <x:t xml:space="preserve">derivative</x:t>
        </x:is>
      </x:c>
      <x:c r="O22" s="12" t="inlineStr">
        <x:is>
          <x:t xml:space="preserve">discovery result</x:t>
        </x:is>
      </x:c>
      <x:c r="P22" s="12" t="inlineStr">
        <x:is>
          <x:t xml:space="preserve">discovery search; full source not retained</x:t>
        </x:is>
      </x:c>
      <x:c r="Q2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3">
      <x:c r="A23" s="12" t="inlineStr">
        <x:is>
          <x:t xml:space="preserve">SRC-AD-NPF</x:t>
        </x:is>
      </x:c>
      <x:c r="B23" s="12" t="inlineStr">
        <x:is>
          <x:t xml:space="preserve">National Press Foundation</x:t>
        </x:is>
      </x:c>
      <x:c r="C23" s="12" t="inlineStr">
        <x:is>
          <x:t xml:space="preserve">CEO/ED recruitment advertisement</x:t>
        </x:is>
      </x:c>
      <x:c r="D23" s="17" t="inlineStr">
        <x:is>
          <x:t xml:space="preserve">https://nationalpress.org/</x:t>
        </x:is>
      </x:c>
      <x:c r="E23" s="17" t="inlineStr">
        <x:is>
          <x:t xml:space="preserve">https://nationalpress.org/</x:t>
        </x:is>
      </x:c>
      <x:c r="F23" s="12" t="inlineStr">
        <x:is>
          <x:t xml:space="preserve">2026-08-17T18:45:00-07:00</x:t>
        </x:is>
      </x:c>
      <x:c r="G23" s="17" t="inlineStr">
        <x:is>
          <x:t xml:space="preserve">sources/raw/src-ad-npf.txt</x:t>
        </x:is>
      </x:c>
      <x:c r="H23" s="12" t="inlineStr">
        <x:is>
          <x:t xml:space="preserve">text/plain; charset=utf-8</x:t>
        </x:is>
      </x:c>
      <x:c r="I23" s="12" t="n">
        <x:v>1151</x:v>
      </x:c>
      <x:c r="J23" s="13" t="inlineStr">
        <x:is>
          <x:t xml:space="preserve">d76f4159ed7dc04b6557c45e93dc8ed2d92bda699b912d7e44c62e2f56b8d4ea</x:t>
        </x:is>
      </x:c>
      <x:c r="K23" s="12" t="n"/>
      <x:c r="L23" s="12" t="n"/>
      <x:c r="M23" s="12" t="n"/>
      <x:c r="N23" s="12" t="inlineStr">
        <x:is>
          <x:t xml:space="preserve">derivative</x:t>
        </x:is>
      </x:c>
      <x:c r="O23" s="12" t="inlineStr">
        <x:is>
          <x:t xml:space="preserve">discovery result</x:t>
        </x:is>
      </x:c>
      <x:c r="P23" s="12" t="inlineStr">
        <x:is>
          <x:t xml:space="preserve">discovery search; full source not retained</x:t>
        </x:is>
      </x:c>
      <x:c r="Q23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4">
      <x:c r="A24" s="12" t="inlineStr">
        <x:is>
          <x:t xml:space="preserve">SRC-AD-NJLCV-2026</x:t>
        </x:is>
      </x:c>
      <x:c r="B24" s="12" t="inlineStr">
        <x:is>
          <x:t xml:space="preserve">New Jersey League of Conservation Voters</x:t>
        </x:is>
      </x:c>
      <x:c r="C24" s="12" t="inlineStr">
        <x:is>
          <x:t xml:space="preserve">CEO/ED recruitment advertisement</x:t>
        </x:is>
      </x:c>
      <x:c r="D24" s="16" t="inlineStr">
        <x:is>
          <x:t xml:space="preserve">https://careers.councilofnonprofits.org/jobs/executive-director-and-chief-executive-officer-in-trenton-new-jersey-us/</x:t>
        </x:is>
      </x:c>
      <x:c r="E24" s="16" t="inlineStr">
        <x:is>
          <x:t xml:space="preserve">https://careers.councilofnonprofits.org/jobs/executive-director-and-chief-executive-officer-in-trenton-new-jersey-us/</x:t>
        </x:is>
      </x:c>
      <x:c r="F24" s="12" t="inlineStr">
        <x:is>
          <x:t xml:space="preserve">2026-08-25T16:45:00-0700</x:t>
        </x:is>
      </x:c>
      <x:c r="G24" s="17" t="inlineStr">
        <x:is>
          <x:t xml:space="preserve">sources/raw/src-ad-njlcv-2026.txt</x:t>
        </x:is>
      </x:c>
      <x:c r="H24" s="12" t="inlineStr">
        <x:is>
          <x:t xml:space="preserve">text/plain; charset=utf-8</x:t>
        </x:is>
      </x:c>
      <x:c r="I24" s="12" t="n">
        <x:v>2093</x:v>
      </x:c>
      <x:c r="J24" s="13" t="inlineStr">
        <x:is>
          <x:t xml:space="preserve">4535b3df3238ef7888c9bf62fe5fcd78bcbdb5dc9ae4fd9c7de648f0ad8c99bd</x:t>
        </x:is>
      </x:c>
      <x:c r="K24" s="12" t="n"/>
      <x:c r="L24" s="12" t="n"/>
      <x:c r="M24" s="12" t="n"/>
      <x:c r="N24" s="12" t="inlineStr">
        <x:is>
          <x:t xml:space="preserve">derivative</x:t>
        </x:is>
      </x:c>
      <x:c r="O24" s="13" t="inlineStr">
        <x:is>
          <x:t xml:space="preserve">source-native nonprofit job board cached rendering</x:t>
        </x:is>
      </x:c>
      <x:c r="P24" s="13" t="inlineStr">
        <x:is>
          <x:t xml:space="preserve">turn341398search4; turn341398search7; turn341398search11</x:t>
        </x:is>
      </x:c>
      <x:c r="Q24" s="13" t="inlineStr">
        <x:is>
          <x:t xml:space="preserve">The live page expired after retrieval; cached job-board text and corroborating complete copies preserve the range and responsibilities.</x:t>
        </x:is>
      </x:c>
    </x:row>
    <x:row r="25">
      <x:c r="A25" s="12" t="inlineStr">
        <x:is>
          <x:t xml:space="preserve">SRC-AD-OVERZERO-2025</x:t>
        </x:is>
      </x:c>
      <x:c r="B25" s="12" t="inlineStr">
        <x:is>
          <x:t xml:space="preserve">Over Zero</x:t>
        </x:is>
      </x:c>
      <x:c r="C25" s="12" t="inlineStr">
        <x:is>
          <x:t xml:space="preserve">CEO/ED recruitment advertisement</x:t>
        </x:is>
      </x:c>
      <x:c r="D25" s="16" t="inlineStr">
        <x:is>
          <x:t xml:space="preserve">https://impactopportunity.org/job/7756/executive-director/</x:t>
        </x:is>
      </x:c>
      <x:c r="E25" s="16" t="inlineStr">
        <x:is>
          <x:t xml:space="preserve">https://impactopportunity.org/job/7756/executive-director/</x:t>
        </x:is>
      </x:c>
      <x:c r="F25" s="12" t="inlineStr">
        <x:is>
          <x:t xml:space="preserve">2026-08-17T18:45:00-07:00</x:t>
        </x:is>
      </x:c>
      <x:c r="G25" s="17" t="inlineStr">
        <x:is>
          <x:t xml:space="preserve">sources/raw/src-ad-overzero-2025.txt</x:t>
        </x:is>
      </x:c>
      <x:c r="H25" s="12" t="inlineStr">
        <x:is>
          <x:t xml:space="preserve">text/plain; charset=utf-8</x:t>
        </x:is>
      </x:c>
      <x:c r="I25" s="12" t="n">
        <x:v>1253</x:v>
      </x:c>
      <x:c r="J25" s="13" t="inlineStr">
        <x:is>
          <x:t xml:space="preserve">8f56ba74c05d15ef68105fc4c9745062f95ddc858afe8a0dac9e06b569b86102</x:t>
        </x:is>
      </x:c>
      <x:c r="K25" s="12" t="n"/>
      <x:c r="L25" s="12" t="n"/>
      <x:c r="M25" s="12" t="n"/>
      <x:c r="N25" s="12" t="inlineStr">
        <x:is>
          <x:t xml:space="preserve">derivative</x:t>
        </x:is>
      </x:c>
      <x:c r="O25" s="12" t="inlineStr">
        <x:is>
          <x:t xml:space="preserve">complete mirror of recruiter posting</x:t>
        </x:is>
      </x:c>
      <x:c r="P25" s="12" t="inlineStr">
        <x:is>
          <x:t xml:space="preserve">turn663171search1; turn663171search5</x:t>
        </x:is>
      </x:c>
      <x:c r="Q25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6">
      <x:c r="A26" s="12" t="inlineStr">
        <x:is>
          <x:t xml:space="preserve">SRC-AD-PEAK-2026</x:t>
        </x:is>
      </x:c>
      <x:c r="B26" s="12" t="inlineStr">
        <x:is>
          <x:t xml:space="preserve">PEAK Grantmaking</x:t>
        </x:is>
      </x:c>
      <x:c r="C26" s="12" t="inlineStr">
        <x:is>
          <x:t xml:space="preserve">CEO/ED recruitment advertisement</x:t>
        </x:is>
      </x:c>
      <x:c r="D26" s="16" t="inlineStr">
        <x:is>
          <x:t xml:space="preserve">https://nonprofithr.applytojob.com/apply/RQG6pztBvo/President-Chief-Executive-Officer-CEO-PEAK-Grantmaking</x:t>
        </x:is>
      </x:c>
      <x:c r="E26" s="16" t="inlineStr">
        <x:is>
          <x:t xml:space="preserve">https://nonprofithr.applytojob.com/apply/RQG6pztBvo/President-Chief-Executive-Officer-CEO-PEAK-Grantmaking</x:t>
        </x:is>
      </x:c>
      <x:c r="F26" s="12" t="inlineStr">
        <x:is>
          <x:t xml:space="preserve">2026-08-17T18:45:00-07:00</x:t>
        </x:is>
      </x:c>
      <x:c r="G26" s="17" t="inlineStr">
        <x:is>
          <x:t xml:space="preserve">sources/raw/src-ad-peak-2026.txt</x:t>
        </x:is>
      </x:c>
      <x:c r="H26" s="12" t="inlineStr">
        <x:is>
          <x:t xml:space="preserve">text/plain; charset=utf-8</x:t>
        </x:is>
      </x:c>
      <x:c r="I26" s="12" t="n">
        <x:v>1292</x:v>
      </x:c>
      <x:c r="J26" s="13" t="inlineStr">
        <x:is>
          <x:t xml:space="preserve">8b22208f125cf262b6e7688a9f340e6d362a9f1f4e51e453c069a2571f0973d3</x:t>
        </x:is>
      </x:c>
      <x:c r="K26" s="12" t="n"/>
      <x:c r="L26" s="12" t="n"/>
      <x:c r="M26" s="12" t="n"/>
      <x:c r="N26" s="12" t="inlineStr">
        <x:is>
          <x:t xml:space="preserve">derivative</x:t>
        </x:is>
      </x:c>
      <x:c r="O26" s="12" t="inlineStr">
        <x:is>
          <x:t xml:space="preserve">retained recruiter</x:t>
        </x:is>
      </x:c>
      <x:c r="P26" s="12" t="inlineStr">
        <x:is>
          <x:t xml:space="preserve">turn128878view1 L38-L112</x:t>
        </x:is>
      </x:c>
      <x:c r="Q2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7">
      <x:c r="A27" s="12" t="inlineStr">
        <x:is>
          <x:t xml:space="preserve">SRC-AD-PVARF</x:t>
        </x:is>
      </x:c>
      <x:c r="B27" s="12" t="inlineStr">
        <x:is>
          <x:t xml:space="preserve">Portland VA Research Foundation</x:t>
        </x:is>
      </x:c>
      <x:c r="C27" s="12" t="inlineStr">
        <x:is>
          <x:t xml:space="preserve">CEO/ED recruitment advertisement</x:t>
        </x:is>
      </x:c>
      <x:c r="D27" s="17" t="inlineStr">
        <x:is>
          <x:t xml:space="preserve">https://www.pvarf.org/</x:t>
        </x:is>
      </x:c>
      <x:c r="E27" s="17" t="inlineStr">
        <x:is>
          <x:t xml:space="preserve">https://www.pvarf.org/</x:t>
        </x:is>
      </x:c>
      <x:c r="F27" s="12" t="inlineStr">
        <x:is>
          <x:t xml:space="preserve">2026-08-17T18:45:00-07:00</x:t>
        </x:is>
      </x:c>
      <x:c r="G27" s="17" t="inlineStr">
        <x:is>
          <x:t xml:space="preserve">sources/raw/src-ad-pvarf.txt</x:t>
        </x:is>
      </x:c>
      <x:c r="H27" s="12" t="inlineStr">
        <x:is>
          <x:t xml:space="preserve">text/plain; charset=utf-8</x:t>
        </x:is>
      </x:c>
      <x:c r="I27" s="12" t="n">
        <x:v>1173</x:v>
      </x:c>
      <x:c r="J27" s="13" t="inlineStr">
        <x:is>
          <x:t xml:space="preserve">c1b21de4618c5d968b56ee775e32d93190bd103e771774e5329b7b795ab361e8</x:t>
        </x:is>
      </x:c>
      <x:c r="K27" s="12" t="n"/>
      <x:c r="L27" s="12" t="n"/>
      <x:c r="M27" s="12" t="n"/>
      <x:c r="N27" s="12" t="inlineStr">
        <x:is>
          <x:t xml:space="preserve">derivative</x:t>
        </x:is>
      </x:c>
      <x:c r="O27" s="12" t="inlineStr">
        <x:is>
          <x:t xml:space="preserve">discovery result</x:t>
        </x:is>
      </x:c>
      <x:c r="P27" s="12" t="inlineStr">
        <x:is>
          <x:t xml:space="preserve">discovery search; full source not retained</x:t>
        </x:is>
      </x:c>
      <x:c r="Q2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28">
      <x:c r="A28" s="12" t="inlineStr">
        <x:is>
          <x:t xml:space="preserve">SRC-AD-CHAPA-ROR-EXCL</x:t>
        </x:is>
      </x:c>
      <x:c r="B28" s="12" t="inlineStr">
        <x:is>
          <x:t xml:space="preserve">Reach Out and Read (regional executive role)</x:t>
        </x:is>
      </x:c>
      <x:c r="C28" s="12" t="inlineStr">
        <x:is>
          <x:t xml:space="preserve">CEO/ED recruitment advertisement</x:t>
        </x:is>
      </x:c>
      <x:c r="D28" s="17" t="n"/>
      <x:c r="E28" s="17" t="n"/>
      <x:c r="F28" s="12" t="inlineStr">
        <x:is>
          <x:t xml:space="preserve">2026-08-25T16:20:00-0700</x:t>
        </x:is>
      </x:c>
      <x:c r="G28" s="16" t="inlineStr">
        <x:is>
          <x:t xml:space="preserve">sources/raw/src-ad-reach-out-and-read-excluded.txt</x:t>
        </x:is>
      </x:c>
      <x:c r="H28" s="12" t="inlineStr">
        <x:is>
          <x:t xml:space="preserve">text/plain; charset=utf-8</x:t>
        </x:is>
      </x:c>
      <x:c r="I28" s="12" t="n">
        <x:v>1227</x:v>
      </x:c>
      <x:c r="J28" s="13" t="inlineStr">
        <x:is>
          <x:t xml:space="preserve">2edb9bee70c0b3a0aeee65db26ff37b87f52d5a4bb826b387dd587cd15f925a0</x:t>
        </x:is>
      </x:c>
      <x:c r="K28" s="12" t="n"/>
      <x:c r="L28" s="12" t="n"/>
      <x:c r="M28" s="12" t="n"/>
      <x:c r="N28" s="12" t="inlineStr">
        <x:is>
          <x:t xml:space="preserve">derivative</x:t>
        </x:is>
      </x:c>
      <x:c r="O28" s="12" t="inlineStr">
        <x:is>
          <x:t xml:space="preserve">job board</x:t>
        </x:is>
      </x:c>
      <x:c r="P28" s="12" t="inlineStr">
        <x:is>
          <x:t xml:space="preserve">turn690667view1 lines 27-50, 146-154</x:t>
        </x:is>
      </x:c>
      <x:c r="Q28" s="12" t="inlineStr">
        <x:is>
          <x:t xml:space="preserve">Logged as unsuccessful/rejected search.</x:t>
        </x:is>
      </x:c>
    </x:row>
    <x:row r="29">
      <x:c r="A29" s="12" t="inlineStr">
        <x:is>
          <x:t xml:space="preserve">SRC-AD-SFEI-2026</x:t>
        </x:is>
      </x:c>
      <x:c r="B29" s="12" t="inlineStr">
        <x:is>
          <x:t xml:space="preserve">San Francisco Estuary Institute</x:t>
        </x:is>
      </x:c>
      <x:c r="C29" s="12" t="inlineStr">
        <x:is>
          <x:t xml:space="preserve">CEO/ED recruitment advertisement</x:t>
        </x:is>
      </x:c>
      <x:c r="D29" s="16" t="inlineStr">
        <x:is>
          <x:t xml:space="preserve">https://www.sfei.org/news/sfei-seeks-our-next-executive-director</x:t>
        </x:is>
      </x:c>
      <x:c r="E29" s="17" t="inlineStr">
        <x:is>
          <x:t xml:space="preserve">https://potrerogroup.com/sfei</x:t>
        </x:is>
      </x:c>
      <x:c r="F29" s="12" t="inlineStr">
        <x:is>
          <x:t xml:space="preserve">2026-08-17T18:45:00-07:00</x:t>
        </x:is>
      </x:c>
      <x:c r="G29" s="17" t="inlineStr">
        <x:is>
          <x:t xml:space="preserve">sources/raw/src-ad-sfei-2026.txt</x:t>
        </x:is>
      </x:c>
      <x:c r="H29" s="12" t="inlineStr">
        <x:is>
          <x:t xml:space="preserve">text/plain; charset=utf-8</x:t>
        </x:is>
      </x:c>
      <x:c r="I29" s="12" t="n">
        <x:v>1365</x:v>
      </x:c>
      <x:c r="J29" s="13" t="inlineStr">
        <x:is>
          <x:t xml:space="preserve">e9e980a36bb44b2ca853f86d0c6ca772263bc8aca75d04b31899878f8316ecb8</x:t>
        </x:is>
      </x:c>
      <x:c r="K29" s="12" t="n"/>
      <x:c r="L29" s="12" t="n"/>
      <x:c r="M29" s="12" t="n"/>
      <x:c r="N29" s="12" t="inlineStr">
        <x:is>
          <x:t xml:space="preserve">derivative</x:t>
        </x:is>
      </x:c>
      <x:c r="O29" s="12" t="inlineStr">
        <x:is>
          <x:t xml:space="preserve">employer and retained recruiter</x:t>
        </x:is>
      </x:c>
      <x:c r="P29" s="12" t="inlineStr">
        <x:is>
          <x:t xml:space="preserve">turn220517view2 L0-L30; turn955421search8</x:t>
        </x:is>
      </x:c>
      <x:c r="Q29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0">
      <x:c r="A30" s="12" t="inlineStr">
        <x:is>
          <x:t xml:space="preserve">SRC-AD-SEATTLEBG</x:t>
        </x:is>
      </x:c>
      <x:c r="B30" s="12" t="inlineStr">
        <x:is>
          <x:t xml:space="preserve">Seattle Botanic Gardens</x:t>
        </x:is>
      </x:c>
      <x:c r="C30" s="12" t="inlineStr">
        <x:is>
          <x:t xml:space="preserve">CEO/ED recruitment advertisement</x:t>
        </x:is>
      </x:c>
      <x:c r="D30" s="17" t="inlineStr">
        <x:is>
          <x:t xml:space="preserve">https://botanicgardens.uw.edu/</x:t>
        </x:is>
      </x:c>
      <x:c r="E30" s="17" t="inlineStr">
        <x:is>
          <x:t xml:space="preserve">https://botanicgardens.uw.edu/</x:t>
        </x:is>
      </x:c>
      <x:c r="F30" s="12" t="inlineStr">
        <x:is>
          <x:t xml:space="preserve">2026-08-17T18:45:00-07:00</x:t>
        </x:is>
      </x:c>
      <x:c r="G30" s="17" t="inlineStr">
        <x:is>
          <x:t xml:space="preserve">sources/raw/src-ad-seattlebg.txt</x:t>
        </x:is>
      </x:c>
      <x:c r="H30" s="12" t="inlineStr">
        <x:is>
          <x:t xml:space="preserve">text/plain; charset=utf-8</x:t>
        </x:is>
      </x:c>
      <x:c r="I30" s="12" t="n">
        <x:v>1158</x:v>
      </x:c>
      <x:c r="J30" s="13" t="inlineStr">
        <x:is>
          <x:t xml:space="preserve">7d096de17f9e5ecb62c0b11b44062acce57022858ce0bb13fb269dea3ec28f99</x:t>
        </x:is>
      </x:c>
      <x:c r="K30" s="12" t="n"/>
      <x:c r="L30" s="12" t="n"/>
      <x:c r="M30" s="12" t="n"/>
      <x:c r="N30" s="12" t="inlineStr">
        <x:is>
          <x:t xml:space="preserve">derivative</x:t>
        </x:is>
      </x:c>
      <x:c r="O30" s="12" t="inlineStr">
        <x:is>
          <x:t xml:space="preserve">discovery result</x:t>
        </x:is>
      </x:c>
      <x:c r="P30" s="12" t="inlineStr">
        <x:is>
          <x:t xml:space="preserve">discovery search; full source not retained</x:t>
        </x:is>
      </x:c>
      <x:c r="Q30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1">
      <x:c r="A31" s="12" t="inlineStr">
        <x:is>
          <x:t xml:space="preserve">SRC-AD-SNAP</x:t>
        </x:is>
      </x:c>
      <x:c r="B31" s="12" t="inlineStr">
        <x:is>
          <x:t xml:space="preserve">Snap Foundation</x:t>
        </x:is>
      </x:c>
      <x:c r="C31" s="12" t="inlineStr">
        <x:is>
          <x:t xml:space="preserve">CEO/ED recruitment advertisement</x:t>
        </x:is>
      </x:c>
      <x:c r="D31" s="17" t="inlineStr">
        <x:is>
          <x:t xml:space="preserve">https://www.snapfoundation.org/</x:t>
        </x:is>
      </x:c>
      <x:c r="E31" s="17" t="inlineStr">
        <x:is>
          <x:t xml:space="preserve">https://www.snapfoundation.org/</x:t>
        </x:is>
      </x:c>
      <x:c r="F31" s="12" t="inlineStr">
        <x:is>
          <x:t xml:space="preserve">2026-08-17T18:45:00-07:00</x:t>
        </x:is>
      </x:c>
      <x:c r="G31" s="17" t="inlineStr">
        <x:is>
          <x:t xml:space="preserve">sources/raw/src-ad-snap.txt</x:t>
        </x:is>
      </x:c>
      <x:c r="H31" s="12" t="inlineStr">
        <x:is>
          <x:t xml:space="preserve">text/plain; charset=utf-8</x:t>
        </x:is>
      </x:c>
      <x:c r="I31" s="12" t="n">
        <x:v>1126</x:v>
      </x:c>
      <x:c r="J31" s="13" t="inlineStr">
        <x:is>
          <x:t xml:space="preserve">050c73dd05357e8f02574eb41d012e2d44df65f987b32cc2e82db087d3d76ebe</x:t>
        </x:is>
      </x:c>
      <x:c r="K31" s="12" t="n"/>
      <x:c r="L31" s="12" t="n"/>
      <x:c r="M31" s="12" t="n"/>
      <x:c r="N31" s="12" t="inlineStr">
        <x:is>
          <x:t xml:space="preserve">derivative</x:t>
        </x:is>
      </x:c>
      <x:c r="O31" s="12" t="inlineStr">
        <x:is>
          <x:t xml:space="preserve">discovery result</x:t>
        </x:is>
      </x:c>
      <x:c r="P31" s="12" t="inlineStr">
        <x:is>
          <x:t xml:space="preserve">discovery search; full source not retained</x:t>
        </x:is>
      </x:c>
      <x:c r="Q31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2">
      <x:c r="A32" s="12" t="inlineStr">
        <x:is>
          <x:t xml:space="preserve">SRC-AD-TAC-2026</x:t>
        </x:is>
      </x:c>
      <x:c r="B32" s="12" t="inlineStr">
        <x:is>
          <x:t xml:space="preserve">Technical Assistance Collaborative</x:t>
        </x:is>
      </x:c>
      <x:c r="C32" s="12" t="inlineStr">
        <x:is>
          <x:t xml:space="preserve">CEO/ED recruitment advertisement</x:t>
        </x:is>
      </x:c>
      <x:c r="D32" s="16" t="inlineStr">
        <x:is>
          <x:t xml:space="preserve">https://www.nonprofitoperations.com/job-submissions/chief-executive-officer-/technical-assistance-collaborative</x:t>
        </x:is>
      </x:c>
      <x:c r="E32" s="16" t="inlineStr">
        <x:is>
          <x:t xml:space="preserve">https://www.nonprofitoperations.com/job-submissions/chief-executive-officer-/technical-assistance-collaborative</x:t>
        </x:is>
      </x:c>
      <x:c r="F32" s="12" t="inlineStr">
        <x:is>
          <x:t xml:space="preserve">2026-08-17T18:45:00-07:00</x:t>
        </x:is>
      </x:c>
      <x:c r="G32" s="17" t="inlineStr">
        <x:is>
          <x:t xml:space="preserve">sources/raw/src-ad-tac-2026.txt</x:t>
        </x:is>
      </x:c>
      <x:c r="H32" s="12" t="inlineStr">
        <x:is>
          <x:t xml:space="preserve">text/plain; charset=utf-8</x:t>
        </x:is>
      </x:c>
      <x:c r="I32" s="12" t="n">
        <x:v>1490</x:v>
      </x:c>
      <x:c r="J32" s="13" t="inlineStr">
        <x:is>
          <x:t xml:space="preserve">0e3ebf78a5943d490426ba3f8a1488d71c9233f65e32e453437249d7af1f5bc3</x:t>
        </x:is>
      </x:c>
      <x:c r="K32" s="12" t="n"/>
      <x:c r="L32" s="12" t="n"/>
      <x:c r="M32" s="12" t="n"/>
      <x:c r="N32" s="12" t="inlineStr">
        <x:is>
          <x:t xml:space="preserve">derivative</x:t>
        </x:is>
      </x:c>
      <x:c r="O32" s="12" t="inlineStr">
        <x:is>
          <x:t xml:space="preserve">recruiter/job portal</x:t>
        </x:is>
      </x:c>
      <x:c r="P32" s="13" t="inlineStr">
        <x:is>
          <x:t xml:space="preserve">turn128878view0 L18-L21; L59-L75; L91-L121; L192-L203</x:t>
        </x:is>
      </x:c>
      <x:c r="Q3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3">
      <x:c r="A33" s="12" t="inlineStr">
        <x:is>
          <x:t xml:space="preserve">SRC-AD-5GYRES-2026</x:t>
        </x:is>
      </x:c>
      <x:c r="B33" s="12" t="inlineStr">
        <x:is>
          <x:t xml:space="preserve">The 5 Gyres Institute</x:t>
        </x:is>
      </x:c>
      <x:c r="C33" s="12" t="inlineStr">
        <x:is>
          <x:t xml:space="preserve">CEO/ED recruitment advertisement</x:t>
        </x:is>
      </x:c>
      <x:c r="D33" s="16" t="inlineStr">
        <x:is>
          <x:t xml:space="preserve">https://www.climatechangecareers.com/job/the-5-gyres-institute/remote/executive-director/</x:t>
        </x:is>
      </x:c>
      <x:c r="E33" s="16" t="inlineStr">
        <x:is>
          <x:t xml:space="preserve">https://www.climatechangecareers.com/job/the-5-gyres-institute/remote/executive-director/</x:t>
        </x:is>
      </x:c>
      <x:c r="F33" s="12" t="inlineStr">
        <x:is>
          <x:t xml:space="preserve">2026-08-25T16:20:00-0700</x:t>
        </x:is>
      </x:c>
      <x:c r="G33" s="17" t="inlineStr">
        <x:is>
          <x:t xml:space="preserve">sources/raw/src-ad-5gyres-2026.txt</x:t>
        </x:is>
      </x:c>
      <x:c r="H33" s="12" t="inlineStr">
        <x:is>
          <x:t xml:space="preserve">text/plain; charset=utf-8</x:t>
        </x:is>
      </x:c>
      <x:c r="I33" s="12" t="n">
        <x:v>1801</x:v>
      </x:c>
      <x:c r="J33" s="13" t="inlineStr">
        <x:is>
          <x:t xml:space="preserve">0146cbd9e63804df479d0d654079bdcbab618710eee0cac3710a0c158d1486c9</x:t>
        </x:is>
      </x:c>
      <x:c r="K33" s="12" t="n"/>
      <x:c r="L33" s="12" t="n"/>
      <x:c r="M33" s="12" t="n"/>
      <x:c r="N33" s="12" t="inlineStr">
        <x:is>
          <x:t xml:space="preserve">derivative</x:t>
        </x:is>
      </x:c>
      <x:c r="O33" s="12" t="inlineStr">
        <x:is>
          <x:t xml:space="preserve">complete third-party copy</x:t>
        </x:is>
      </x:c>
      <x:c r="P33" s="12" t="inlineStr">
        <x:is>
          <x:t xml:space="preserve">turn970460view0 lines 14-35, 45-148</x:t>
        </x:is>
      </x:c>
      <x:c r="Q33" s="13" t="inlineStr">
        <x:is>
          <x:t xml:space="preserve">Complete mirror text; posting date inferred from page metadata/search chronology, closing date explicit.</x:t>
        </x:is>
      </x:c>
    </x:row>
    <x:row r="34">
      <x:c r="A34" s="12" t="inlineStr">
        <x:is>
          <x:t xml:space="preserve">SRC-AD-CLIMATE-2026</x:t>
        </x:is>
      </x:c>
      <x:c r="B34" s="12" t="inlineStr">
        <x:is>
          <x:t xml:space="preserve">The Climate Center</x:t>
        </x:is>
      </x:c>
      <x:c r="C34" s="12" t="inlineStr">
        <x:is>
          <x:t xml:space="preserve">CEO/ED recruitment advertisement</x:t>
        </x:is>
      </x:c>
      <x:c r="D34" s="16" t="inlineStr">
        <x:is>
          <x:t xml:space="preserve">https://www.abfe.org/jobs/chief-executive-officer-climate-center</x:t>
        </x:is>
      </x:c>
      <x:c r="E34" s="16" t="inlineStr">
        <x:is>
          <x:t xml:space="preserve">https://www.abfe.org/jobs/chief-executive-officer-climate-center</x:t>
        </x:is>
      </x:c>
      <x:c r="F34" s="12" t="inlineStr">
        <x:is>
          <x:t xml:space="preserve">2026-08-17T18:45:00-07:00</x:t>
        </x:is>
      </x:c>
      <x:c r="G34" s="17" t="inlineStr">
        <x:is>
          <x:t xml:space="preserve">sources/raw/src-ad-climate-2026.txt</x:t>
        </x:is>
      </x:c>
      <x:c r="H34" s="12" t="inlineStr">
        <x:is>
          <x:t xml:space="preserve">text/plain; charset=utf-8</x:t>
        </x:is>
      </x:c>
      <x:c r="I34" s="12" t="n">
        <x:v>1231</x:v>
      </x:c>
      <x:c r="J34" s="13" t="inlineStr">
        <x:is>
          <x:t xml:space="preserve">70da9bbf12c9c40ec16d1bad9a6e060f3cc5b0f6f4e364000fda82d24c496014</x:t>
        </x:is>
      </x:c>
      <x:c r="K34" s="12" t="n"/>
      <x:c r="L34" s="12" t="n"/>
      <x:c r="M34" s="12" t="n"/>
      <x:c r="N34" s="12" t="inlineStr">
        <x:is>
          <x:t xml:space="preserve">derivative</x:t>
        </x:is>
      </x:c>
      <x:c r="O34" s="13" t="inlineStr">
        <x:is>
          <x:t xml:space="preserve">source-native job-board copy linking retained recruiter PDF</x:t>
        </x:is>
      </x:c>
      <x:c r="P34" s="12" t="inlineStr">
        <x:is>
          <x:t xml:space="preserve">turn220517view0 L114-L146</x:t>
        </x:is>
      </x:c>
      <x:c r="Q34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5">
      <x:c r="A35" s="12" t="inlineStr">
        <x:is>
          <x:t xml:space="preserve">SRC-AD-CHF-2026</x:t>
        </x:is>
      </x:c>
      <x:c r="B35" s="12" t="inlineStr">
        <x:is>
          <x:t xml:space="preserve">The Colorado Health Foundation</x:t>
        </x:is>
      </x:c>
      <x:c r="C35" s="12" t="inlineStr">
        <x:is>
          <x:t xml:space="preserve">CEO/ED recruitment advertisement</x:t>
        </x:is>
      </x:c>
      <x:c r="D35" s="16" t="inlineStr">
        <x:is>
          <x:t xml:space="preserve">https://www.nonprofitoperations.com/job-submissions/chief-executive-officer-/the-colorado-health-foundation-</x:t>
        </x:is>
      </x:c>
      <x:c r="E35" s="16" t="inlineStr">
        <x:is>
          <x:t xml:space="preserve">https://www.nonprofitoperations.com/job-submissions/chief-executive-officer-/the-colorado-health-foundation-</x:t>
        </x:is>
      </x:c>
      <x:c r="F35" s="12" t="inlineStr">
        <x:is>
          <x:t xml:space="preserve">2026-08-25T16:20:00-0700</x:t>
        </x:is>
      </x:c>
      <x:c r="G35" s="16" t="inlineStr">
        <x:is>
          <x:t xml:space="preserve">sources/raw/src-ad-colorado-health-foundation-2026.txt</x:t>
        </x:is>
      </x:c>
      <x:c r="H35" s="12" t="inlineStr">
        <x:is>
          <x:t xml:space="preserve">text/plain; charset=utf-8</x:t>
        </x:is>
      </x:c>
      <x:c r="I35" s="12" t="n">
        <x:v>1629</x:v>
      </x:c>
      <x:c r="J35" s="13" t="inlineStr">
        <x:is>
          <x:t xml:space="preserve">66829ee511b37101a3ef038a95f43e5e206632a9779c9d0666d8951c49e8b32b</x:t>
        </x:is>
      </x:c>
      <x:c r="K35" s="12" t="n"/>
      <x:c r="L35" s="12" t="n"/>
      <x:c r="M35" s="12" t="n"/>
      <x:c r="N35" s="12" t="inlineStr">
        <x:is>
          <x:t xml:space="preserve">derivative</x:t>
        </x:is>
      </x:c>
      <x:c r="O35" s="12" t="inlineStr">
        <x:is>
          <x:t xml:space="preserve">recruiter/job-board complete copy</x:t>
        </x:is>
      </x:c>
      <x:c r="P35" s="12" t="inlineStr">
        <x:is>
          <x:t xml:space="preserve">turn485271search4</x:t>
        </x:is>
      </x:c>
      <x:c r="Q35" s="13" t="inlineStr">
        <x:is>
          <x:t xml:space="preserve">Complete posting; excluded before salary analysis under frozen operating-model rule.</x:t>
        </x:is>
      </x:c>
    </x:row>
    <x:row r="36">
      <x:c r="A36" s="12" t="inlineStr">
        <x:is>
          <x:t xml:space="preserve">SRC-AD-LEADERSTRUST-2026</x:t>
        </x:is>
      </x:c>
      <x:c r="B36" s="12" t="inlineStr">
        <x:is>
          <x:t xml:space="preserve">The LeadersTrust</x:t>
        </x:is>
      </x:c>
      <x:c r="C36" s="12" t="inlineStr">
        <x:is>
          <x:t xml:space="preserve">CEO/ED recruitment advertisement</x:t>
        </x:is>
      </x:c>
      <x:c r="D36" s="16" t="inlineStr">
        <x:is>
          <x:t xml:space="preserve">https://theleaderstrust.org/now-hiring-executive-director/</x:t>
        </x:is>
      </x:c>
      <x:c r="E36" s="16" t="inlineStr">
        <x:is>
          <x:t xml:space="preserve">https://theleaderstrust.org/now-hiring-executive-director/</x:t>
        </x:is>
      </x:c>
      <x:c r="F36" s="12" t="inlineStr">
        <x:is>
          <x:t xml:space="preserve">2026-08-17T18:45:00-07:00</x:t>
        </x:is>
      </x:c>
      <x:c r="G36" s="17" t="inlineStr">
        <x:is>
          <x:t xml:space="preserve">sources/raw/src-ad-leaderstrust-2026.txt</x:t>
        </x:is>
      </x:c>
      <x:c r="H36" s="12" t="inlineStr">
        <x:is>
          <x:t xml:space="preserve">text/plain; charset=utf-8</x:t>
        </x:is>
      </x:c>
      <x:c r="I36" s="12" t="n">
        <x:v>1238</x:v>
      </x:c>
      <x:c r="J36" s="13" t="inlineStr">
        <x:is>
          <x:t xml:space="preserve">0bcac6da43afa5983716a054350f9ba23b3e96e7f7fb8a40be1d2fee731904db</x:t>
        </x:is>
      </x:c>
      <x:c r="K36" s="12" t="n"/>
      <x:c r="L36" s="12" t="n"/>
      <x:c r="M36" s="12" t="n"/>
      <x:c r="N36" s="12" t="inlineStr">
        <x:is>
          <x:t xml:space="preserve">derivative</x:t>
        </x:is>
      </x:c>
      <x:c r="O36" s="12" t="inlineStr">
        <x:is>
          <x:t xml:space="preserve">employer</x:t>
        </x:is>
      </x:c>
      <x:c r="P36" s="12" t="inlineStr">
        <x:is>
          <x:t xml:space="preserve">turn220517view1 L30-L63; L72-L119</x:t>
        </x:is>
      </x:c>
      <x:c r="Q3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7">
      <x:c r="A37" s="12" t="inlineStr">
        <x:is>
          <x:t xml:space="preserve">SRC-AD-WILLIAMS</x:t>
        </x:is>
      </x:c>
      <x:c r="B37" s="12" t="inlineStr">
        <x:is>
          <x:t xml:space="preserve">Williams Institute at UCLA</x:t>
        </x:is>
      </x:c>
      <x:c r="C37" s="12" t="inlineStr">
        <x:is>
          <x:t xml:space="preserve">CEO/ED recruitment advertisement</x:t>
        </x:is>
      </x:c>
      <x:c r="D37" s="17" t="inlineStr">
        <x:is>
          <x:t xml:space="preserve">https://williamsinstitute.law.ucla.edu/</x:t>
        </x:is>
      </x:c>
      <x:c r="E37" s="17" t="inlineStr">
        <x:is>
          <x:t xml:space="preserve">https://williamsinstitute.law.ucla.edu/</x:t>
        </x:is>
      </x:c>
      <x:c r="F37" s="12" t="inlineStr">
        <x:is>
          <x:t xml:space="preserve">2026-08-17T18:45:00-07:00</x:t>
        </x:is>
      </x:c>
      <x:c r="G37" s="17" t="inlineStr">
        <x:is>
          <x:t xml:space="preserve">sources/raw/src-ad-williams.txt</x:t>
        </x:is>
      </x:c>
      <x:c r="H37" s="12" t="inlineStr">
        <x:is>
          <x:t xml:space="preserve">text/plain; charset=utf-8</x:t>
        </x:is>
      </x:c>
      <x:c r="I37" s="12" t="n">
        <x:v>1190</x:v>
      </x:c>
      <x:c r="J37" s="13" t="inlineStr">
        <x:is>
          <x:t xml:space="preserve">b721b5c1697624c7837560306578a9d8136b1d2f3e1ee63b614993a75bac380d</x:t>
        </x:is>
      </x:c>
      <x:c r="K37" s="12" t="n"/>
      <x:c r="L37" s="12" t="n"/>
      <x:c r="M37" s="12" t="n"/>
      <x:c r="N37" s="12" t="inlineStr">
        <x:is>
          <x:t xml:space="preserve">derivative</x:t>
        </x:is>
      </x:c>
      <x:c r="O37" s="12" t="inlineStr">
        <x:is>
          <x:t xml:space="preserve">discovery result</x:t>
        </x:is>
      </x:c>
      <x:c r="P37" s="12" t="inlineStr">
        <x:is>
          <x:t xml:space="preserve">discovery search; full source not retained</x:t>
        </x:is>
      </x:c>
      <x:c r="Q3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8">
      <x:c r="A38" s="12" t="inlineStr">
        <x:is>
          <x:t xml:space="preserve">SRC-BLS-CPI-JUL26</x:t>
        </x:is>
      </x:c>
      <x:c r="B38" s="12" t="inlineStr">
        <x:is>
          <x:t xml:space="preserve">U.S. Bureau of Labor Statistics</x:t>
        </x:is>
      </x:c>
      <x:c r="C38" s="12" t="inlineStr">
        <x:is>
          <x:t xml:space="preserve">CPI table</x:t>
        </x:is>
      </x:c>
      <x:c r="D38" s="17" t="inlineStr">
        <x:is>
          <x:t xml:space="preserve">https://www.bls.gov/news.release/cpi.t01.htm</x:t>
        </x:is>
      </x:c>
      <x:c r="E38" s="17" t="inlineStr">
        <x:is>
          <x:t xml:space="preserve">https://www.bls.gov/news.release/cpi.t01.htm</x:t>
        </x:is>
      </x:c>
      <x:c r="F38" s="12" t="inlineStr">
        <x:is>
          <x:t xml:space="preserve">2026-08-17T18:45:00-07:00</x:t>
        </x:is>
      </x:c>
      <x:c r="G38" s="17" t="inlineStr">
        <x:is>
          <x:t xml:space="preserve">sources/raw/src-bls-cpi-jul26.txt</x:t>
        </x:is>
      </x:c>
      <x:c r="H38" s="12" t="inlineStr">
        <x:is>
          <x:t xml:space="preserve">text/plain; charset=utf-8</x:t>
        </x:is>
      </x:c>
      <x:c r="I38" s="12" t="n">
        <x:v>975</x:v>
      </x:c>
      <x:c r="J38" s="13" t="inlineStr">
        <x:is>
          <x:t xml:space="preserve">c2dc46afb7b8dcfc43758e93404f4c0d29d2a4e49a16950046e020187ec05bb9</x:t>
        </x:is>
      </x:c>
      <x:c r="K38" s="12" t="n"/>
      <x:c r="L38" s="12" t="n"/>
      <x:c r="M38" s="12" t="n"/>
      <x:c r="N38" s="12" t="inlineStr">
        <x:is>
          <x:t xml:space="preserve">derivative</x:t>
        </x:is>
      </x:c>
      <x:c r="O38" s="12" t="inlineStr">
        <x:is>
          <x:t xml:space="preserve">original</x:t>
        </x:is>
      </x:c>
      <x:c r="P38" s="12" t="inlineStr">
        <x:is>
          <x:t xml:space="preserve">turn382256view1 L173-L200; L244</x:t>
        </x:is>
      </x:c>
      <x:c r="Q38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9">
      <x:c r="A39" s="12" t="inlineStr">
        <x:is>
          <x:t xml:space="preserve">SRC-990-EXT3-ALLIANCE-FOR-HEALTH-POLICY</x:t>
        </x:is>
      </x:c>
      <x:c r="B39" s="12" t="inlineStr">
        <x:is>
          <x:t xml:space="preserve">Alliance for Health Policy</x:t>
        </x:is>
      </x:c>
      <x:c r="C39" s="12" t="inlineStr">
        <x:is>
          <x:t xml:space="preserve">Form 990 filing-derived snapshot</x:t>
        </x:is>
      </x:c>
      <x:c r="D39" s="16" t="inlineStr">
        <x:is>
          <x:t xml:space="preserve">https://apps.irs.gov/pub/epostcard/990/xml/2025/202531619349300118_public.xml</x:t>
        </x:is>
      </x:c>
      <x:c r="E39" s="16" t="inlineStr">
        <x:is>
          <x:t xml:space="preserve">https://projects.propublica.org/nonprofits/organizations/521746328</x:t>
        </x:is>
      </x:c>
      <x:c r="F39" s="12" t="inlineStr">
        <x:is>
          <x:t xml:space="preserve">2026-08-25T17:45:00-0700</x:t>
        </x:is>
      </x:c>
      <x:c r="G39" s="16" t="inlineStr">
        <x:is>
          <x:t xml:space="preserve">sources/raw/src-990-ext3-alliance-for-health-policy.txt</x:t>
        </x:is>
      </x:c>
      <x:c r="H39" s="12" t="inlineStr">
        <x:is>
          <x:t xml:space="preserve">text/plain; charset=utf-8</x:t>
        </x:is>
      </x:c>
      <x:c r="I39" s="12" t="n">
        <x:v>2082</x:v>
      </x:c>
      <x:c r="J39" s="13" t="inlineStr">
        <x:is>
          <x:t xml:space="preserve">be9b1f5f2d68c165ce3cc0a1dd11708c647396b7f5e5cca514f0a1f37fabde66</x:t>
        </x:is>
      </x:c>
      <x:c r="K39" s="12" t="inlineStr">
        <x:is>
          <x:t xml:space="preserve">2024-01-01 to 2024-12-31</x:t>
        </x:is>
      </x:c>
      <x:c r="L39" s="12" t="inlineStr">
        <x:is>
          <x:t xml:space="preserve">52-1746328</x:t>
        </x:is>
      </x:c>
      <x:c r="M39" s="12" t="inlineStr">
        <x:is>
          <x:t xml:space="preserve">202531619349300118</x:t>
        </x:is>
      </x:c>
      <x:c r="N39" s="12" t="inlineStr">
        <x:is>
          <x:t xml:space="preserve">official filing-derived derivative</x:t>
        </x:is>
      </x:c>
      <x:c r="O39" s="13" t="inlineStr">
        <x:is>
          <x:t xml:space="preserve">Official IRS filing identifier; ProPublica used for navigation/corroboration</x:t>
        </x:is>
      </x:c>
      <x:c r="P39" s="13" t="inlineStr">
        <x:is>
          <x:t xml:space="preserve">ProPublica Nonprofit Explorer rendered Form 990 financial and compensation tables; official IRS object ID captured from filing XML link. ProPublica page turn763366view1; latest filing reviewed.</x:t>
        </x:is>
      </x:c>
      <x:c r="Q39" s="13" t="inlineStr">
        <x:is>
          <x:t xml:space="preserve">Cash proxy arithmetic and total-proxy arithmetic validated; source-native IRS XML could not be archived in this environment.</x:t>
        </x:is>
      </x:c>
    </x:row>
    <x:row r="40">
      <x:c r="A40" s="12" t="inlineStr">
        <x:is>
          <x:t xml:space="preserve">SRC-990-EXT-AMERICAN-IMMIGRATION-COUNCIL</x:t>
        </x:is>
      </x:c>
      <x:c r="B40" s="12" t="inlineStr">
        <x:is>
          <x:t xml:space="preserve">American Immigration Council</x:t>
        </x:is>
      </x:c>
      <x:c r="C40" s="12" t="inlineStr">
        <x:is>
          <x:t xml:space="preserve">Form 990 filing-derived snapshot</x:t>
        </x:is>
      </x:c>
      <x:c r="D40" s="16" t="inlineStr">
        <x:is>
          <x:t xml:space="preserve">https://apps.irs.gov/pub/epostcard/990/xml/2025/202542979349301509_public.xml</x:t>
        </x:is>
      </x:c>
      <x:c r="E40" s="16" t="inlineStr">
        <x:is>
          <x:t xml:space="preserve">https://projects.propublica.org/nonprofits/organizations/521549711</x:t>
        </x:is>
      </x:c>
      <x:c r="F40" s="12" t="inlineStr">
        <x:is>
          <x:t xml:space="preserve">2026-08-25</x:t>
        </x:is>
      </x:c>
      <x:c r="G40" s="16" t="inlineStr">
        <x:is>
          <x:t xml:space="preserve">sources/raw/src-990-ext-american-immigration-council.txt</x:t>
        </x:is>
      </x:c>
      <x:c r="H40" s="12" t="inlineStr">
        <x:is>
          <x:t xml:space="preserve">text/plain; charset=utf-8</x:t>
        </x:is>
      </x:c>
      <x:c r="I40" s="12" t="n">
        <x:v>1872</x:v>
      </x:c>
      <x:c r="J40" s="13" t="inlineStr">
        <x:is>
          <x:t xml:space="preserve">5387e8f477a7cfcb2111cf39efc0b59395179f28947a6609f187da24d5178c38</x:t>
        </x:is>
      </x:c>
      <x:c r="K40" s="12" t="inlineStr">
        <x:is>
          <x:t xml:space="preserve">2024-01-01 to 2024-12-31</x:t>
        </x:is>
      </x:c>
      <x:c r="L40" s="12" t="inlineStr">
        <x:is>
          <x:t xml:space="preserve">52-1549711</x:t>
        </x:is>
      </x:c>
      <x:c r="M40" s="12" t="inlineStr">
        <x:is>
          <x:t xml:space="preserve">202542979349301509</x:t>
        </x:is>
      </x:c>
      <x:c r="N40" s="12" t="inlineStr">
        <x:is>
          <x:t xml:space="preserve">official filing-derived derivative</x:t>
        </x:is>
      </x:c>
      <x:c r="O40" s="13" t="inlineStr">
        <x:is>
          <x:t xml:space="preserve">Official IRS filing identifier; ProPublica used for navigation/corroboration</x:t>
        </x:is>
      </x:c>
      <x:c r="P40" s="13" t="inlineStr">
        <x:is>
          <x:t xml:space="preserve">ProPublica filing-derived table lines 20-94; IRS object ID from XML link</x:t>
        </x:is>
      </x:c>
      <x:c r="Q40" s="13" t="inlineStr">
        <x:is>
          <x:t xml:space="preserve">Cash proxy arithmetic and total-proxy arithmetic validated; source-native IRS XML could not be archived in this environment.</x:t>
        </x:is>
      </x:c>
    </x:row>
    <x:row r="41">
      <x:c r="A41" s="12" t="inlineStr">
        <x:is>
          <x:t xml:space="preserve">SRC-990-EXT3-AMERICAN-SECURITY-PROJECT</x:t>
        </x:is>
      </x:c>
      <x:c r="B41" s="12" t="inlineStr">
        <x:is>
          <x:t xml:space="preserve">American Security Project</x:t>
        </x:is>
      </x:c>
      <x:c r="C41" s="12" t="inlineStr">
        <x:is>
          <x:t xml:space="preserve">Form 990 filing-derived snapshot</x:t>
        </x:is>
      </x:c>
      <x:c r="D41" s="16" t="inlineStr">
        <x:is>
          <x:t xml:space="preserve">https://apps.irs.gov/pub/epostcard/990/xml/2025/202542279349301744_public.xml</x:t>
        </x:is>
      </x:c>
      <x:c r="E41" s="16" t="inlineStr">
        <x:is>
          <x:t xml:space="preserve">https://projects.propublica.org/nonprofits/organizations/204079553</x:t>
        </x:is>
      </x:c>
      <x:c r="F41" s="12" t="inlineStr">
        <x:is>
          <x:t xml:space="preserve">2026-08-25T17:45:00-0700</x:t>
        </x:is>
      </x:c>
      <x:c r="G41" s="16" t="inlineStr">
        <x:is>
          <x:t xml:space="preserve">sources/raw/src-990-ext3-american-security-project.txt</x:t>
        </x:is>
      </x:c>
      <x:c r="H41" s="12" t="inlineStr">
        <x:is>
          <x:t xml:space="preserve">text/plain; charset=utf-8</x:t>
        </x:is>
      </x:c>
      <x:c r="I41" s="12" t="n">
        <x:v>2051</x:v>
      </x:c>
      <x:c r="J41" s="13" t="inlineStr">
        <x:is>
          <x:t xml:space="preserve">976576fc53d0f0bba2970582abf86093d745f61eddfa5e18ba1091a2483b4d26</x:t>
        </x:is>
      </x:c>
      <x:c r="K41" s="12" t="inlineStr">
        <x:is>
          <x:t xml:space="preserve">2024-01-01 to 2024-12-31</x:t>
        </x:is>
      </x:c>
      <x:c r="L41" s="12" t="inlineStr">
        <x:is>
          <x:t xml:space="preserve">20-4079553</x:t>
        </x:is>
      </x:c>
      <x:c r="M41" s="12" t="inlineStr">
        <x:is>
          <x:t xml:space="preserve">202542279349301744</x:t>
        </x:is>
      </x:c>
      <x:c r="N41" s="12" t="inlineStr">
        <x:is>
          <x:t xml:space="preserve">official filing-derived derivative</x:t>
        </x:is>
      </x:c>
      <x:c r="O41" s="13" t="inlineStr">
        <x:is>
          <x:t xml:space="preserve">Official IRS filing identifier; ProPublica used for navigation/corroboration</x:t>
        </x:is>
      </x:c>
      <x:c r="P41" s="13" t="inlineStr">
        <x:is>
          <x:t xml:space="preserve">ProPublica Nonprofit Explorer rendered Form 990 financial and compensation tables; official IRS object ID captured from filing XML link. ProPublica lines 21-34, 67-89 in turn230180view7.</x:t>
        </x:is>
      </x:c>
      <x:c r="Q41" s="13" t="inlineStr">
        <x:is>
          <x:t xml:space="preserve">Cash proxy arithmetic and total-proxy arithmetic validated; source-native IRS XML could not be archived in this environment.</x:t>
        </x:is>
      </x:c>
    </x:row>
    <x:row r="42">
      <x:c r="A42" s="12" t="inlineStr">
        <x:is>
          <x:t xml:space="preserve">SRC-990-ACE-2024</x:t>
        </x:is>
      </x:c>
      <x:c r="B42" s="12" t="inlineStr">
        <x:is>
          <x:t xml:space="preserve">Animal Charity Evaluators</x:t>
        </x:is>
      </x:c>
      <x:c r="C42" s="12" t="inlineStr">
        <x:is>
          <x:t xml:space="preserve">Form 990 filing-derived snapshot</x:t>
        </x:is>
      </x:c>
      <x:c r="D42" s="16" t="inlineStr">
        <x:is>
          <x:t xml:space="preserve">https://projects.propublica.org/nonprofits/organizations/364684978</x:t>
        </x:is>
      </x:c>
      <x:c r="E42" s="16" t="inlineStr">
        <x:is>
          <x:t xml:space="preserve">https://projects.propublica.org/nonprofits/organizations/364684978</x:t>
        </x:is>
      </x:c>
      <x:c r="F42" s="12" t="inlineStr">
        <x:is>
          <x:t xml:space="preserve">2026-08-17T18:45:00-07:00</x:t>
        </x:is>
      </x:c>
      <x:c r="G42" s="17" t="inlineStr">
        <x:is>
          <x:t xml:space="preserve">sources/raw/src-990-ace-2024.txt</x:t>
        </x:is>
      </x:c>
      <x:c r="H42" s="12" t="inlineStr">
        <x:is>
          <x:t xml:space="preserve">text/plain; charset=utf-8</x:t>
        </x:is>
      </x:c>
      <x:c r="I42" s="12" t="n">
        <x:v>1888</x:v>
      </x:c>
      <x:c r="J42" s="13" t="inlineStr">
        <x:is>
          <x:t xml:space="preserve">875356a19cf76916f305a3ede969ab4abc84bccc7ac4fa821e5a07283488f54c</x:t>
        </x:is>
      </x:c>
      <x:c r="K42" s="12" t="inlineStr">
        <x:is>
          <x:t xml:space="preserve">2024-04-01 to 2025-03-31</x:t>
        </x:is>
      </x:c>
      <x:c r="L42" s="12" t="inlineStr">
        <x:is>
          <x:t xml:space="preserve">36-4684978</x:t>
        </x:is>
      </x:c>
      <x:c r="M42" s="12" t="inlineStr">
        <x:is>
          <x:t xml:space="preserve">not captured</x:t>
        </x:is>
      </x:c>
      <x:c r="N42" s="12" t="inlineStr">
        <x:is>
          <x:t xml:space="preserve">derivative</x:t>
        </x:is>
      </x:c>
      <x:c r="O42" s="13" t="inlineStr">
        <x:is>
          <x:t xml:space="preserve">official filing via IRS; browser rendering via ProPublica where available</x:t>
        </x:is>
      </x:c>
      <x:c r="P42" s="12" t="inlineStr">
        <x:is>
          <x:t xml:space="preserve">turn498315search0</x:t>
        </x:is>
      </x:c>
      <x:c r="Q4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43">
      <x:c r="A43" s="12" t="inlineStr">
        <x:is>
          <x:t xml:space="preserve">SRC-990-EXT-ANIMAL-EQUALITY</x:t>
        </x:is>
      </x:c>
      <x:c r="B43" s="12" t="inlineStr">
        <x:is>
          <x:t xml:space="preserve">Animal Equality</x:t>
        </x:is>
      </x:c>
      <x:c r="C43" s="12" t="inlineStr">
        <x:is>
          <x:t xml:space="preserve">Form 990 filing-derived snapshot</x:t>
        </x:is>
      </x:c>
      <x:c r="D43" s="16" t="inlineStr">
        <x:is>
          <x:t xml:space="preserve">https://apps.irs.gov/pub/epostcard/990/xml/2025/202533009349301263_public.xml</x:t>
        </x:is>
      </x:c>
      <x:c r="E43" s="16" t="inlineStr">
        <x:is>
          <x:t xml:space="preserve">https://projects.propublica.org/nonprofits/organizations/472420444</x:t>
        </x:is>
      </x:c>
      <x:c r="F43" s="12" t="inlineStr">
        <x:is>
          <x:t xml:space="preserve">2026-08-25</x:t>
        </x:is>
      </x:c>
      <x:c r="G43" s="17" t="inlineStr">
        <x:is>
          <x:t xml:space="preserve">sources/raw/src-990-ext-animal-equality.txt</x:t>
        </x:is>
      </x:c>
      <x:c r="H43" s="12" t="inlineStr">
        <x:is>
          <x:t xml:space="preserve">text/plain; charset=utf-8</x:t>
        </x:is>
      </x:c>
      <x:c r="I43" s="12" t="n">
        <x:v>1951</x:v>
      </x:c>
      <x:c r="J43" s="13" t="inlineStr">
        <x:is>
          <x:t xml:space="preserve">a830d0ef467b2b6609f864fe2bd9acb1928d820f7441c49f1f090ca0ce3b7866</x:t>
        </x:is>
      </x:c>
      <x:c r="K43" s="12" t="inlineStr">
        <x:is>
          <x:t xml:space="preserve">2024-01-01 to 2024-12-31</x:t>
        </x:is>
      </x:c>
      <x:c r="L43" s="12" t="inlineStr">
        <x:is>
          <x:t xml:space="preserve">47-2420444</x:t>
        </x:is>
      </x:c>
      <x:c r="M43" s="12" t="inlineStr">
        <x:is>
          <x:t xml:space="preserve">202533009349301263</x:t>
        </x:is>
      </x:c>
      <x:c r="N43" s="12" t="inlineStr">
        <x:is>
          <x:t xml:space="preserve">official filing-derived derivative</x:t>
        </x:is>
      </x:c>
      <x:c r="O43" s="13" t="inlineStr">
        <x:is>
          <x:t xml:space="preserve">Official IRS filing identifier; ProPublica used for navigation/corroboration</x:t>
        </x:is>
      </x:c>
      <x:c r="P43" s="13" t="inlineStr">
        <x:is>
          <x:t xml:space="preserve">ProPublica filing-derived table; official IRS object ID identified from XML link</x:t>
        </x:is>
      </x:c>
      <x:c r="Q43" s="13" t="inlineStr">
        <x:is>
          <x:t xml:space="preserve">Cash proxy arithmetic and total-proxy arithmetic validated; source-native IRS XML could not be archived in this environment.</x:t>
        </x:is>
      </x:c>
    </x:row>
    <x:row r="44">
      <x:c r="A44" s="12" t="inlineStr">
        <x:is>
          <x:t xml:space="preserve">SRC-990-EXT-ANIMAL-LEGAL-DEFENSE-FUND</x:t>
        </x:is>
      </x:c>
      <x:c r="B44" s="12" t="inlineStr">
        <x:is>
          <x:t xml:space="preserve">Animal Legal Defense Fund</x:t>
        </x:is>
      </x:c>
      <x:c r="C44" s="12" t="inlineStr">
        <x:is>
          <x:t xml:space="preserve">Form 990 filing-derived snapshot</x:t>
        </x:is>
      </x:c>
      <x:c r="D44" s="16" t="inlineStr">
        <x:is>
          <x:t xml:space="preserve">https://apps.irs.gov/pub/epostcard/990/xml/2026/202631249349301878_public.xml</x:t>
        </x:is>
      </x:c>
      <x:c r="E44" s="16" t="inlineStr">
        <x:is>
          <x:t xml:space="preserve">https://projects.propublica.org/nonprofits/organizations/942681680</x:t>
        </x:is>
      </x:c>
      <x:c r="F44" s="12" t="inlineStr">
        <x:is>
          <x:t xml:space="preserve">2026-08-25</x:t>
        </x:is>
      </x:c>
      <x:c r="G44" s="16" t="inlineStr">
        <x:is>
          <x:t xml:space="preserve">sources/raw/src-990-ext-animal-legal-defense-fund.txt</x:t>
        </x:is>
      </x:c>
      <x:c r="H44" s="12" t="inlineStr">
        <x:is>
          <x:t xml:space="preserve">text/plain; charset=utf-8</x:t>
        </x:is>
      </x:c>
      <x:c r="I44" s="12" t="n">
        <x:v>1858</x:v>
      </x:c>
      <x:c r="J44" s="13" t="inlineStr">
        <x:is>
          <x:t xml:space="preserve">910304fe03a1375d360e13c5b39a9f285cbfea322761c1b963809aaee56d28a7</x:t>
        </x:is>
      </x:c>
      <x:c r="K44" s="12" t="inlineStr">
        <x:is>
          <x:t xml:space="preserve">2024-07-01 to 2025-06-30</x:t>
        </x:is>
      </x:c>
      <x:c r="L44" s="12" t="inlineStr">
        <x:is>
          <x:t xml:space="preserve">94-2681680</x:t>
        </x:is>
      </x:c>
      <x:c r="M44" s="12" t="inlineStr">
        <x:is>
          <x:t xml:space="preserve">202631249349301878</x:t>
        </x:is>
      </x:c>
      <x:c r="N44" s="12" t="inlineStr">
        <x:is>
          <x:t xml:space="preserve">official filing-derived derivative</x:t>
        </x:is>
      </x:c>
      <x:c r="O44" s="13" t="inlineStr">
        <x:is>
          <x:t xml:space="preserve">Official IRS filing identifier; ProPublica used for navigation/corroboration</x:t>
        </x:is>
      </x:c>
      <x:c r="P44" s="13" t="inlineStr">
        <x:is>
          <x:t xml:space="preserve">ProPublica filing-derived table; official IRS object ID identified from XML link</x:t>
        </x:is>
      </x:c>
      <x:c r="Q44" s="13" t="inlineStr">
        <x:is>
          <x:t xml:space="preserve">Cash proxy arithmetic and total-proxy arithmetic validated; source-native IRS XML could not be archived in this environment.</x:t>
        </x:is>
      </x:c>
    </x:row>
    <x:row r="45">
      <x:c r="A45" s="12" t="inlineStr">
        <x:is>
          <x:t xml:space="preserve">SRC-990-EXT-ANIMAL-WELFARE-INSTITUTE</x:t>
        </x:is>
      </x:c>
      <x:c r="B45" s="12" t="inlineStr">
        <x:is>
          <x:t xml:space="preserve">Animal Welfare Institute</x:t>
        </x:is>
      </x:c>
      <x:c r="C45" s="12" t="inlineStr">
        <x:is>
          <x:t xml:space="preserve">Form 990 filing-derived snapshot</x:t>
        </x:is>
      </x:c>
      <x:c r="D45" s="16" t="inlineStr">
        <x:is>
          <x:t xml:space="preserve">https://apps.irs.gov/pub/epostcard/990/xml/2025/202543189349305814_public.xml</x:t>
        </x:is>
      </x:c>
      <x:c r="E45" s="16" t="inlineStr">
        <x:is>
          <x:t xml:space="preserve">https://projects.propublica.org/nonprofits/organizations/135655952</x:t>
        </x:is>
      </x:c>
      <x:c r="F45" s="12" t="inlineStr">
        <x:is>
          <x:t xml:space="preserve">2026-08-25</x:t>
        </x:is>
      </x:c>
      <x:c r="G45" s="16" t="inlineStr">
        <x:is>
          <x:t xml:space="preserve">sources/raw/src-990-ext-animal-welfare-institute.txt</x:t>
        </x:is>
      </x:c>
      <x:c r="H45" s="12" t="inlineStr">
        <x:is>
          <x:t xml:space="preserve">text/plain; charset=utf-8</x:t>
        </x:is>
      </x:c>
      <x:c r="I45" s="12" t="n">
        <x:v>1706</x:v>
      </x:c>
      <x:c r="J45" s="13" t="inlineStr">
        <x:is>
          <x:t xml:space="preserve">6254433dcaa32668d55e97e0cbe5916cb680464a44b42650d2f6fb667102e33e</x:t>
        </x:is>
      </x:c>
      <x:c r="K45" s="12" t="inlineStr">
        <x:is>
          <x:t xml:space="preserve">2024-07-01 to 2025-06-30</x:t>
        </x:is>
      </x:c>
      <x:c r="L45" s="12" t="inlineStr">
        <x:is>
          <x:t xml:space="preserve">13-5655952</x:t>
        </x:is>
      </x:c>
      <x:c r="M45" s="12" t="inlineStr">
        <x:is>
          <x:t xml:space="preserve">202543189349305814</x:t>
        </x:is>
      </x:c>
      <x:c r="N45" s="12" t="inlineStr">
        <x:is>
          <x:t xml:space="preserve">official filing-derived derivative</x:t>
        </x:is>
      </x:c>
      <x:c r="O45" s="13" t="inlineStr">
        <x:is>
          <x:t xml:space="preserve">Official IRS filing identifier; ProPublica used for navigation/corroboration</x:t>
        </x:is>
      </x:c>
      <x:c r="P45" s="12" t="inlineStr">
        <x:is>
          <x:t xml:space="preserve">ProPublica latest FY2025 filing table</x:t>
        </x:is>
      </x:c>
      <x:c r="Q45" s="13" t="inlineStr">
        <x:is>
          <x:t xml:space="preserve">Cash proxy arithmetic and total-proxy arithmetic validated; source-native IRS XML could not be archived in this environment.</x:t>
        </x:is>
      </x:c>
    </x:row>
    <x:row r="46">
      <x:c r="A46" s="12" t="inlineStr">
        <x:is>
          <x:t xml:space="preserve">SRC-990-EXT-ARMS-CONTROL-ASSOCIATION</x:t>
        </x:is>
      </x:c>
      <x:c r="B46" s="12" t="inlineStr">
        <x:is>
          <x:t xml:space="preserve">Arms Control Association</x:t>
        </x:is>
      </x:c>
      <x:c r="C46" s="12" t="inlineStr">
        <x:is>
          <x:t xml:space="preserve">Form 990 filing-derived snapshot</x:t>
        </x:is>
      </x:c>
      <x:c r="D46" s="16" t="inlineStr">
        <x:is>
          <x:t xml:space="preserve">https://apps.irs.gov/pub/epostcard/990/xml/2026/202621349349307892_public.xml</x:t>
        </x:is>
      </x:c>
      <x:c r="E46" s="16" t="inlineStr">
        <x:is>
          <x:t xml:space="preserve">https://projects.propublica.org/nonprofits/organizations/237124588</x:t>
        </x:is>
      </x:c>
      <x:c r="F46" s="12" t="inlineStr">
        <x:is>
          <x:t xml:space="preserve">2026-08-25</x:t>
        </x:is>
      </x:c>
      <x:c r="G46" s="16" t="inlineStr">
        <x:is>
          <x:t xml:space="preserve">sources/raw/src-990-ext-arms-control-association.txt</x:t>
        </x:is>
      </x:c>
      <x:c r="H46" s="12" t="inlineStr">
        <x:is>
          <x:t xml:space="preserve">text/plain; charset=utf-8</x:t>
        </x:is>
      </x:c>
      <x:c r="I46" s="12" t="n">
        <x:v>1925</x:v>
      </x:c>
      <x:c r="J46" s="13" t="inlineStr">
        <x:is>
          <x:t xml:space="preserve">0d14b79d3f228fcd634d9d2962698a9ea9f183c1a7270c4232686d69b14ff122</x:t>
        </x:is>
      </x:c>
      <x:c r="K46" s="12" t="inlineStr">
        <x:is>
          <x:t xml:space="preserve">2024-07-01 to 2025-06-30</x:t>
        </x:is>
      </x:c>
      <x:c r="L46" s="12" t="inlineStr">
        <x:is>
          <x:t xml:space="preserve">23-7124588</x:t>
        </x:is>
      </x:c>
      <x:c r="M46" s="12" t="inlineStr">
        <x:is>
          <x:t xml:space="preserve">202621349349307892</x:t>
        </x:is>
      </x:c>
      <x:c r="N46" s="12" t="inlineStr">
        <x:is>
          <x:t xml:space="preserve">official filing-derived derivative</x:t>
        </x:is>
      </x:c>
      <x:c r="O46" s="13" t="inlineStr">
        <x:is>
          <x:t xml:space="preserve">Official IRS filing identifier; ProPublica used for navigation/corroboration</x:t>
        </x:is>
      </x:c>
      <x:c r="P46" s="13" t="inlineStr">
        <x:is>
          <x:t xml:space="preserve">ProPublica filing-derived table; official IRS object ID identified from XML link; browser source turn682727view0.</x:t>
        </x:is>
      </x:c>
      <x:c r="Q46" s="13" t="inlineStr">
        <x:is>
          <x:t xml:space="preserve">Cash proxy arithmetic and total-proxy arithmetic validated; source-native IRS XML could not be archived in this environment.</x:t>
        </x:is>
      </x:c>
    </x:row>
    <x:row r="47">
      <x:c r="A47" s="12" t="inlineStr">
        <x:is>
          <x:t xml:space="preserve">SRC-990-EXT-BETTER-FOOD-FOUNDATION</x:t>
        </x:is>
      </x:c>
      <x:c r="B47" s="12" t="inlineStr">
        <x:is>
          <x:t xml:space="preserve">Better Food Foundation</x:t>
        </x:is>
      </x:c>
      <x:c r="C47" s="12" t="inlineStr">
        <x:is>
          <x:t xml:space="preserve">Form 990 filing-derived snapshot</x:t>
        </x:is>
      </x:c>
      <x:c r="D47" s="16" t="inlineStr">
        <x:is>
          <x:t xml:space="preserve">https://apps.irs.gov/pub/epostcard/990/xml/2025/202533169349305288_public.xml</x:t>
        </x:is>
      </x:c>
      <x:c r="E47" s="16" t="inlineStr">
        <x:is>
          <x:t xml:space="preserve">https://projects.propublica.org/nonprofits/organizations/814537521</x:t>
        </x:is>
      </x:c>
      <x:c r="F47" s="12" t="inlineStr">
        <x:is>
          <x:t xml:space="preserve">2026-08-25</x:t>
        </x:is>
      </x:c>
      <x:c r="G47" s="16" t="inlineStr">
        <x:is>
          <x:t xml:space="preserve">sources/raw/src-990-ext-better-food-foundation.txt</x:t>
        </x:is>
      </x:c>
      <x:c r="H47" s="12" t="inlineStr">
        <x:is>
          <x:t xml:space="preserve">text/plain; charset=utf-8</x:t>
        </x:is>
      </x:c>
      <x:c r="I47" s="12" t="n">
        <x:v>1932</x:v>
      </x:c>
      <x:c r="J47" s="13" t="inlineStr">
        <x:is>
          <x:t xml:space="preserve">3a8c375a9607bd3d8db4149772f73d116b34210326c0788bcd0dab74476d4702</x:t>
        </x:is>
      </x:c>
      <x:c r="K47" s="12" t="inlineStr">
        <x:is>
          <x:t xml:space="preserve">2024-01-01 to 2024-12-31</x:t>
        </x:is>
      </x:c>
      <x:c r="L47" s="12" t="inlineStr">
        <x:is>
          <x:t xml:space="preserve">81-4537521</x:t>
        </x:is>
      </x:c>
      <x:c r="M47" s="12" t="inlineStr">
        <x:is>
          <x:t xml:space="preserve">202533169349305288</x:t>
        </x:is>
      </x:c>
      <x:c r="N47" s="12" t="inlineStr">
        <x:is>
          <x:t xml:space="preserve">official filing-derived derivative</x:t>
        </x:is>
      </x:c>
      <x:c r="O47" s="13" t="inlineStr">
        <x:is>
          <x:t xml:space="preserve">Official IRS filing identifier; ProPublica used for navigation/corroboration</x:t>
        </x:is>
      </x:c>
      <x:c r="P47" s="13" t="inlineStr">
        <x:is>
          <x:t xml:space="preserve">ProPublica filing-derived table and XML link; browser source turn224604view0 lines 21-89.</x:t>
        </x:is>
      </x:c>
      <x:c r="Q47" s="13" t="inlineStr">
        <x:is>
          <x:t xml:space="preserve">Cash proxy arithmetic and total-proxy arithmetic validated; source-native IRS XML could not be archived in this environment.</x:t>
        </x:is>
      </x:c>
    </x:row>
    <x:row r="48">
      <x:c r="A48" s="12" t="inlineStr">
        <x:is>
          <x:t xml:space="preserve">SRC-990-EXT-BIPARTISAN-POLICY-CENTER</x:t>
        </x:is>
      </x:c>
      <x:c r="B48" s="12" t="inlineStr">
        <x:is>
          <x:t xml:space="preserve">Bipartisan Policy Center</x:t>
        </x:is>
      </x:c>
      <x:c r="C48" s="12" t="inlineStr">
        <x:is>
          <x:t xml:space="preserve">Form 990 filing-derived snapshot</x:t>
        </x:is>
      </x:c>
      <x:c r="D48" s="16" t="inlineStr">
        <x:is>
          <x:t xml:space="preserve">https://apps.irs.gov/pub/epostcard/990/xml/2025/202513109349302561_public.xml</x:t>
        </x:is>
      </x:c>
      <x:c r="E48" s="16" t="inlineStr">
        <x:is>
          <x:t xml:space="preserve">https://projects.propublica.org/nonprofits/organizations/731628382</x:t>
        </x:is>
      </x:c>
      <x:c r="F48" s="12" t="inlineStr">
        <x:is>
          <x:t xml:space="preserve">2026-08-25</x:t>
        </x:is>
      </x:c>
      <x:c r="G48" s="16" t="inlineStr">
        <x:is>
          <x:t xml:space="preserve">sources/raw/src-990-ext-bipartisan-policy-center.txt</x:t>
        </x:is>
      </x:c>
      <x:c r="H48" s="12" t="inlineStr">
        <x:is>
          <x:t xml:space="preserve">text/plain; charset=utf-8</x:t>
        </x:is>
      </x:c>
      <x:c r="I48" s="12" t="n">
        <x:v>1923</x:v>
      </x:c>
      <x:c r="J48" s="13" t="inlineStr">
        <x:is>
          <x:t xml:space="preserve">e6e1e44c08193c111ce089061fde85a8ed3337394a3114c55750c36a8990f50c</x:t>
        </x:is>
      </x:c>
      <x:c r="K48" s="12" t="inlineStr">
        <x:is>
          <x:t xml:space="preserve">2024-01-01 to 2024-12-31</x:t>
        </x:is>
      </x:c>
      <x:c r="L48" s="12" t="inlineStr">
        <x:is>
          <x:t xml:space="preserve">73-1628382</x:t>
        </x:is>
      </x:c>
      <x:c r="M48" s="12" t="inlineStr">
        <x:is>
          <x:t xml:space="preserve">202513109349302561</x:t>
        </x:is>
      </x:c>
      <x:c r="N48" s="12" t="inlineStr">
        <x:is>
          <x:t xml:space="preserve">official filing-derived derivative</x:t>
        </x:is>
      </x:c>
      <x:c r="O48" s="13" t="inlineStr">
        <x:is>
          <x:t xml:space="preserve">Official IRS filing identifier; ProPublica used for navigation/corroboration</x:t>
        </x:is>
      </x:c>
      <x:c r="P48" s="13" t="inlineStr">
        <x:is>
          <x:t xml:space="preserve">ProPublica filing-derived table lines 28-104; IRS object ID from XML link</x:t>
        </x:is>
      </x:c>
      <x:c r="Q48" s="13" t="inlineStr">
        <x:is>
          <x:t xml:space="preserve">Cash proxy arithmetic and total-proxy arithmetic validated; source-native IRS XML could not be archived in this environment.</x:t>
        </x:is>
      </x:c>
    </x:row>
    <x:row r="49">
      <x:c r="A49" s="12" t="inlineStr">
        <x:is>
          <x:t xml:space="preserve">SRC-990-EXT-BREAKTHROUGH-INSTITUTE</x:t>
        </x:is>
      </x:c>
      <x:c r="B49" s="12" t="inlineStr">
        <x:is>
          <x:t xml:space="preserve">Breakthrough Institute</x:t>
        </x:is>
      </x:c>
      <x:c r="C49" s="12" t="inlineStr">
        <x:is>
          <x:t xml:space="preserve">Form 990 filing-derived snapshot</x:t>
        </x:is>
      </x:c>
      <x:c r="D49" s="16" t="inlineStr">
        <x:is>
          <x:t xml:space="preserve">https://apps.irs.gov/pub/epostcard/990/xml/2026/202631469349301333_public.xml</x:t>
        </x:is>
      </x:c>
      <x:c r="E49" s="16" t="inlineStr">
        <x:is>
          <x:t xml:space="preserve">https://projects.propublica.org/nonprofits/organizations/814526660</x:t>
        </x:is>
      </x:c>
      <x:c r="F49" s="12" t="inlineStr">
        <x:is>
          <x:t xml:space="preserve">2026-08-25</x:t>
        </x:is>
      </x:c>
      <x:c r="G49" s="16" t="inlineStr">
        <x:is>
          <x:t xml:space="preserve">sources/raw/src-990-ext-breakthrough-institute.txt</x:t>
        </x:is>
      </x:c>
      <x:c r="H49" s="12" t="inlineStr">
        <x:is>
          <x:t xml:space="preserve">text/plain; charset=utf-8</x:t>
        </x:is>
      </x:c>
      <x:c r="I49" s="12" t="n">
        <x:v>1813</x:v>
      </x:c>
      <x:c r="J49" s="13" t="inlineStr">
        <x:is>
          <x:t xml:space="preserve">65986b048a49349b06b4c79dd5be6c5fe4aaba8ea9513ba44f36ae8001b19519</x:t>
        </x:is>
      </x:c>
      <x:c r="K49" s="12" t="inlineStr">
        <x:is>
          <x:t xml:space="preserve">2025-01-01 to 2025-12-31</x:t>
        </x:is>
      </x:c>
      <x:c r="L49" s="12" t="inlineStr">
        <x:is>
          <x:t xml:space="preserve">81-4526660</x:t>
        </x:is>
      </x:c>
      <x:c r="M49" s="12" t="inlineStr">
        <x:is>
          <x:t xml:space="preserve">202631469349301333</x:t>
        </x:is>
      </x:c>
      <x:c r="N49" s="12" t="inlineStr">
        <x:is>
          <x:t xml:space="preserve">official filing-derived derivative</x:t>
        </x:is>
      </x:c>
      <x:c r="O49" s="13" t="inlineStr">
        <x:is>
          <x:t xml:space="preserve">Official IRS filing identifier; ProPublica used for navigation/corroboration</x:t>
        </x:is>
      </x:c>
      <x:c r="P49" s="13" t="inlineStr">
        <x:is>
          <x:t xml:space="preserve">ProPublica filing-derived table lines 21-89; IRS object ID from XML link</x:t>
        </x:is>
      </x:c>
      <x:c r="Q49" s="13" t="inlineStr">
        <x:is>
          <x:t xml:space="preserve">Cash proxy arithmetic and total-proxy arithmetic validated; source-native IRS XML could not be archived in this environment.</x:t>
        </x:is>
      </x:c>
    </x:row>
    <x:row r="50">
      <x:c r="A50" s="12" t="inlineStr">
        <x:is>
          <x:t xml:space="preserve">SRC-990-EXT-BRENNAN-CENTER-FOR-JUSTICE</x:t>
        </x:is>
      </x:c>
      <x:c r="B50" s="12" t="inlineStr">
        <x:is>
          <x:t xml:space="preserve">Brennan Center for Justice</x:t>
        </x:is>
      </x:c>
      <x:c r="C50" s="12" t="inlineStr">
        <x:is>
          <x:t xml:space="preserve">Form 990 filing-derived snapshot</x:t>
        </x:is>
      </x:c>
      <x:c r="D50" s="16" t="inlineStr">
        <x:is>
          <x:t xml:space="preserve">https://apps.irs.gov/pub/epostcard/990/xml/2026/202621289349303897_public.xml</x:t>
        </x:is>
      </x:c>
      <x:c r="E50" s="16" t="inlineStr">
        <x:is>
          <x:t xml:space="preserve">https://projects.propublica.org/nonprofits/organizations/133839293</x:t>
        </x:is>
      </x:c>
      <x:c r="F50" s="12" t="inlineStr">
        <x:is>
          <x:t xml:space="preserve">2026-08-25</x:t>
        </x:is>
      </x:c>
      <x:c r="G50" s="16" t="inlineStr">
        <x:is>
          <x:t xml:space="preserve">sources/raw/src-990-ext-brennan-center-for-justice.txt</x:t>
        </x:is>
      </x:c>
      <x:c r="H50" s="12" t="inlineStr">
        <x:is>
          <x:t xml:space="preserve">text/plain; charset=utf-8</x:t>
        </x:is>
      </x:c>
      <x:c r="I50" s="12" t="n">
        <x:v>2012</x:v>
      </x:c>
      <x:c r="J50" s="13" t="inlineStr">
        <x:is>
          <x:t xml:space="preserve">b6a559d40b59468f3983de4600b0184262a3dd8a75de8f87d76bce93fe56ccb4</x:t>
        </x:is>
      </x:c>
      <x:c r="K50" s="12" t="inlineStr">
        <x:is>
          <x:t xml:space="preserve">2024-07-01 to 2025-06-30</x:t>
        </x:is>
      </x:c>
      <x:c r="L50" s="12" t="inlineStr">
        <x:is>
          <x:t xml:space="preserve">13-3839293</x:t>
        </x:is>
      </x:c>
      <x:c r="M50" s="12" t="inlineStr">
        <x:is>
          <x:t xml:space="preserve">202621289349303897</x:t>
        </x:is>
      </x:c>
      <x:c r="N50" s="12" t="inlineStr">
        <x:is>
          <x:t xml:space="preserve">official filing-derived derivative</x:t>
        </x:is>
      </x:c>
      <x:c r="O50" s="13" t="inlineStr">
        <x:is>
          <x:t xml:space="preserve">Official IRS filing identifier; ProPublica used for navigation/corroboration</x:t>
        </x:is>
      </x:c>
      <x:c r="P50" s="13" t="inlineStr">
        <x:is>
          <x:t xml:space="preserve">ProPublica filing-derived table; official IRS object ID identified from XML link; browser source turn327197view2.</x:t>
        </x:is>
      </x:c>
      <x:c r="Q50" s="13" t="inlineStr">
        <x:is>
          <x:t xml:space="preserve">Cash proxy arithmetic and total-proxy arithmetic validated; source-native IRS XML could not be archived in this environment.</x:t>
        </x:is>
      </x:c>
    </x:row>
    <x:row r="51">
      <x:c r="A51" s="12" t="inlineStr">
        <x:is>
          <x:t xml:space="preserve">SRC-990-EXT-BULLETIN-OF-THE-ATOMIC-SCIENTISTS</x:t>
        </x:is>
      </x:c>
      <x:c r="B51" s="12" t="inlineStr">
        <x:is>
          <x:t xml:space="preserve">Bulletin of the Atomic Scientists</x:t>
        </x:is>
      </x:c>
      <x:c r="C51" s="12" t="inlineStr">
        <x:is>
          <x:t xml:space="preserve">Form 990 filing-derived snapshot</x:t>
        </x:is>
      </x:c>
      <x:c r="D51" s="16" t="inlineStr">
        <x:is>
          <x:t xml:space="preserve">https://apps.irs.gov/pub/epostcard/990/xml/2026/202610149349301801_public.xml</x:t>
        </x:is>
      </x:c>
      <x:c r="E51" s="16" t="inlineStr">
        <x:is>
          <x:t xml:space="preserve">https://projects.propublica.org/nonprofits/organizations/362136497</x:t>
        </x:is>
      </x:c>
      <x:c r="F51" s="12" t="inlineStr">
        <x:is>
          <x:t xml:space="preserve">2026-08-25</x:t>
        </x:is>
      </x:c>
      <x:c r="G51" s="16" t="inlineStr">
        <x:is>
          <x:t xml:space="preserve">sources/raw/src-990-ext-bulletin-of-the-atomic-scientists.txt</x:t>
        </x:is>
      </x:c>
      <x:c r="H51" s="12" t="inlineStr">
        <x:is>
          <x:t xml:space="preserve">text/plain; charset=utf-8</x:t>
        </x:is>
      </x:c>
      <x:c r="I51" s="12" t="n">
        <x:v>1842</x:v>
      </x:c>
      <x:c r="J51" s="13" t="inlineStr">
        <x:is>
          <x:t xml:space="preserve">c0815695b3b0822d1cfca9f5cde6a5eae58eeccaf11893e4a102b6ef66d167ca</x:t>
        </x:is>
      </x:c>
      <x:c r="K51" s="12" t="inlineStr">
        <x:is>
          <x:t xml:space="preserve">2024-07-01 to 2025-06-30</x:t>
        </x:is>
      </x:c>
      <x:c r="L51" s="12" t="inlineStr">
        <x:is>
          <x:t xml:space="preserve">36-2136497</x:t>
        </x:is>
      </x:c>
      <x:c r="M51" s="12" t="inlineStr">
        <x:is>
          <x:t xml:space="preserve">202610149349301801</x:t>
        </x:is>
      </x:c>
      <x:c r="N51" s="12" t="inlineStr">
        <x:is>
          <x:t xml:space="preserve">official filing-derived derivative</x:t>
        </x:is>
      </x:c>
      <x:c r="O51" s="13" t="inlineStr">
        <x:is>
          <x:t xml:space="preserve">Official IRS filing identifier; ProPublica used for navigation/corroboration</x:t>
        </x:is>
      </x:c>
      <x:c r="P51" s="12" t="inlineStr">
        <x:is>
          <x:t xml:space="preserve">ProPublica latest FY2025 filing table</x:t>
        </x:is>
      </x:c>
      <x:c r="Q51" s="13" t="inlineStr">
        <x:is>
          <x:t xml:space="preserve">Cash proxy arithmetic and total-proxy arithmetic validated; source-native IRS XML could not be archived in this environment.</x:t>
        </x:is>
      </x:c>
    </x:row>
    <x:row r="52">
      <x:c r="A52" s="12" t="inlineStr">
        <x:is>
          <x:t xml:space="preserve">SRC-990-EXT3-CARBON-MAPPER</x:t>
        </x:is>
      </x:c>
      <x:c r="B52" s="12" t="inlineStr">
        <x:is>
          <x:t xml:space="preserve">Carbon Mapper</x:t>
        </x:is>
      </x:c>
      <x:c r="C52" s="12" t="inlineStr">
        <x:is>
          <x:t xml:space="preserve">Form 990 filing-derived snapshot</x:t>
        </x:is>
      </x:c>
      <x:c r="D52" s="16" t="inlineStr">
        <x:is>
          <x:t xml:space="preserve">https://apps.irs.gov/pub/epostcard/990/xml/2026/202630139349300833_public.xml</x:t>
        </x:is>
      </x:c>
      <x:c r="E52" s="16" t="inlineStr">
        <x:is>
          <x:t xml:space="preserve">https://projects.propublica.org/nonprofits/organizations/853149996</x:t>
        </x:is>
      </x:c>
      <x:c r="F52" s="12" t="inlineStr">
        <x:is>
          <x:t xml:space="preserve">2026-08-25T17:45:00-0700</x:t>
        </x:is>
      </x:c>
      <x:c r="G52" s="17" t="inlineStr">
        <x:is>
          <x:t xml:space="preserve">sources/raw/src-990-ext3-carbon-mapper.txt</x:t>
        </x:is>
      </x:c>
      <x:c r="H52" s="12" t="inlineStr">
        <x:is>
          <x:t xml:space="preserve">text/plain; charset=utf-8</x:t>
        </x:is>
      </x:c>
      <x:c r="I52" s="12" t="n">
        <x:v>2073</x:v>
      </x:c>
      <x:c r="J52" s="13" t="inlineStr">
        <x:is>
          <x:t xml:space="preserve">31a5d613e9da174e19d3f5ce851ec64a86d1ea7ac5bda861d5b54656f0c50fd5</x:t>
        </x:is>
      </x:c>
      <x:c r="K52" s="12" t="inlineStr">
        <x:is>
          <x:t xml:space="preserve">2024-09-01 to 2025-08-31</x:t>
        </x:is>
      </x:c>
      <x:c r="L52" s="12" t="inlineStr">
        <x:is>
          <x:t xml:space="preserve">85-3149996</x:t>
        </x:is>
      </x:c>
      <x:c r="M52" s="12" t="inlineStr">
        <x:is>
          <x:t xml:space="preserve">202630139349300833</x:t>
        </x:is>
      </x:c>
      <x:c r="N52" s="12" t="inlineStr">
        <x:is>
          <x:t xml:space="preserve">official filing-derived derivative</x:t>
        </x:is>
      </x:c>
      <x:c r="O52" s="13" t="inlineStr">
        <x:is>
          <x:t xml:space="preserve">Official IRS filing identifier; ProPublica used for navigation/corroboration</x:t>
        </x:is>
      </x:c>
      <x:c r="P52" s="13" t="inlineStr">
        <x:is>
          <x:t xml:space="preserve">ProPublica Nonprofit Explorer rendered Form 990 financial and compensation tables; official IRS object ID captured from filing XML link. ProPublica lines 21-34, 67-90 in turn652640view1.</x:t>
        </x:is>
      </x:c>
      <x:c r="Q52" s="13" t="inlineStr">
        <x:is>
          <x:t xml:space="preserve">Cash proxy arithmetic and total-proxy arithmetic validated; source-native IRS XML could not be archived in this environment.</x:t>
        </x:is>
      </x:c>
    </x:row>
    <x:row r="53">
      <x:c r="A53" s="12" t="inlineStr">
        <x:is>
          <x:t xml:space="preserve">SRC-990-EXT-CENTER-FOR-AI-SAFETY</x:t>
        </x:is>
      </x:c>
      <x:c r="B53" s="12" t="inlineStr">
        <x:is>
          <x:t xml:space="preserve">Center for AI Safety</x:t>
        </x:is>
      </x:c>
      <x:c r="C53" s="12" t="inlineStr">
        <x:is>
          <x:t xml:space="preserve">Form 990 filing-derived snapshot</x:t>
        </x:is>
      </x:c>
      <x:c r="D53" s="16" t="inlineStr">
        <x:is>
          <x:t xml:space="preserve">https://apps.irs.gov/pub/epostcard/990/xml/2025/202503219349323615_public.xml</x:t>
        </x:is>
      </x:c>
      <x:c r="E53" s="16" t="inlineStr">
        <x:is>
          <x:t xml:space="preserve">https://projects.propublica.org/nonprofits/organizations/881751310</x:t>
        </x:is>
      </x:c>
      <x:c r="F53" s="12" t="inlineStr">
        <x:is>
          <x:t xml:space="preserve">2026-08-25</x:t>
        </x:is>
      </x:c>
      <x:c r="G53" s="16" t="inlineStr">
        <x:is>
          <x:t xml:space="preserve">sources/raw/src-990-ext-center-for-ai-safety.txt</x:t>
        </x:is>
      </x:c>
      <x:c r="H53" s="12" t="inlineStr">
        <x:is>
          <x:t xml:space="preserve">text/plain; charset=utf-8</x:t>
        </x:is>
      </x:c>
      <x:c r="I53" s="12" t="n">
        <x:v>1762</x:v>
      </x:c>
      <x:c r="J53" s="13" t="inlineStr">
        <x:is>
          <x:t xml:space="preserve">fa84c53828a46df2b033c2885b53e7c3e634a5c471f7ec5f5e1226f9fa172941</x:t>
        </x:is>
      </x:c>
      <x:c r="K53" s="12" t="inlineStr">
        <x:is>
          <x:t xml:space="preserve">2024-01-01 to 2024-12-31</x:t>
        </x:is>
      </x:c>
      <x:c r="L53" s="12" t="inlineStr">
        <x:is>
          <x:t xml:space="preserve">88-1751310</x:t>
        </x:is>
      </x:c>
      <x:c r="M53" s="12" t="inlineStr">
        <x:is>
          <x:t xml:space="preserve">202503219349323615</x:t>
        </x:is>
      </x:c>
      <x:c r="N53" s="12" t="inlineStr">
        <x:is>
          <x:t xml:space="preserve">official filing-derived derivative</x:t>
        </x:is>
      </x:c>
      <x:c r="O53" s="13" t="inlineStr">
        <x:is>
          <x:t xml:space="preserve">Official IRS filing identifier; ProPublica used for navigation/corroboration</x:t>
        </x:is>
      </x:c>
      <x:c r="P53" s="12" t="inlineStr">
        <x:is>
          <x:t xml:space="preserve">ProPublica latest 2024 filing table</x:t>
        </x:is>
      </x:c>
      <x:c r="Q53" s="13" t="inlineStr">
        <x:is>
          <x:t xml:space="preserve">Cash proxy arithmetic and total-proxy arithmetic validated; source-native IRS XML could not be archived in this environment.</x:t>
        </x:is>
      </x:c>
    </x:row>
    <x:row r="54">
      <x:c r="A54" s="12" t="inlineStr">
        <x:is>
          <x:t xml:space="preserve">SRC-990-EXT-CENTER-FOR-AI-AND-DIGITAL-POLICY</x:t>
        </x:is>
      </x:c>
      <x:c r="B54" s="12" t="inlineStr">
        <x:is>
          <x:t xml:space="preserve">Center for AI and Digital Policy</x:t>
        </x:is>
      </x:c>
      <x:c r="C54" s="12" t="inlineStr">
        <x:is>
          <x:t xml:space="preserve">Form 990 filing-derived snapshot</x:t>
        </x:is>
      </x:c>
      <x:c r="D54" s="16" t="inlineStr">
        <x:is>
          <x:t xml:space="preserve">https://apps.irs.gov/pub/epostcard/990/xml/2026/202631359349302858_public.xml</x:t>
        </x:is>
      </x:c>
      <x:c r="E54" s="16" t="inlineStr">
        <x:is>
          <x:t xml:space="preserve">https://projects.propublica.org/nonprofits/organizations/863350258</x:t>
        </x:is>
      </x:c>
      <x:c r="F54" s="12" t="inlineStr">
        <x:is>
          <x:t xml:space="preserve">2026-08-25</x:t>
        </x:is>
      </x:c>
      <x:c r="G54" s="16" t="inlineStr">
        <x:is>
          <x:t xml:space="preserve">sources/raw/src-990-ext-center-for-ai-and-digital-policy.txt</x:t>
        </x:is>
      </x:c>
      <x:c r="H54" s="12" t="inlineStr">
        <x:is>
          <x:t xml:space="preserve">text/plain; charset=utf-8</x:t>
        </x:is>
      </x:c>
      <x:c r="I54" s="12" t="n">
        <x:v>1942</x:v>
      </x:c>
      <x:c r="J54" s="13" t="inlineStr">
        <x:is>
          <x:t xml:space="preserve">c12c083eb469bdde2cd72a19120ed363c43cb81c65080e910069ab72c8889a6c</x:t>
        </x:is>
      </x:c>
      <x:c r="K54" s="12" t="inlineStr">
        <x:is>
          <x:t xml:space="preserve">2025-01-01 to 2025-12-31</x:t>
        </x:is>
      </x:c>
      <x:c r="L54" s="12" t="inlineStr">
        <x:is>
          <x:t xml:space="preserve">86-3350258</x:t>
        </x:is>
      </x:c>
      <x:c r="M54" s="12" t="inlineStr">
        <x:is>
          <x:t xml:space="preserve">202631359349302858</x:t>
        </x:is>
      </x:c>
      <x:c r="N54" s="12" t="inlineStr">
        <x:is>
          <x:t xml:space="preserve">official filing-derived derivative</x:t>
        </x:is>
      </x:c>
      <x:c r="O54" s="13" t="inlineStr">
        <x:is>
          <x:t xml:space="preserve">Official IRS filing identifier; ProPublica used for navigation/corroboration</x:t>
        </x:is>
      </x:c>
      <x:c r="P54" s="13" t="inlineStr">
        <x:is>
          <x:t xml:space="preserve">ProPublica filing-derived table; official IRS object ID identified from XML link; browser source turn681252view1.</x:t>
        </x:is>
      </x:c>
      <x:c r="Q54" s="13" t="inlineStr">
        <x:is>
          <x:t xml:space="preserve">Cash proxy arithmetic and total-proxy arithmetic validated; source-native IRS XML could not be archived in this environment.</x:t>
        </x:is>
      </x:c>
    </x:row>
    <x:row r="55">
      <x:c r="A55" s="13" t="inlineStr">
        <x:is>
          <x:t xml:space="preserve">SRC-990-EXT3-CENTER-FOR-ARMS-CONTROL-AND-NON-PROLIFERATION</x:t>
        </x:is>
      </x:c>
      <x:c r="B55" s="12" t="inlineStr">
        <x:is>
          <x:t xml:space="preserve">Center for Arms Control and Non-Proliferation</x:t>
        </x:is>
      </x:c>
      <x:c r="C55" s="12" t="inlineStr">
        <x:is>
          <x:t xml:space="preserve">Form 990 filing-derived snapshot</x:t>
        </x:is>
      </x:c>
      <x:c r="D55" s="16" t="inlineStr">
        <x:is>
          <x:t xml:space="preserve">https://apps.irs.gov/pub/epostcard/990/xml/2025/202523179349304722_public.xml</x:t>
        </x:is>
      </x:c>
      <x:c r="E55" s="16" t="inlineStr">
        <x:is>
          <x:t xml:space="preserve">https://projects.propublica.org/nonprofits/organizations/42693322</x:t>
        </x:is>
      </x:c>
      <x:c r="F55" s="12" t="inlineStr">
        <x:is>
          <x:t xml:space="preserve">2026-08-25T17:45:00-0700</x:t>
        </x:is>
      </x:c>
      <x:c r="G55" s="16" t="inlineStr">
        <x:is>
          <x:t xml:space="preserve">sources/raw/src-990-ext3-center-for-arms-control-and-non-proliferation.txt</x:t>
        </x:is>
      </x:c>
      <x:c r="H55" s="12" t="inlineStr">
        <x:is>
          <x:t xml:space="preserve">text/plain; charset=utf-8</x:t>
        </x:is>
      </x:c>
      <x:c r="I55" s="12" t="n">
        <x:v>2074</x:v>
      </x:c>
      <x:c r="J55" s="13" t="inlineStr">
        <x:is>
          <x:t xml:space="preserve">74c8e8d9eb8ad4b859e4dea2e6dd485ca8de164919bb3c43227940e85a4d5bcf</x:t>
        </x:is>
      </x:c>
      <x:c r="K55" s="12" t="inlineStr">
        <x:is>
          <x:t xml:space="preserve">2024-01-01 to 2024-12-31</x:t>
        </x:is>
      </x:c>
      <x:c r="L55" s="12" t="inlineStr">
        <x:is>
          <x:t xml:space="preserve">04-2693322</x:t>
        </x:is>
      </x:c>
      <x:c r="M55" s="12" t="inlineStr">
        <x:is>
          <x:t xml:space="preserve">202523179349304722</x:t>
        </x:is>
      </x:c>
      <x:c r="N55" s="12" t="inlineStr">
        <x:is>
          <x:t xml:space="preserve">official filing-derived derivative</x:t>
        </x:is>
      </x:c>
      <x:c r="O55" s="13" t="inlineStr">
        <x:is>
          <x:t xml:space="preserve">Official IRS filing identifier; ProPublica used for navigation/corroboration</x:t>
        </x:is>
      </x:c>
      <x:c r="P55" s="13" t="inlineStr">
        <x:is>
          <x:t xml:space="preserve">ProPublica Nonprofit Explorer rendered Form 990 financial and compensation tables; official IRS object ID captured from filing XML link. ProPublica lines 21-34, 67-89 in turn230180view4.</x:t>
        </x:is>
      </x:c>
      <x:c r="Q55" s="13" t="inlineStr">
        <x:is>
          <x:t xml:space="preserve">Cash proxy arithmetic and total-proxy arithmetic validated; source-native IRS XML could not be archived in this environment.</x:t>
        </x:is>
      </x:c>
    </x:row>
    <x:row r="56">
      <x:c r="A56" s="13" t="inlineStr">
        <x:is>
          <x:t xml:space="preserve">SRC-990-EXT-CENTER-FOR-CLIMATE-AND-ENERGY-SOLUTIONS</x:t>
        </x:is>
      </x:c>
      <x:c r="B56" s="12" t="inlineStr">
        <x:is>
          <x:t xml:space="preserve">Center for Climate and Energy Solutions</x:t>
        </x:is>
      </x:c>
      <x:c r="C56" s="12" t="inlineStr">
        <x:is>
          <x:t xml:space="preserve">Form 990 filing-derived snapshot</x:t>
        </x:is>
      </x:c>
      <x:c r="D56" s="16" t="inlineStr">
        <x:is>
          <x:t xml:space="preserve">https://apps.irs.gov/pub/epostcard/990/xml/2026/202631619349300808_public.xml</x:t>
        </x:is>
      </x:c>
      <x:c r="E56" s="16" t="inlineStr">
        <x:is>
          <x:t xml:space="preserve">https://projects.propublica.org/nonprofits/organizations/541892252</x:t>
        </x:is>
      </x:c>
      <x:c r="F56" s="12" t="inlineStr">
        <x:is>
          <x:t xml:space="preserve">2026-08-25</x:t>
        </x:is>
      </x:c>
      <x:c r="G56" s="16" t="inlineStr">
        <x:is>
          <x:t xml:space="preserve">sources/raw/src-990-ext-center-for-climate-and-energy-solutions.txt</x:t>
        </x:is>
      </x:c>
      <x:c r="H56" s="12" t="inlineStr">
        <x:is>
          <x:t xml:space="preserve">text/plain; charset=utf-8</x:t>
        </x:is>
      </x:c>
      <x:c r="I56" s="12" t="n">
        <x:v>1919</x:v>
      </x:c>
      <x:c r="J56" s="13" t="inlineStr">
        <x:is>
          <x:t xml:space="preserve">21ae8f895d8b19302da029fc73bfc7f848440daeed3ec05d61855349121e58ad</x:t>
        </x:is>
      </x:c>
      <x:c r="K56" s="12" t="inlineStr">
        <x:is>
          <x:t xml:space="preserve">2024-04-01 to 2025-03-31</x:t>
        </x:is>
      </x:c>
      <x:c r="L56" s="12" t="inlineStr">
        <x:is>
          <x:t xml:space="preserve">54-1892252</x:t>
        </x:is>
      </x:c>
      <x:c r="M56" s="12" t="inlineStr">
        <x:is>
          <x:t xml:space="preserve">202631619349300808</x:t>
        </x:is>
      </x:c>
      <x:c r="N56" s="12" t="inlineStr">
        <x:is>
          <x:t xml:space="preserve">official filing-derived derivative</x:t>
        </x:is>
      </x:c>
      <x:c r="O56" s="13" t="inlineStr">
        <x:is>
          <x:t xml:space="preserve">Official IRS filing identifier; ProPublica used for navigation/corroboration</x:t>
        </x:is>
      </x:c>
      <x:c r="P56" s="13" t="inlineStr">
        <x:is>
          <x:t xml:space="preserve">ProPublica filing-derived table lines 21-93; IRS object ID from XML link</x:t>
        </x:is>
      </x:c>
      <x:c r="Q56" s="13" t="inlineStr">
        <x:is>
          <x:t xml:space="preserve">Cash proxy arithmetic and total-proxy arithmetic validated; source-native IRS XML could not be archived in this environment.</x:t>
        </x:is>
      </x:c>
    </x:row>
    <x:row r="57">
      <x:c r="A57" s="12" t="inlineStr">
        <x:is>
          <x:t xml:space="preserve">SRC-990-CDT-2024</x:t>
        </x:is>
      </x:c>
      <x:c r="B57" s="12" t="inlineStr">
        <x:is>
          <x:t xml:space="preserve">Center for Democracy &amp; Technology</x:t>
        </x:is>
      </x:c>
      <x:c r="C57" s="12" t="inlineStr">
        <x:is>
          <x:t xml:space="preserve">Form 990 filing-derived snapshot</x:t>
        </x:is>
      </x:c>
      <x:c r="D57" s="16" t="inlineStr">
        <x:is>
          <x:t xml:space="preserve">https://apps.irs.gov/pub/epostcard/990/xml/2025/202533219349301933_public.xml</x:t>
        </x:is>
      </x:c>
      <x:c r="E57" s="16" t="inlineStr">
        <x:is>
          <x:t xml:space="preserve">https://projects.propublica.org/nonprofits/organizations/521905358</x:t>
        </x:is>
      </x:c>
      <x:c r="F57" s="12" t="inlineStr">
        <x:is>
          <x:t xml:space="preserve">2026-08-17T18:45:00-07:00</x:t>
        </x:is>
      </x:c>
      <x:c r="G57" s="17" t="inlineStr">
        <x:is>
          <x:t xml:space="preserve">sources/raw/src-990-cdt-2024.txt</x:t>
        </x:is>
      </x:c>
      <x:c r="H57" s="12" t="inlineStr">
        <x:is>
          <x:t xml:space="preserve">text/plain; charset=utf-8</x:t>
        </x:is>
      </x:c>
      <x:c r="I57" s="12" t="n">
        <x:v>1682</x:v>
      </x:c>
      <x:c r="J57" s="13" t="inlineStr">
        <x:is>
          <x:t xml:space="preserve">7d4773546664b6a2a4cbdb9d699b0d1b4efd65075ff3ff892fdcb08d13708210</x:t>
        </x:is>
      </x:c>
      <x:c r="K57" s="12" t="inlineStr">
        <x:is>
          <x:t xml:space="preserve">2024-01-01 to 2024-12-31</x:t>
        </x:is>
      </x:c>
      <x:c r="L57" s="12" t="inlineStr">
        <x:is>
          <x:t xml:space="preserve">52-1905358</x:t>
        </x:is>
      </x:c>
      <x:c r="M57" s="12" t="inlineStr">
        <x:is>
          <x:t xml:space="preserve">202533219349301933</x:t>
        </x:is>
      </x:c>
      <x:c r="N57" s="12" t="inlineStr">
        <x:is>
          <x:t xml:space="preserve">derivative</x:t>
        </x:is>
      </x:c>
      <x:c r="O57" s="13" t="inlineStr">
        <x:is>
          <x:t xml:space="preserve">official filing via IRS; browser rendering via ProPublica where available</x:t>
        </x:is>
      </x:c>
      <x:c r="P57" s="12" t="inlineStr">
        <x:is>
          <x:t xml:space="preserve">turn787259view3 L21-L91</x:t>
        </x:is>
      </x:c>
      <x:c r="Q5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58">
      <x:c r="A58" s="12" t="inlineStr">
        <x:is>
          <x:t xml:space="preserve">SRC-990-EXT-CENTER-FOR-DEMOCRACY-TECHNOLOGY</x:t>
        </x:is>
      </x:c>
      <x:c r="B58" s="12" t="inlineStr">
        <x:is>
          <x:t xml:space="preserve">Center for Democracy &amp; Technology</x:t>
        </x:is>
      </x:c>
      <x:c r="C58" s="12" t="inlineStr">
        <x:is>
          <x:t xml:space="preserve">Form 990 filing-derived snapshot</x:t>
        </x:is>
      </x:c>
      <x:c r="D58" s="16" t="inlineStr">
        <x:is>
          <x:t xml:space="preserve">https://apps.irs.gov/pub/epostcard/990/xml/2025/202533219349301933_public.xml</x:t>
        </x:is>
      </x:c>
      <x:c r="E58" s="16" t="inlineStr">
        <x:is>
          <x:t xml:space="preserve">https://projects.propublica.org/nonprofits/organizations/521905358</x:t>
        </x:is>
      </x:c>
      <x:c r="F58" s="12" t="inlineStr">
        <x:is>
          <x:t xml:space="preserve">2026-08-25</x:t>
        </x:is>
      </x:c>
      <x:c r="G58" s="16" t="inlineStr">
        <x:is>
          <x:t xml:space="preserve">sources/raw/src-990-ext-center-for-democracy-technology.txt</x:t>
        </x:is>
      </x:c>
      <x:c r="H58" s="12" t="inlineStr">
        <x:is>
          <x:t xml:space="preserve">text/plain; charset=utf-8</x:t>
        </x:is>
      </x:c>
      <x:c r="I58" s="12" t="n">
        <x:v>1904</x:v>
      </x:c>
      <x:c r="J58" s="13" t="inlineStr">
        <x:is>
          <x:t xml:space="preserve">2fe71e392ef24178aaa986d1517cffc54e97ca9e74c5a6422b87c9bc4738ca64</x:t>
        </x:is>
      </x:c>
      <x:c r="K58" s="12" t="inlineStr">
        <x:is>
          <x:t xml:space="preserve">2024-01-01 to 2024-12-31</x:t>
        </x:is>
      </x:c>
      <x:c r="L58" s="12" t="inlineStr">
        <x:is>
          <x:t xml:space="preserve">52-1905358</x:t>
        </x:is>
      </x:c>
      <x:c r="M58" s="12" t="inlineStr">
        <x:is>
          <x:t xml:space="preserve">202533219349301933</x:t>
        </x:is>
      </x:c>
      <x:c r="N58" s="12" t="inlineStr">
        <x:is>
          <x:t xml:space="preserve">official filing-derived derivative</x:t>
        </x:is>
      </x:c>
      <x:c r="O58" s="13" t="inlineStr">
        <x:is>
          <x:t xml:space="preserve">Official IRS filing identifier; ProPublica used for navigation/corroboration</x:t>
        </x:is>
      </x:c>
      <x:c r="P58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58" s="13" t="inlineStr">
        <x:is>
          <x:t xml:space="preserve">Cash proxy arithmetic and total-proxy arithmetic validated; source-native IRS XML could not be archived in this environment.</x:t>
        </x:is>
      </x:c>
    </x:row>
    <x:row r="59">
      <x:c r="A59" s="13" t="inlineStr">
        <x:is>
          <x:t xml:space="preserve">SRC-990-EXT-CENTER-FOR-ECONOMIC-AND-POLICY-RESEARCH</x:t>
        </x:is>
      </x:c>
      <x:c r="B59" s="12" t="inlineStr">
        <x:is>
          <x:t xml:space="preserve">Center for Economic and Policy Research</x:t>
        </x:is>
      </x:c>
      <x:c r="C59" s="12" t="inlineStr">
        <x:is>
          <x:t xml:space="preserve">Form 990 filing-derived snapshot</x:t>
        </x:is>
      </x:c>
      <x:c r="D59" s="16" t="inlineStr">
        <x:is>
          <x:t xml:space="preserve">https://apps.irs.gov/pub/epostcard/990/xml/2025/202543169349304999_public.xml</x:t>
        </x:is>
      </x:c>
      <x:c r="E59" s="16" t="inlineStr">
        <x:is>
          <x:t xml:space="preserve">https://projects.propublica.org/nonprofits/organizations/522204029</x:t>
        </x:is>
      </x:c>
      <x:c r="F59" s="12" t="inlineStr">
        <x:is>
          <x:t xml:space="preserve">2026-08-25</x:t>
        </x:is>
      </x:c>
      <x:c r="G59" s="16" t="inlineStr">
        <x:is>
          <x:t xml:space="preserve">sources/raw/src-990-ext-center-for-economic-and-policy-research.txt</x:t>
        </x:is>
      </x:c>
      <x:c r="H59" s="12" t="inlineStr">
        <x:is>
          <x:t xml:space="preserve">text/plain; charset=utf-8</x:t>
        </x:is>
      </x:c>
      <x:c r="I59" s="12" t="n">
        <x:v>1971</x:v>
      </x:c>
      <x:c r="J59" s="13" t="inlineStr">
        <x:is>
          <x:t xml:space="preserve">df62484b910589cb7640a99a843017b1cd037737839202dbe8dde2c5eb26aab4</x:t>
        </x:is>
      </x:c>
      <x:c r="K59" s="12" t="inlineStr">
        <x:is>
          <x:t xml:space="preserve">2024-01-01 to 2024-12-31</x:t>
        </x:is>
      </x:c>
      <x:c r="L59" s="12" t="inlineStr">
        <x:is>
          <x:t xml:space="preserve">52-2204029</x:t>
        </x:is>
      </x:c>
      <x:c r="M59" s="12" t="inlineStr">
        <x:is>
          <x:t xml:space="preserve">202543169349304999</x:t>
        </x:is>
      </x:c>
      <x:c r="N59" s="12" t="inlineStr">
        <x:is>
          <x:t xml:space="preserve">official filing-derived derivative</x:t>
        </x:is>
      </x:c>
      <x:c r="O59" s="13" t="inlineStr">
        <x:is>
          <x:t xml:space="preserve">Official IRS filing identifier; ProPublica used for navigation/corroboration</x:t>
        </x:is>
      </x:c>
      <x:c r="P59" s="13" t="inlineStr">
        <x:is>
          <x:t xml:space="preserve">ProPublica filing-derived table lines 21-91; IRS object ID from XML link</x:t>
        </x:is>
      </x:c>
      <x:c r="Q59" s="13" t="inlineStr">
        <x:is>
          <x:t xml:space="preserve">Cash proxy arithmetic and total-proxy arithmetic validated; source-native IRS XML could not be archived in this environment.</x:t>
        </x:is>
      </x:c>
    </x:row>
    <x:row r="60">
      <x:c r="A60" s="12" t="inlineStr">
        <x:is>
          <x:t xml:space="preserve">SRC-990-CEA</x:t>
        </x:is>
      </x:c>
      <x:c r="B60" s="12" t="inlineStr">
        <x:is>
          <x:t xml:space="preserve">Center for Effective Altruism / legal host</x:t>
        </x:is>
      </x:c>
      <x:c r="C60" s="12" t="inlineStr">
        <x:is>
          <x:t xml:space="preserve">Form 990 filing-derived snapshot</x:t>
        </x:is>
      </x:c>
      <x:c r="D60" s="17" t="inlineStr">
        <x:is>
          <x:t xml:space="preserve">not established</x:t>
        </x:is>
      </x:c>
      <x:c r="E60" s="17" t="inlineStr">
        <x:is>
          <x:t xml:space="preserve">not established</x:t>
        </x:is>
      </x:c>
      <x:c r="F60" s="12" t="inlineStr">
        <x:is>
          <x:t xml:space="preserve">2026-08-17T18:45:00-07:00</x:t>
        </x:is>
      </x:c>
      <x:c r="G60" s="17" t="inlineStr">
        <x:is>
          <x:t xml:space="preserve">sources/raw/src-990-cea.txt</x:t>
        </x:is>
      </x:c>
      <x:c r="H60" s="12" t="inlineStr">
        <x:is>
          <x:t xml:space="preserve">text/plain; charset=utf-8</x:t>
        </x:is>
      </x:c>
      <x:c r="I60" s="12" t="n">
        <x:v>1634</x:v>
      </x:c>
      <x:c r="J60" s="13" t="inlineStr">
        <x:is>
          <x:t xml:space="preserve">5d5c042bbd79bac4e94909e9dd27c5b3181ac23bb4c501da16bde4c7e2d9c85b</x:t>
        </x:is>
      </x:c>
      <x:c r="K60" s="12" t="inlineStr">
        <x:is>
          <x:t xml:space="preserve"> to </x:t>
        </x:is>
      </x:c>
      <x:c r="L60" s="12" t="inlineStr">
        <x:is>
          <x:t xml:space="preserve">not established</x:t>
        </x:is>
      </x:c>
      <x:c r="M60" s="12" t="inlineStr">
        <x:is>
          <x:t xml:space="preserve">not established</x:t>
        </x:is>
      </x:c>
      <x:c r="N60" s="12" t="inlineStr">
        <x:is>
          <x:t xml:space="preserve">derivative</x:t>
        </x:is>
      </x:c>
      <x:c r="O60" s="13" t="inlineStr">
        <x:is>
          <x:t xml:space="preserve">official filing via IRS; browser rendering via ProPublica where available</x:t>
        </x:is>
      </x:c>
      <x:c r="P60" s="12" t="inlineStr">
        <x:is>
          <x:t xml:space="preserve">unsuccessful entity-resolution search</x:t>
        </x:is>
      </x:c>
      <x:c r="Q60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61">
      <x:c r="A61" s="12" t="inlineStr">
        <x:is>
          <x:t xml:space="preserve">SRC-990-EXT-CENTER-FOR-EFFECTIVE-PHILANTHROPY</x:t>
        </x:is>
      </x:c>
      <x:c r="B61" s="12" t="inlineStr">
        <x:is>
          <x:t xml:space="preserve">Center for Effective Philanthropy</x:t>
        </x:is>
      </x:c>
      <x:c r="C61" s="12" t="inlineStr">
        <x:is>
          <x:t xml:space="preserve">Form 990 filing-derived snapshot</x:t>
        </x:is>
      </x:c>
      <x:c r="D61" s="16" t="inlineStr">
        <x:is>
          <x:t xml:space="preserve">https://apps.irs.gov/pub/epostcard/990/xml/2026/202602039349300145_public.xml</x:t>
        </x:is>
      </x:c>
      <x:c r="E61" s="16" t="inlineStr">
        <x:is>
          <x:t xml:space="preserve">https://projects.propublica.org/nonprofits/organizations/43523528</x:t>
        </x:is>
      </x:c>
      <x:c r="F61" s="12" t="inlineStr">
        <x:is>
          <x:t xml:space="preserve">2026-08-25</x:t>
        </x:is>
      </x:c>
      <x:c r="G61" s="16" t="inlineStr">
        <x:is>
          <x:t xml:space="preserve">sources/raw/src-990-ext-center-for-effective-philanthropy.txt</x:t>
        </x:is>
      </x:c>
      <x:c r="H61" s="12" t="inlineStr">
        <x:is>
          <x:t xml:space="preserve">text/plain; charset=utf-8</x:t>
        </x:is>
      </x:c>
      <x:c r="I61" s="12" t="n">
        <x:v>1780</x:v>
      </x:c>
      <x:c r="J61" s="13" t="inlineStr">
        <x:is>
          <x:t xml:space="preserve">04627e811fcf2b9e8cafa28d80d5761be729172b57c46fb54b4d08d5ec00a4cb</x:t>
        </x:is>
      </x:c>
      <x:c r="K61" s="12" t="inlineStr">
        <x:is>
          <x:t xml:space="preserve">2025-01-01 to 2025-12-31</x:t>
        </x:is>
      </x:c>
      <x:c r="L61" s="12" t="inlineStr">
        <x:is>
          <x:t xml:space="preserve">04-3523528</x:t>
        </x:is>
      </x:c>
      <x:c r="M61" s="12" t="inlineStr">
        <x:is>
          <x:t xml:space="preserve">202602039349300145</x:t>
        </x:is>
      </x:c>
      <x:c r="N61" s="12" t="inlineStr">
        <x:is>
          <x:t xml:space="preserve">official filing-derived derivative</x:t>
        </x:is>
      </x:c>
      <x:c r="O61" s="13" t="inlineStr">
        <x:is>
          <x:t xml:space="preserve">Official IRS filing identifier; ProPublica used for navigation/corroboration</x:t>
        </x:is>
      </x:c>
      <x:c r="P61" s="12" t="inlineStr">
        <x:is>
          <x:t xml:space="preserve">ProPublica latest 2025 filing table</x:t>
        </x:is>
      </x:c>
      <x:c r="Q61" s="13" t="inlineStr">
        <x:is>
          <x:t xml:space="preserve">Cash proxy arithmetic and total-proxy arithmetic validated; source-native IRS XML could not be archived in this environment.</x:t>
        </x:is>
      </x:c>
    </x:row>
    <x:row r="62">
      <x:c r="A62" s="12" t="inlineStr">
        <x:is>
          <x:t xml:space="preserve">SRC-990-CGD-2024</x:t>
        </x:is>
      </x:c>
      <x:c r="B62" s="12" t="inlineStr">
        <x:is>
          <x:t xml:space="preserve">Center for Global Development</x:t>
        </x:is>
      </x:c>
      <x:c r="C62" s="12" t="inlineStr">
        <x:is>
          <x:t xml:space="preserve">Form 990 filing-derived snapshot</x:t>
        </x:is>
      </x:c>
      <x:c r="D62" s="16" t="inlineStr">
        <x:is>
          <x:t xml:space="preserve">https://projects.propublica.org/nonprofits/organizations/522351337</x:t>
        </x:is>
      </x:c>
      <x:c r="E62" s="16" t="inlineStr">
        <x:is>
          <x:t xml:space="preserve">https://projects.propublica.org/nonprofits/organizations/522351337</x:t>
        </x:is>
      </x:c>
      <x:c r="F62" s="12" t="inlineStr">
        <x:is>
          <x:t xml:space="preserve">2026-08-17T18:45:00-07:00</x:t>
        </x:is>
      </x:c>
      <x:c r="G62" s="17" t="inlineStr">
        <x:is>
          <x:t xml:space="preserve">sources/raw/src-990-cgd-2024.txt</x:t>
        </x:is>
      </x:c>
      <x:c r="H62" s="12" t="inlineStr">
        <x:is>
          <x:t xml:space="preserve">text/plain; charset=utf-8</x:t>
        </x:is>
      </x:c>
      <x:c r="I62" s="12" t="n">
        <x:v>1751</x:v>
      </x:c>
      <x:c r="J62" s="13" t="inlineStr">
        <x:is>
          <x:t xml:space="preserve">a9472495cdcbdb0c38c5f13af77a6dd5eba8ca71d6d7a52f70da0f687701d7fd</x:t>
        </x:is>
      </x:c>
      <x:c r="K62" s="12" t="inlineStr">
        <x:is>
          <x:t xml:space="preserve">2024-01-01 to 2024-12-31</x:t>
        </x:is>
      </x:c>
      <x:c r="L62" s="12" t="inlineStr">
        <x:is>
          <x:t xml:space="preserve">52-2351337</x:t>
        </x:is>
      </x:c>
      <x:c r="M62" s="12" t="inlineStr">
        <x:is>
          <x:t xml:space="preserve">not captured</x:t>
        </x:is>
      </x:c>
      <x:c r="N62" s="12" t="inlineStr">
        <x:is>
          <x:t xml:space="preserve">derivative</x:t>
        </x:is>
      </x:c>
      <x:c r="O62" s="13" t="inlineStr">
        <x:is>
          <x:t xml:space="preserve">official filing via IRS; browser rendering via ProPublica where available</x:t>
        </x:is>
      </x:c>
      <x:c r="P62" s="12" t="inlineStr">
        <x:is>
          <x:t xml:space="preserve">turn498315search3</x:t>
        </x:is>
      </x:c>
      <x:c r="Q6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63">
      <x:c r="A63" s="13" t="inlineStr">
        <x:is>
          <x:t xml:space="preserve">SRC-990-EXT3-CENTER-FOR-HEALTH-CARE-STRATEGIES</x:t>
        </x:is>
      </x:c>
      <x:c r="B63" s="12" t="inlineStr">
        <x:is>
          <x:t xml:space="preserve">Center for Health Care Strategies</x:t>
        </x:is>
      </x:c>
      <x:c r="C63" s="12" t="inlineStr">
        <x:is>
          <x:t xml:space="preserve">Form 990 filing-derived snapshot</x:t>
        </x:is>
      </x:c>
      <x:c r="D63" s="16" t="inlineStr">
        <x:is>
          <x:t xml:space="preserve">https://apps.irs.gov/pub/epostcard/990/xml/2026/202631279349304653_public.xml</x:t>
        </x:is>
      </x:c>
      <x:c r="E63" s="16" t="inlineStr">
        <x:is>
          <x:t xml:space="preserve">https://projects.propublica.org/nonprofits/organizations/223375015</x:t>
        </x:is>
      </x:c>
      <x:c r="F63" s="12" t="inlineStr">
        <x:is>
          <x:t xml:space="preserve">2026-08-25T17:45:00-0700</x:t>
        </x:is>
      </x:c>
      <x:c r="G63" s="16" t="inlineStr">
        <x:is>
          <x:t xml:space="preserve">sources/raw/src-990-ext3-center-for-health-care-strategies.txt</x:t>
        </x:is>
      </x:c>
      <x:c r="H63" s="12" t="inlineStr">
        <x:is>
          <x:t xml:space="preserve">text/plain; charset=utf-8</x:t>
        </x:is>
      </x:c>
      <x:c r="I63" s="12" t="n">
        <x:v>2022</x:v>
      </x:c>
      <x:c r="J63" s="13" t="inlineStr">
        <x:is>
          <x:t xml:space="preserve">deb505418bf006ae67f8125d17edde04b3fa769345c3b5e3a536f0cc0e906f5a</x:t>
        </x:is>
      </x:c>
      <x:c r="K63" s="12" t="inlineStr">
        <x:is>
          <x:t xml:space="preserve">2024-07-01 to 2025-06-30</x:t>
        </x:is>
      </x:c>
      <x:c r="L63" s="12" t="inlineStr">
        <x:is>
          <x:t xml:space="preserve">22-3375015</x:t>
        </x:is>
      </x:c>
      <x:c r="M63" s="12" t="inlineStr">
        <x:is>
          <x:t xml:space="preserve">202631279349304653</x:t>
        </x:is>
      </x:c>
      <x:c r="N63" s="12" t="inlineStr">
        <x:is>
          <x:t xml:space="preserve">official filing-derived derivative</x:t>
        </x:is>
      </x:c>
      <x:c r="O63" s="13" t="inlineStr">
        <x:is>
          <x:t xml:space="preserve">Official IRS filing identifier; ProPublica used for navigation/corroboration</x:t>
        </x:is>
      </x:c>
      <x:c r="P63" s="13" t="inlineStr">
        <x:is>
          <x:t xml:space="preserve">ProPublica Nonprofit Explorer rendered Form 990 financial and compensation tables; official IRS object ID captured from filing XML link. ProPublica lines 21-34, 67-89 in turn604752view1.</x:t>
        </x:is>
      </x:c>
      <x:c r="Q63" s="13" t="inlineStr">
        <x:is>
          <x:t xml:space="preserve">Cash proxy arithmetic and total-proxy arithmetic validated; source-native IRS XML could not be archived in this environment.</x:t>
        </x:is>
      </x:c>
    </x:row>
    <x:row r="64">
      <x:c r="A64" s="12" t="inlineStr">
        <x:is>
          <x:t xml:space="preserve">SRC-990-EXT3-CENTER-FOR-INTERNATIONAL-POLICY</x:t>
        </x:is>
      </x:c>
      <x:c r="B64" s="12" t="inlineStr">
        <x:is>
          <x:t xml:space="preserve">Center for International Policy</x:t>
        </x:is>
      </x:c>
      <x:c r="C64" s="12" t="inlineStr">
        <x:is>
          <x:t xml:space="preserve">Form 990 filing-derived snapshot</x:t>
        </x:is>
      </x:c>
      <x:c r="D64" s="16" t="inlineStr">
        <x:is>
          <x:t xml:space="preserve">https://apps.irs.gov/pub/epostcard/990/xml/2025/202513189349309501_public.xml</x:t>
        </x:is>
      </x:c>
      <x:c r="E64" s="16" t="inlineStr">
        <x:is>
          <x:t xml:space="preserve">https://projects.propublica.org/nonprofits/organizations/521446207</x:t>
        </x:is>
      </x:c>
      <x:c r="F64" s="12" t="inlineStr">
        <x:is>
          <x:t xml:space="preserve">2026-08-25T17:45:00-0700</x:t>
        </x:is>
      </x:c>
      <x:c r="G64" s="16" t="inlineStr">
        <x:is>
          <x:t xml:space="preserve">sources/raw/src-990-ext3-center-for-international-policy.txt</x:t>
        </x:is>
      </x:c>
      <x:c r="H64" s="12" t="inlineStr">
        <x:is>
          <x:t xml:space="preserve">text/plain; charset=utf-8</x:t>
        </x:is>
      </x:c>
      <x:c r="I64" s="12" t="n">
        <x:v>2056</x:v>
      </x:c>
      <x:c r="J64" s="13" t="inlineStr">
        <x:is>
          <x:t xml:space="preserve">fcac673d016ac6732a5df294b0f080871391ac3a1f0319ec1f760b5ad5c740f1</x:t>
        </x:is>
      </x:c>
      <x:c r="K64" s="12" t="inlineStr">
        <x:is>
          <x:t xml:space="preserve">2024-01-01 to 2024-12-31</x:t>
        </x:is>
      </x:c>
      <x:c r="L64" s="12" t="inlineStr">
        <x:is>
          <x:t xml:space="preserve">52-1446207</x:t>
        </x:is>
      </x:c>
      <x:c r="M64" s="12" t="inlineStr">
        <x:is>
          <x:t xml:space="preserve">202513189349309501</x:t>
        </x:is>
      </x:c>
      <x:c r="N64" s="12" t="inlineStr">
        <x:is>
          <x:t xml:space="preserve">official filing-derived derivative</x:t>
        </x:is>
      </x:c>
      <x:c r="O64" s="13" t="inlineStr">
        <x:is>
          <x:t xml:space="preserve">Official IRS filing identifier; ProPublica used for navigation/corroboration</x:t>
        </x:is>
      </x:c>
      <x:c r="P64" s="13" t="inlineStr">
        <x:is>
          <x:t xml:space="preserve">ProPublica Nonprofit Explorer rendered Form 990 financial and compensation tables; official IRS object ID captured from filing XML link. ProPublica lines 21-34, 67-89 in turn230180view6.</x:t>
        </x:is>
      </x:c>
      <x:c r="Q64" s="13" t="inlineStr">
        <x:is>
          <x:t xml:space="preserve">Cash proxy arithmetic and total-proxy arithmetic validated; source-native IRS XML could not be archived in this environment.</x:t>
        </x:is>
      </x:c>
    </x:row>
    <x:row r="65">
      <x:c r="A65" s="12" t="inlineStr">
        <x:is>
          <x:t xml:space="preserve">SRC-990-EXT-CENTER-FOR-LAW-AND-SOCIAL-POLICY</x:t>
        </x:is>
      </x:c>
      <x:c r="B65" s="12" t="inlineStr">
        <x:is>
          <x:t xml:space="preserve">Center for Law and Social Policy</x:t>
        </x:is>
      </x:c>
      <x:c r="C65" s="12" t="inlineStr">
        <x:is>
          <x:t xml:space="preserve">Form 990 filing-derived snapshot</x:t>
        </x:is>
      </x:c>
      <x:c r="D65" s="16" t="inlineStr">
        <x:is>
          <x:t xml:space="preserve">https://apps.irs.gov/pub/epostcard/990/xml/2025/202513189349314621_public.xml</x:t>
        </x:is>
      </x:c>
      <x:c r="E65" s="16" t="inlineStr">
        <x:is>
          <x:t xml:space="preserve">https://projects.propublica.org/nonprofits/organizations/237000150</x:t>
        </x:is>
      </x:c>
      <x:c r="F65" s="12" t="inlineStr">
        <x:is>
          <x:t xml:space="preserve">2026-08-25</x:t>
        </x:is>
      </x:c>
      <x:c r="G65" s="16" t="inlineStr">
        <x:is>
          <x:t xml:space="preserve">sources/raw/src-990-ext-center-for-law-and-social-policy.txt</x:t>
        </x:is>
      </x:c>
      <x:c r="H65" s="12" t="inlineStr">
        <x:is>
          <x:t xml:space="preserve">text/plain; charset=utf-8</x:t>
        </x:is>
      </x:c>
      <x:c r="I65" s="12" t="n">
        <x:v>1873</x:v>
      </x:c>
      <x:c r="J65" s="13" t="inlineStr">
        <x:is>
          <x:t xml:space="preserve">69db004ba8b65bfc4eb9aa20a0d0a5177f6809fb50e7a231a744050cea5b634e</x:t>
        </x:is>
      </x:c>
      <x:c r="K65" s="12" t="inlineStr">
        <x:is>
          <x:t xml:space="preserve">2024-01-01 to 2024-12-31</x:t>
        </x:is>
      </x:c>
      <x:c r="L65" s="12" t="inlineStr">
        <x:is>
          <x:t xml:space="preserve">23-7000150</x:t>
        </x:is>
      </x:c>
      <x:c r="M65" s="12" t="inlineStr">
        <x:is>
          <x:t xml:space="preserve">202513189349314621</x:t>
        </x:is>
      </x:c>
      <x:c r="N65" s="12" t="inlineStr">
        <x:is>
          <x:t xml:space="preserve">official filing-derived derivative</x:t>
        </x:is>
      </x:c>
      <x:c r="O65" s="13" t="inlineStr">
        <x:is>
          <x:t xml:space="preserve">Official IRS filing identifier; ProPublica used for navigation/corroboration</x:t>
        </x:is>
      </x:c>
      <x:c r="P65" s="12" t="inlineStr">
        <x:is>
          <x:t xml:space="preserve">ProPublica filing plus CLASP announcement</x:t>
        </x:is>
      </x:c>
      <x:c r="Q65" s="13" t="inlineStr">
        <x:is>
          <x:t xml:space="preserve">Cash proxy arithmetic and total-proxy arithmetic validated; source-native IRS XML could not be archived in this environment.</x:t>
        </x:is>
      </x:c>
    </x:row>
    <x:row r="66">
      <x:c r="A66" s="12" t="inlineStr">
        <x:is>
          <x:t xml:space="preserve">SRC-990-COS-2024</x:t>
        </x:is>
      </x:c>
      <x:c r="B66" s="12" t="inlineStr">
        <x:is>
          <x:t xml:space="preserve">Center for Open Science</x:t>
        </x:is>
      </x:c>
      <x:c r="C66" s="12" t="inlineStr">
        <x:is>
          <x:t xml:space="preserve">Form 990 filing-derived snapshot</x:t>
        </x:is>
      </x:c>
      <x:c r="D66" s="16" t="inlineStr">
        <x:is>
          <x:t xml:space="preserve">https://apps.irs.gov/pub/epostcard/990/xml/2025/202513219349318466_public.xml</x:t>
        </x:is>
      </x:c>
      <x:c r="E66" s="16" t="inlineStr">
        <x:is>
          <x:t xml:space="preserve">https://projects.propublica.org/nonprofits/organizations/461496217</x:t>
        </x:is>
      </x:c>
      <x:c r="F66" s="12" t="inlineStr">
        <x:is>
          <x:t xml:space="preserve">2026-08-17T18:45:00-07:00</x:t>
        </x:is>
      </x:c>
      <x:c r="G66" s="17" t="inlineStr">
        <x:is>
          <x:t xml:space="preserve">sources/raw/src-990-cos-2024.txt</x:t>
        </x:is>
      </x:c>
      <x:c r="H66" s="12" t="inlineStr">
        <x:is>
          <x:t xml:space="preserve">text/plain; charset=utf-8</x:t>
        </x:is>
      </x:c>
      <x:c r="I66" s="12" t="n">
        <x:v>1688</x:v>
      </x:c>
      <x:c r="J66" s="13" t="inlineStr">
        <x:is>
          <x:t xml:space="preserve">83c4d591f9b11cd3bec3a880b771736049a0190be669966339d61750c1931daf</x:t>
        </x:is>
      </x:c>
      <x:c r="K66" s="12" t="inlineStr">
        <x:is>
          <x:t xml:space="preserve">2024-01-01 to 2024-12-31</x:t>
        </x:is>
      </x:c>
      <x:c r="L66" s="12" t="inlineStr">
        <x:is>
          <x:t xml:space="preserve">46-1496217</x:t>
        </x:is>
      </x:c>
      <x:c r="M66" s="12" t="inlineStr">
        <x:is>
          <x:t xml:space="preserve">202513219349318466</x:t>
        </x:is>
      </x:c>
      <x:c r="N66" s="12" t="inlineStr">
        <x:is>
          <x:t xml:space="preserve">derivative</x:t>
        </x:is>
      </x:c>
      <x:c r="O66" s="13" t="inlineStr">
        <x:is>
          <x:t xml:space="preserve">official filing via IRS; browser rendering via ProPublica where available</x:t>
        </x:is>
      </x:c>
      <x:c r="P66" s="12" t="inlineStr">
        <x:is>
          <x:t xml:space="preserve">turn787259view1 L25-L96</x:t>
        </x:is>
      </x:c>
      <x:c r="Q6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67">
      <x:c r="A67" s="12" t="inlineStr">
        <x:is>
          <x:t xml:space="preserve">SRC-990-EXT-CENTER-FOR-OPEN-SCIENCE</x:t>
        </x:is>
      </x:c>
      <x:c r="B67" s="12" t="inlineStr">
        <x:is>
          <x:t xml:space="preserve">Center for Open Science</x:t>
        </x:is>
      </x:c>
      <x:c r="C67" s="12" t="inlineStr">
        <x:is>
          <x:t xml:space="preserve">Form 990 filing-derived snapshot</x:t>
        </x:is>
      </x:c>
      <x:c r="D67" s="16" t="inlineStr">
        <x:is>
          <x:t xml:space="preserve">https://apps.irs.gov/pub/epostcard/990/xml/2025/202513219349318466_public.xml</x:t>
        </x:is>
      </x:c>
      <x:c r="E67" s="16" t="inlineStr">
        <x:is>
          <x:t xml:space="preserve">https://projects.propublica.org/nonprofits/organizations/461496217</x:t>
        </x:is>
      </x:c>
      <x:c r="F67" s="12" t="inlineStr">
        <x:is>
          <x:t xml:space="preserve">2026-08-25</x:t>
        </x:is>
      </x:c>
      <x:c r="G67" s="16" t="inlineStr">
        <x:is>
          <x:t xml:space="preserve">sources/raw/src-990-ext-center-for-open-science.txt</x:t>
        </x:is>
      </x:c>
      <x:c r="H67" s="12" t="inlineStr">
        <x:is>
          <x:t xml:space="preserve">text/plain; charset=utf-8</x:t>
        </x:is>
      </x:c>
      <x:c r="I67" s="12" t="n">
        <x:v>1922</x:v>
      </x:c>
      <x:c r="J67" s="13" t="inlineStr">
        <x:is>
          <x:t xml:space="preserve">75e76ad0cdd3f330858a4ec30e03a2380fc846ce344f510ec2d4395f811a8175</x:t>
        </x:is>
      </x:c>
      <x:c r="K67" s="12" t="inlineStr">
        <x:is>
          <x:t xml:space="preserve">2024-01-01 to 2024-12-31</x:t>
        </x:is>
      </x:c>
      <x:c r="L67" s="12" t="inlineStr">
        <x:is>
          <x:t xml:space="preserve">46-1496217</x:t>
        </x:is>
      </x:c>
      <x:c r="M67" s="12" t="inlineStr">
        <x:is>
          <x:t xml:space="preserve">202513219349318466</x:t>
        </x:is>
      </x:c>
      <x:c r="N67" s="12" t="inlineStr">
        <x:is>
          <x:t xml:space="preserve">official filing-derived derivative</x:t>
        </x:is>
      </x:c>
      <x:c r="O67" s="13" t="inlineStr">
        <x:is>
          <x:t xml:space="preserve">Official IRS filing identifier; ProPublica used for navigation/corroboration</x:t>
        </x:is>
      </x:c>
      <x:c r="P67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67" s="13" t="inlineStr">
        <x:is>
          <x:t xml:space="preserve">Cash proxy arithmetic and total-proxy arithmetic validated; source-native IRS XML could not be archived in this environment.</x:t>
        </x:is>
      </x:c>
    </x:row>
    <x:row r="68">
      <x:c r="A68" s="12" t="inlineStr">
        <x:is>
          <x:t xml:space="preserve">SRC-990-EXT-CENTER-FOR-PUBLIC-INTEGRITY</x:t>
        </x:is>
      </x:c>
      <x:c r="B68" s="12" t="inlineStr">
        <x:is>
          <x:t xml:space="preserve">Center for Public Integrity</x:t>
        </x:is>
      </x:c>
      <x:c r="C68" s="12" t="inlineStr">
        <x:is>
          <x:t xml:space="preserve">Form 990 filing-derived snapshot</x:t>
        </x:is>
      </x:c>
      <x:c r="D68" s="16" t="inlineStr">
        <x:is>
          <x:t xml:space="preserve">https://apps.irs.gov/pub/epostcard/990/xml/2024/202412399349300756_public.xml</x:t>
        </x:is>
      </x:c>
      <x:c r="E68" s="16" t="inlineStr">
        <x:is>
          <x:t xml:space="preserve">https://projects.propublica.org/nonprofits/organizations/541512177</x:t>
        </x:is>
      </x:c>
      <x:c r="F68" s="12" t="inlineStr">
        <x:is>
          <x:t xml:space="preserve">2026-08-25</x:t>
        </x:is>
      </x:c>
      <x:c r="G68" s="16" t="inlineStr">
        <x:is>
          <x:t xml:space="preserve">sources/raw/src-990-ext-center-for-public-integrity.txt</x:t>
        </x:is>
      </x:c>
      <x:c r="H68" s="12" t="inlineStr">
        <x:is>
          <x:t xml:space="preserve">text/plain; charset=utf-8</x:t>
        </x:is>
      </x:c>
      <x:c r="I68" s="12" t="n">
        <x:v>1993</x:v>
      </x:c>
      <x:c r="J68" s="13" t="inlineStr">
        <x:is>
          <x:t xml:space="preserve">ce8030a97c258257725c3774532953efa0b800f121cf57726be8bb1b8f95bde8</x:t>
        </x:is>
      </x:c>
      <x:c r="K68" s="12" t="inlineStr">
        <x:is>
          <x:t xml:space="preserve">2023-01-01 to 2023-12-31</x:t>
        </x:is>
      </x:c>
      <x:c r="L68" s="12" t="inlineStr">
        <x:is>
          <x:t xml:space="preserve">54-1512177</x:t>
        </x:is>
      </x:c>
      <x:c r="M68" s="12" t="inlineStr">
        <x:is>
          <x:t xml:space="preserve">202412399349300756</x:t>
        </x:is>
      </x:c>
      <x:c r="N68" s="12" t="inlineStr">
        <x:is>
          <x:t xml:space="preserve">official filing-derived derivative</x:t>
        </x:is>
      </x:c>
      <x:c r="O68" s="13" t="inlineStr">
        <x:is>
          <x:t xml:space="preserve">Official IRS filing identifier; ProPublica used for navigation/corroboration</x:t>
        </x:is>
      </x:c>
      <x:c r="P68" s="13" t="inlineStr">
        <x:is>
          <x:t xml:space="preserve">ProPublica filing-derived table; official IRS object ID identified from XML link; browser source turn327197view1.</x:t>
        </x:is>
      </x:c>
      <x:c r="Q68" s="13" t="inlineStr">
        <x:is>
          <x:t xml:space="preserve">Cash proxy arithmetic and total-proxy arithmetic validated; source-native IRS XML could not be archived in this environment.</x:t>
        </x:is>
      </x:c>
    </x:row>
    <x:row r="69">
      <x:c r="A69" s="12" t="inlineStr">
        <x:is>
          <x:t xml:space="preserve">SRC-990-EXT-CENTER-FOR-RESPONSIBLE-LENDING</x:t>
        </x:is>
      </x:c>
      <x:c r="B69" s="12" t="inlineStr">
        <x:is>
          <x:t xml:space="preserve">Center for Responsible Lending</x:t>
        </x:is>
      </x:c>
      <x:c r="C69" s="12" t="inlineStr">
        <x:is>
          <x:t xml:space="preserve">Form 990 filing-derived snapshot</x:t>
        </x:is>
      </x:c>
      <x:c r="D69" s="16" t="inlineStr">
        <x:is>
          <x:t xml:space="preserve">https://apps.irs.gov/pub/epostcard/990/xml/2026/202621149349301437_public.xml</x:t>
        </x:is>
      </x:c>
      <x:c r="E69" s="16" t="inlineStr">
        <x:is>
          <x:t xml:space="preserve">https://projects.propublica.org/nonprofits/organizations/743043913</x:t>
        </x:is>
      </x:c>
      <x:c r="F69" s="12" t="inlineStr">
        <x:is>
          <x:t xml:space="preserve">2026-08-25</x:t>
        </x:is>
      </x:c>
      <x:c r="G69" s="16" t="inlineStr">
        <x:is>
          <x:t xml:space="preserve">sources/raw/src-990-ext-center-for-responsible-lending.txt</x:t>
        </x:is>
      </x:c>
      <x:c r="H69" s="12" t="inlineStr">
        <x:is>
          <x:t xml:space="preserve">text/plain; charset=utf-8</x:t>
        </x:is>
      </x:c>
      <x:c r="I69" s="12" t="n">
        <x:v>1946</x:v>
      </x:c>
      <x:c r="J69" s="13" t="inlineStr">
        <x:is>
          <x:t xml:space="preserve">8755b09c73164ee571893197108f857913a1aa9d361f611ce571931841ef7d55</x:t>
        </x:is>
      </x:c>
      <x:c r="K69" s="12" t="inlineStr">
        <x:is>
          <x:t xml:space="preserve">2024-01-01 to 2024-12-31</x:t>
        </x:is>
      </x:c>
      <x:c r="L69" s="12" t="inlineStr">
        <x:is>
          <x:t xml:space="preserve">74-3043913</x:t>
        </x:is>
      </x:c>
      <x:c r="M69" s="12" t="inlineStr">
        <x:is>
          <x:t xml:space="preserve">202621149349301437</x:t>
        </x:is>
      </x:c>
      <x:c r="N69" s="12" t="inlineStr">
        <x:is>
          <x:t xml:space="preserve">official filing-derived derivative</x:t>
        </x:is>
      </x:c>
      <x:c r="O69" s="13" t="inlineStr">
        <x:is>
          <x:t xml:space="preserve">Official IRS filing identifier; ProPublica used for navigation/corroboration</x:t>
        </x:is>
      </x:c>
      <x:c r="P69" s="13" t="inlineStr">
        <x:is>
          <x:t xml:space="preserve">ProPublica filing-derived table lines 22-90; IRS object ID from XML link</x:t>
        </x:is>
      </x:c>
      <x:c r="Q69" s="13" t="inlineStr">
        <x:is>
          <x:t xml:space="preserve">Cash proxy arithmetic and total-proxy arithmetic validated; source-native IRS XML could not be archived in this environment.</x:t>
        </x:is>
      </x:c>
    </x:row>
    <x:row r="70">
      <x:c r="A70" s="12" t="inlineStr">
        <x:is>
          <x:t xml:space="preserve">SRC-990-EXT-CENTER-FOR-A-HUMANE-ECONOMY</x:t>
        </x:is>
      </x:c>
      <x:c r="B70" s="12" t="inlineStr">
        <x:is>
          <x:t xml:space="preserve">Center for a Humane Economy</x:t>
        </x:is>
      </x:c>
      <x:c r="C70" s="12" t="inlineStr">
        <x:is>
          <x:t xml:space="preserve">Form 990 filing-derived snapshot</x:t>
        </x:is>
      </x:c>
      <x:c r="D70" s="16" t="inlineStr">
        <x:is>
          <x:t xml:space="preserve">https://apps.irs.gov/pub/epostcard/990/xml/2025/202502459349301350_public.xml</x:t>
        </x:is>
      </x:c>
      <x:c r="E70" s="16" t="inlineStr">
        <x:is>
          <x:t xml:space="preserve">https://projects.propublica.org/nonprofits/organizations/832620507</x:t>
        </x:is>
      </x:c>
      <x:c r="F70" s="12" t="inlineStr">
        <x:is>
          <x:t xml:space="preserve">2026-08-25</x:t>
        </x:is>
      </x:c>
      <x:c r="G70" s="16" t="inlineStr">
        <x:is>
          <x:t xml:space="preserve">sources/raw/src-990-ext-center-for-a-humane-economy.txt</x:t>
        </x:is>
      </x:c>
      <x:c r="H70" s="12" t="inlineStr">
        <x:is>
          <x:t xml:space="preserve">text/plain; charset=utf-8</x:t>
        </x:is>
      </x:c>
      <x:c r="I70" s="12" t="n">
        <x:v>1971</x:v>
      </x:c>
      <x:c r="J70" s="13" t="inlineStr">
        <x:is>
          <x:t xml:space="preserve">9ec7d8d99d7fe4a95a616e9a8d3a1cb60d8a09e82e339cd2586fb634b7ef2764</x:t>
        </x:is>
      </x:c>
      <x:c r="K70" s="12" t="inlineStr">
        <x:is>
          <x:t xml:space="preserve">2023-11-01 to 2024-10-31</x:t>
        </x:is>
      </x:c>
      <x:c r="L70" s="12" t="inlineStr">
        <x:is>
          <x:t xml:space="preserve">83-2620507</x:t>
        </x:is>
      </x:c>
      <x:c r="M70" s="12" t="inlineStr">
        <x:is>
          <x:t xml:space="preserve">202502459349301350</x:t>
        </x:is>
      </x:c>
      <x:c r="N70" s="12" t="inlineStr">
        <x:is>
          <x:t xml:space="preserve">official filing-derived derivative</x:t>
        </x:is>
      </x:c>
      <x:c r="O70" s="13" t="inlineStr">
        <x:is>
          <x:t xml:space="preserve">Official IRS filing identifier; ProPublica used for navigation/corroboration</x:t>
        </x:is>
      </x:c>
      <x:c r="P70" s="13" t="inlineStr">
        <x:is>
          <x:t xml:space="preserve">ProPublica filing-derived table; official IRS object ID identified from XML link; browser source turn491560view1.</x:t>
        </x:is>
      </x:c>
      <x:c r="Q70" s="13" t="inlineStr">
        <x:is>
          <x:t xml:space="preserve">Cash proxy arithmetic and total-proxy arithmetic validated; source-native IRS XML could not be archived in this environment.</x:t>
        </x:is>
      </x:c>
    </x:row>
    <x:row r="71">
      <x:c r="A71" s="13" t="inlineStr">
        <x:is>
          <x:t xml:space="preserve">SRC-990-EXT-CENTER-FOR-A-NEW-AMERICAN-SECURITY</x:t>
        </x:is>
      </x:c>
      <x:c r="B71" s="12" t="inlineStr">
        <x:is>
          <x:t xml:space="preserve">Center for a New American Security</x:t>
        </x:is>
      </x:c>
      <x:c r="C71" s="12" t="inlineStr">
        <x:is>
          <x:t xml:space="preserve">Form 990 filing-derived snapshot</x:t>
        </x:is>
      </x:c>
      <x:c r="D71" s="16" t="inlineStr">
        <x:is>
          <x:t xml:space="preserve">https://apps.irs.gov/pub/epostcard/990/xml/2025/202542329349300819_public.xml</x:t>
        </x:is>
      </x:c>
      <x:c r="E71" s="16" t="inlineStr">
        <x:is>
          <x:t xml:space="preserve">https://projects.propublica.org/nonprofits/organizations/208084828</x:t>
        </x:is>
      </x:c>
      <x:c r="F71" s="12" t="inlineStr">
        <x:is>
          <x:t xml:space="preserve">2026-08-25</x:t>
        </x:is>
      </x:c>
      <x:c r="G71" s="16" t="inlineStr">
        <x:is>
          <x:t xml:space="preserve">sources/raw/src-990-ext-center-for-a-new-american-security.txt</x:t>
        </x:is>
      </x:c>
      <x:c r="H71" s="12" t="inlineStr">
        <x:is>
          <x:t xml:space="preserve">text/plain; charset=utf-8</x:t>
        </x:is>
      </x:c>
      <x:c r="I71" s="12" t="n">
        <x:v>1856</x:v>
      </x:c>
      <x:c r="J71" s="13" t="inlineStr">
        <x:is>
          <x:t xml:space="preserve">02d05c176cd950652ca64cc473927dc64a48c3732e24e806246d98073d11b67e</x:t>
        </x:is>
      </x:c>
      <x:c r="K71" s="12" t="inlineStr">
        <x:is>
          <x:t xml:space="preserve">2023-10-01 to 2024-09-30</x:t>
        </x:is>
      </x:c>
      <x:c r="L71" s="12" t="inlineStr">
        <x:is>
          <x:t xml:space="preserve">20-8084828</x:t>
        </x:is>
      </x:c>
      <x:c r="M71" s="12" t="inlineStr">
        <x:is>
          <x:t xml:space="preserve">202542329349300819</x:t>
        </x:is>
      </x:c>
      <x:c r="N71" s="12" t="inlineStr">
        <x:is>
          <x:t xml:space="preserve">official filing-derived derivative</x:t>
        </x:is>
      </x:c>
      <x:c r="O71" s="13" t="inlineStr">
        <x:is>
          <x:t xml:space="preserve">Official IRS filing identifier; ProPublica used for navigation/corroboration</x:t>
        </x:is>
      </x:c>
      <x:c r="P71" s="13" t="inlineStr">
        <x:is>
          <x:t xml:space="preserve">ProPublica filing-derived table lines 25-94; IRS object ID from XML link</x:t>
        </x:is>
      </x:c>
      <x:c r="Q71" s="13" t="inlineStr">
        <x:is>
          <x:t xml:space="preserve">Cash proxy arithmetic and total-proxy arithmetic validated; source-native IRS XML could not be archived in this environment.</x:t>
        </x:is>
      </x:c>
    </x:row>
    <x:row r="72">
      <x:c r="A72" s="12" t="inlineStr">
        <x:is>
          <x:t xml:space="preserve">SRC-990-CN-2024</x:t>
        </x:is>
      </x:c>
      <x:c r="B72" s="12" t="inlineStr">
        <x:is>
          <x:t xml:space="preserve">Charity Navigator</x:t>
        </x:is>
      </x:c>
      <x:c r="C72" s="12" t="inlineStr">
        <x:is>
          <x:t xml:space="preserve">Form 990 filing-derived snapshot</x:t>
        </x:is>
      </x:c>
      <x:c r="D72" s="16" t="inlineStr">
        <x:is>
          <x:t xml:space="preserve">https://apps.irs.gov/pub/epostcard/990/xml/2026/202640789349301509_public.xml</x:t>
        </x:is>
      </x:c>
      <x:c r="E72" s="16" t="inlineStr">
        <x:is>
          <x:t xml:space="preserve">https://projects.propublica.org/nonprofits/organizations/134148824</x:t>
        </x:is>
      </x:c>
      <x:c r="F72" s="12" t="inlineStr">
        <x:is>
          <x:t xml:space="preserve">2026-08-17T18:45:00-07:00</x:t>
        </x:is>
      </x:c>
      <x:c r="G72" s="17" t="inlineStr">
        <x:is>
          <x:t xml:space="preserve">sources/raw/src-990-cn-2024.txt</x:t>
        </x:is>
      </x:c>
      <x:c r="H72" s="12" t="inlineStr">
        <x:is>
          <x:t xml:space="preserve">text/plain; charset=utf-8</x:t>
        </x:is>
      </x:c>
      <x:c r="I72" s="12" t="n">
        <x:v>1680</x:v>
      </x:c>
      <x:c r="J72" s="13" t="inlineStr">
        <x:is>
          <x:t xml:space="preserve">3b06b8a131b5bbf3eb67ac796ba8f463e2bf4a33d9b618fd09192796b046d799</x:t>
        </x:is>
      </x:c>
      <x:c r="K72" s="12" t="inlineStr">
        <x:is>
          <x:t xml:space="preserve">2024-07-01 to 2025-06-30</x:t>
        </x:is>
      </x:c>
      <x:c r="L72" s="12" t="inlineStr">
        <x:is>
          <x:t xml:space="preserve">13-4148824</x:t>
        </x:is>
      </x:c>
      <x:c r="M72" s="12" t="inlineStr">
        <x:is>
          <x:t xml:space="preserve">202640789349301509</x:t>
        </x:is>
      </x:c>
      <x:c r="N72" s="12" t="inlineStr">
        <x:is>
          <x:t xml:space="preserve">derivative</x:t>
        </x:is>
      </x:c>
      <x:c r="O72" s="13" t="inlineStr">
        <x:is>
          <x:t xml:space="preserve">official filing via IRS; browser rendering via ProPublica where available</x:t>
        </x:is>
      </x:c>
      <x:c r="P72" s="12" t="inlineStr">
        <x:is>
          <x:t xml:space="preserve">turn590537view0 L25-L96</x:t>
        </x:is>
      </x:c>
      <x:c r="Q7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73">
      <x:c r="A73" s="12" t="inlineStr">
        <x:is>
          <x:t xml:space="preserve">SRC-990-EXT-CHARITY-NAVIGATOR</x:t>
        </x:is>
      </x:c>
      <x:c r="B73" s="12" t="inlineStr">
        <x:is>
          <x:t xml:space="preserve">Charity Navigator</x:t>
        </x:is>
      </x:c>
      <x:c r="C73" s="12" t="inlineStr">
        <x:is>
          <x:t xml:space="preserve">Form 990 filing-derived snapshot</x:t>
        </x:is>
      </x:c>
      <x:c r="D73" s="16" t="inlineStr">
        <x:is>
          <x:t xml:space="preserve">https://apps.irs.gov/pub/epostcard/990/xml/2026/202640789349301509_public.xml</x:t>
        </x:is>
      </x:c>
      <x:c r="E73" s="16" t="inlineStr">
        <x:is>
          <x:t xml:space="preserve">https://projects.propublica.org/nonprofits/organizations/134148824</x:t>
        </x:is>
      </x:c>
      <x:c r="F73" s="12" t="inlineStr">
        <x:is>
          <x:t xml:space="preserve">2026-08-25</x:t>
        </x:is>
      </x:c>
      <x:c r="G73" s="17" t="inlineStr">
        <x:is>
          <x:t xml:space="preserve">sources/raw/src-990-ext-charity-navigator.txt</x:t>
        </x:is>
      </x:c>
      <x:c r="H73" s="12" t="inlineStr">
        <x:is>
          <x:t xml:space="preserve">text/plain; charset=utf-8</x:t>
        </x:is>
      </x:c>
      <x:c r="I73" s="12" t="n">
        <x:v>1909</x:v>
      </x:c>
      <x:c r="J73" s="13" t="inlineStr">
        <x:is>
          <x:t xml:space="preserve">fa5f3fa088d3259be260f12513c6260677bfdc64e5c203920a4860eca782d7ed</x:t>
        </x:is>
      </x:c>
      <x:c r="K73" s="12" t="inlineStr">
        <x:is>
          <x:t xml:space="preserve">2024-07-01 to 2025-06-30</x:t>
        </x:is>
      </x:c>
      <x:c r="L73" s="12" t="inlineStr">
        <x:is>
          <x:t xml:space="preserve">13-4148824</x:t>
        </x:is>
      </x:c>
      <x:c r="M73" s="12" t="inlineStr">
        <x:is>
          <x:t xml:space="preserve">202640789349301509</x:t>
        </x:is>
      </x:c>
      <x:c r="N73" s="12" t="inlineStr">
        <x:is>
          <x:t xml:space="preserve">official filing-derived derivative</x:t>
        </x:is>
      </x:c>
      <x:c r="O73" s="13" t="inlineStr">
        <x:is>
          <x:t xml:space="preserve">Official IRS filing identifier; ProPublica used for navigation/corroboration</x:t>
        </x:is>
      </x:c>
      <x:c r="P73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73" s="13" t="inlineStr">
        <x:is>
          <x:t xml:space="preserve">Cash proxy arithmetic and total-proxy arithmetic validated; source-native IRS XML could not be archived in this environment.</x:t>
        </x:is>
      </x:c>
    </x:row>
    <x:row r="74">
      <x:c r="A74" s="12" t="inlineStr">
        <x:is>
          <x:t xml:space="preserve">SRC-990-EXT-CHICAGO-COUNCIL-ON-GLOBAL-AFFAIRS</x:t>
        </x:is>
      </x:c>
      <x:c r="B74" s="12" t="inlineStr">
        <x:is>
          <x:t xml:space="preserve">Chicago Council on Global Affairs</x:t>
        </x:is>
      </x:c>
      <x:c r="C74" s="12" t="inlineStr">
        <x:is>
          <x:t xml:space="preserve">Form 990 filing-derived snapshot</x:t>
        </x:is>
      </x:c>
      <x:c r="D74" s="16" t="inlineStr">
        <x:is>
          <x:t xml:space="preserve">https://apps.irs.gov/pub/epostcard/990/xml/2025/202543179349309229_public.xml</x:t>
        </x:is>
      </x:c>
      <x:c r="E74" s="16" t="inlineStr">
        <x:is>
          <x:t xml:space="preserve">https://projects.propublica.org/nonprofits/organizations/362181969</x:t>
        </x:is>
      </x:c>
      <x:c r="F74" s="12" t="inlineStr">
        <x:is>
          <x:t xml:space="preserve">2026-08-25</x:t>
        </x:is>
      </x:c>
      <x:c r="G74" s="16" t="inlineStr">
        <x:is>
          <x:t xml:space="preserve">sources/raw/src-990-ext-chicago-council-on-global-affairs.txt</x:t>
        </x:is>
      </x:c>
      <x:c r="H74" s="12" t="inlineStr">
        <x:is>
          <x:t xml:space="preserve">text/plain; charset=utf-8</x:t>
        </x:is>
      </x:c>
      <x:c r="I74" s="12" t="n">
        <x:v>1884</x:v>
      </x:c>
      <x:c r="J74" s="13" t="inlineStr">
        <x:is>
          <x:t xml:space="preserve">ee77aca5de5529850a1482e23bcaba18511b8128534df3b8a1cff1e901fa0e5c</x:t>
        </x:is>
      </x:c>
      <x:c r="K74" s="12" t="inlineStr">
        <x:is>
          <x:t xml:space="preserve">2024-01-01 to 2024-12-31</x:t>
        </x:is>
      </x:c>
      <x:c r="L74" s="12" t="inlineStr">
        <x:is>
          <x:t xml:space="preserve">36-2181969</x:t>
        </x:is>
      </x:c>
      <x:c r="M74" s="12" t="inlineStr">
        <x:is>
          <x:t xml:space="preserve">202543179349309229</x:t>
        </x:is>
      </x:c>
      <x:c r="N74" s="12" t="inlineStr">
        <x:is>
          <x:t xml:space="preserve">official filing-derived derivative</x:t>
        </x:is>
      </x:c>
      <x:c r="O74" s="13" t="inlineStr">
        <x:is>
          <x:t xml:space="preserve">Official IRS filing identifier; ProPublica used for navigation/corroboration</x:t>
        </x:is>
      </x:c>
      <x:c r="P74" s="13" t="inlineStr">
        <x:is>
          <x:t xml:space="preserve">ProPublica filing-derived table lines 21-90; IRS object ID from XML link</x:t>
        </x:is>
      </x:c>
      <x:c r="Q74" s="13" t="inlineStr">
        <x:is>
          <x:t xml:space="preserve">Cash proxy arithmetic and total-proxy arithmetic validated; source-native IRS XML could not be archived in this environment.</x:t>
        </x:is>
      </x:c>
    </x:row>
    <x:row r="75">
      <x:c r="A75" s="12" t="inlineStr">
        <x:is>
          <x:t xml:space="preserve">SRC-990-EXT-CLEAN-AIR-TASK-FORCE</x:t>
        </x:is>
      </x:c>
      <x:c r="B75" s="12" t="inlineStr">
        <x:is>
          <x:t xml:space="preserve">Clean Air Task Force</x:t>
        </x:is>
      </x:c>
      <x:c r="C75" s="12" t="inlineStr">
        <x:is>
          <x:t xml:space="preserve">Form 990 filing-derived snapshot</x:t>
        </x:is>
      </x:c>
      <x:c r="D75" s="16" t="inlineStr">
        <x:is>
          <x:t xml:space="preserve">https://apps.irs.gov/pub/epostcard/990/xml/2025/202522829349300322_public.xml</x:t>
        </x:is>
      </x:c>
      <x:c r="E75" s="16" t="inlineStr">
        <x:is>
          <x:t xml:space="preserve">https://projects.propublica.org/nonprofits/organizations/043512550</x:t>
        </x:is>
      </x:c>
      <x:c r="F75" s="12" t="inlineStr">
        <x:is>
          <x:t xml:space="preserve">2026-08-25</x:t>
        </x:is>
      </x:c>
      <x:c r="G75" s="16" t="inlineStr">
        <x:is>
          <x:t xml:space="preserve">sources/raw/src-990-ext-clean-air-task-force.txt</x:t>
        </x:is>
      </x:c>
      <x:c r="H75" s="12" t="inlineStr">
        <x:is>
          <x:t xml:space="preserve">text/plain; charset=utf-8</x:t>
        </x:is>
      </x:c>
      <x:c r="I75" s="12" t="n">
        <x:v>1913</x:v>
      </x:c>
      <x:c r="J75" s="13" t="inlineStr">
        <x:is>
          <x:t xml:space="preserve">b5b1106b9fa0f69d14635fdced05518d759ae7daa03abe4e6d13d65e7552462d</x:t>
        </x:is>
      </x:c>
      <x:c r="K75" s="12" t="inlineStr">
        <x:is>
          <x:t xml:space="preserve">2024-01-01 to 2024-12-31</x:t>
        </x:is>
      </x:c>
      <x:c r="L75" s="12" t="inlineStr">
        <x:is>
          <x:t xml:space="preserve">04-3512550</x:t>
        </x:is>
      </x:c>
      <x:c r="M75" s="12" t="inlineStr">
        <x:is>
          <x:t xml:space="preserve">202522829349300322</x:t>
        </x:is>
      </x:c>
      <x:c r="N75" s="12" t="inlineStr">
        <x:is>
          <x:t xml:space="preserve">official filing-derived derivative</x:t>
        </x:is>
      </x:c>
      <x:c r="O75" s="13" t="inlineStr">
        <x:is>
          <x:t xml:space="preserve">Official IRS filing identifier; ProPublica used for navigation/corroboration</x:t>
        </x:is>
      </x:c>
      <x:c r="P75" s="13" t="inlineStr">
        <x:is>
          <x:t xml:space="preserve">ProPublica filing-derived table; official IRS object ID identified from XML link; browser source turn805570view1.</x:t>
        </x:is>
      </x:c>
      <x:c r="Q75" s="13" t="inlineStr">
        <x:is>
          <x:t xml:space="preserve">Cash proxy arithmetic and total-proxy arithmetic validated; source-native IRS XML could not be archived in this environment.</x:t>
        </x:is>
      </x:c>
    </x:row>
    <x:row r="76">
      <x:c r="A76" s="12" t="inlineStr">
        <x:is>
          <x:t xml:space="preserve">SRC-990-EXT-CLIMATE-CENTRAL</x:t>
        </x:is>
      </x:c>
      <x:c r="B76" s="12" t="inlineStr">
        <x:is>
          <x:t xml:space="preserve">Climate Central</x:t>
        </x:is>
      </x:c>
      <x:c r="C76" s="12" t="inlineStr">
        <x:is>
          <x:t xml:space="preserve">Form 990 filing-derived snapshot</x:t>
        </x:is>
      </x:c>
      <x:c r="D76" s="16" t="inlineStr">
        <x:is>
          <x:t xml:space="preserve">https://apps.irs.gov/pub/epostcard/990/xml/2026/202631769349300823_public.xml</x:t>
        </x:is>
      </x:c>
      <x:c r="E76" s="16" t="inlineStr">
        <x:is>
          <x:t xml:space="preserve">https://projects.propublica.org/nonprofits/organizations/261797336</x:t>
        </x:is>
      </x:c>
      <x:c r="F76" s="12" t="inlineStr">
        <x:is>
          <x:t xml:space="preserve">2026-08-25</x:t>
        </x:is>
      </x:c>
      <x:c r="G76" s="17" t="inlineStr">
        <x:is>
          <x:t xml:space="preserve">sources/raw/src-990-ext-climate-central.txt</x:t>
        </x:is>
      </x:c>
      <x:c r="H76" s="12" t="inlineStr">
        <x:is>
          <x:t xml:space="preserve">text/plain; charset=utf-8</x:t>
        </x:is>
      </x:c>
      <x:c r="I76" s="12" t="n">
        <x:v>1806</x:v>
      </x:c>
      <x:c r="J76" s="13" t="inlineStr">
        <x:is>
          <x:t xml:space="preserve">c8d7570e4f167e7cb1552210be289aa635921020a1d6a7c60f580b3761920558</x:t>
        </x:is>
      </x:c>
      <x:c r="K76" s="12" t="inlineStr">
        <x:is>
          <x:t xml:space="preserve">2025-01-01 to 2025-12-31</x:t>
        </x:is>
      </x:c>
      <x:c r="L76" s="12" t="inlineStr">
        <x:is>
          <x:t xml:space="preserve">26-1797336</x:t>
        </x:is>
      </x:c>
      <x:c r="M76" s="12" t="inlineStr">
        <x:is>
          <x:t xml:space="preserve">202631769349300823</x:t>
        </x:is>
      </x:c>
      <x:c r="N76" s="12" t="inlineStr">
        <x:is>
          <x:t xml:space="preserve">official filing-derived derivative</x:t>
        </x:is>
      </x:c>
      <x:c r="O76" s="13" t="inlineStr">
        <x:is>
          <x:t xml:space="preserve">Official IRS filing identifier; ProPublica used for navigation/corroboration</x:t>
        </x:is>
      </x:c>
      <x:c r="P76" s="13" t="inlineStr">
        <x:is>
          <x:t xml:space="preserve">ProPublica filing-derived table lines 21-90; IRS object ID from XML link</x:t>
        </x:is>
      </x:c>
      <x:c r="Q76" s="13" t="inlineStr">
        <x:is>
          <x:t xml:space="preserve">Cash proxy arithmetic and total-proxy arithmetic validated; source-native IRS XML could not be archived in this environment.</x:t>
        </x:is>
      </x:c>
    </x:row>
    <x:row r="77">
      <x:c r="A77" s="12" t="inlineStr">
        <x:is>
          <x:t xml:space="preserve">SRC-990-EXT-CODE-FOR-SCIENCE-SOCIETY</x:t>
        </x:is>
      </x:c>
      <x:c r="B77" s="12" t="inlineStr">
        <x:is>
          <x:t xml:space="preserve">Code for Science &amp; Society</x:t>
        </x:is>
      </x:c>
      <x:c r="C77" s="12" t="inlineStr">
        <x:is>
          <x:t xml:space="preserve">Form 990 filing-derived snapshot</x:t>
        </x:is>
      </x:c>
      <x:c r="D77" s="16" t="inlineStr">
        <x:is>
          <x:t xml:space="preserve">https://apps.irs.gov/pub/epostcard/990/xml/2026/202601359349304090_public.xml</x:t>
        </x:is>
      </x:c>
      <x:c r="E77" s="16" t="inlineStr">
        <x:is>
          <x:t xml:space="preserve">https://projects.propublica.org/nonprofits/organizations/813791683</x:t>
        </x:is>
      </x:c>
      <x:c r="F77" s="12" t="inlineStr">
        <x:is>
          <x:t xml:space="preserve">2026-08-25</x:t>
        </x:is>
      </x:c>
      <x:c r="G77" s="16" t="inlineStr">
        <x:is>
          <x:t xml:space="preserve">sources/raw/src-990-ext-code-for-science-society.txt</x:t>
        </x:is>
      </x:c>
      <x:c r="H77" s="12" t="inlineStr">
        <x:is>
          <x:t xml:space="preserve">text/plain; charset=utf-8</x:t>
        </x:is>
      </x:c>
      <x:c r="I77" s="12" t="n">
        <x:v>1904</x:v>
      </x:c>
      <x:c r="J77" s="13" t="inlineStr">
        <x:is>
          <x:t xml:space="preserve">f4e9aac89f6094f8b2449b977e824e29f8b9ffc850944b896cc7162634509c21</x:t>
        </x:is>
      </x:c>
      <x:c r="K77" s="12" t="inlineStr">
        <x:is>
          <x:t xml:space="preserve">2024-07-01 to 2025-06-30</x:t>
        </x:is>
      </x:c>
      <x:c r="L77" s="12" t="inlineStr">
        <x:is>
          <x:t xml:space="preserve">81-3791683</x:t>
        </x:is>
      </x:c>
      <x:c r="M77" s="12" t="inlineStr">
        <x:is>
          <x:t xml:space="preserve">202601359349304090</x:t>
        </x:is>
      </x:c>
      <x:c r="N77" s="12" t="inlineStr">
        <x:is>
          <x:t xml:space="preserve">official filing-derived derivative</x:t>
        </x:is>
      </x:c>
      <x:c r="O77" s="13" t="inlineStr">
        <x:is>
          <x:t xml:space="preserve">Official IRS filing identifier; ProPublica used for navigation/corroboration</x:t>
        </x:is>
      </x:c>
      <x:c r="P77" s="12" t="inlineStr">
        <x:is>
          <x:t xml:space="preserve">ProPublica latest FY2025 filing table</x:t>
        </x:is>
      </x:c>
      <x:c r="Q77" s="13" t="inlineStr">
        <x:is>
          <x:t xml:space="preserve">Cash proxy arithmetic and total-proxy arithmetic validated; source-native IRS XML could not be archived in this environment.</x:t>
        </x:is>
      </x:c>
    </x:row>
    <x:row r="78">
      <x:c r="A78" s="13" t="inlineStr">
        <x:is>
          <x:t xml:space="preserve">SRC-990-EXT-COMMITTEE-FOR-A-RESPONSIBLE-FEDERAL-BUDGET</x:t>
        </x:is>
      </x:c>
      <x:c r="B78" s="12" t="inlineStr">
        <x:is>
          <x:t xml:space="preserve">Committee for a Responsible Federal Budget</x:t>
        </x:is>
      </x:c>
      <x:c r="C78" s="12" t="inlineStr">
        <x:is>
          <x:t xml:space="preserve">Form 990 filing-derived snapshot</x:t>
        </x:is>
      </x:c>
      <x:c r="D78" s="16" t="inlineStr">
        <x:is>
          <x:t xml:space="preserve">https://apps.irs.gov/pub/epostcard/990/xml/2026/202611949349301721_public.xml</x:t>
        </x:is>
      </x:c>
      <x:c r="E78" s="16" t="inlineStr">
        <x:is>
          <x:t xml:space="preserve">https://projects.propublica.org/nonprofits/organizations/521231278</x:t>
        </x:is>
      </x:c>
      <x:c r="F78" s="12" t="inlineStr">
        <x:is>
          <x:t xml:space="preserve">2026-08-25</x:t>
        </x:is>
      </x:c>
      <x:c r="G78" s="16" t="inlineStr">
        <x:is>
          <x:t xml:space="preserve">sources/raw/src-990-ext-committee-for-a-responsible-federal-budget.txt</x:t>
        </x:is>
      </x:c>
      <x:c r="H78" s="12" t="inlineStr">
        <x:is>
          <x:t xml:space="preserve">text/plain; charset=utf-8</x:t>
        </x:is>
      </x:c>
      <x:c r="I78" s="12" t="n">
        <x:v>1887</x:v>
      </x:c>
      <x:c r="J78" s="13" t="inlineStr">
        <x:is>
          <x:t xml:space="preserve">240484580316c879b817eaae05688ec5374453a4b45dfcbc6c0f446b3be4f5db</x:t>
        </x:is>
      </x:c>
      <x:c r="K78" s="12" t="inlineStr">
        <x:is>
          <x:t xml:space="preserve">2025-01-01 to 2025-12-31</x:t>
        </x:is>
      </x:c>
      <x:c r="L78" s="12" t="inlineStr">
        <x:is>
          <x:t xml:space="preserve">52-1231278</x:t>
        </x:is>
      </x:c>
      <x:c r="M78" s="12" t="inlineStr">
        <x:is>
          <x:t xml:space="preserve">202611949349301721</x:t>
        </x:is>
      </x:c>
      <x:c r="N78" s="12" t="inlineStr">
        <x:is>
          <x:t xml:space="preserve">official filing-derived derivative</x:t>
        </x:is>
      </x:c>
      <x:c r="O78" s="13" t="inlineStr">
        <x:is>
          <x:t xml:space="preserve">Official IRS filing identifier; ProPublica used for navigation/corroboration</x:t>
        </x:is>
      </x:c>
      <x:c r="P78" s="13" t="inlineStr">
        <x:is>
          <x:t xml:space="preserve">ProPublica filing-derived table lines 21-90; IRS object ID from XML link</x:t>
        </x:is>
      </x:c>
      <x:c r="Q78" s="13" t="inlineStr">
        <x:is>
          <x:t xml:space="preserve">Cash proxy arithmetic and total-proxy arithmetic validated; source-native IRS XML could not be archived in this environment.</x:t>
        </x:is>
      </x:c>
    </x:row>
    <x:row r="79">
      <x:c r="A79" s="12" t="inlineStr">
        <x:is>
          <x:t xml:space="preserve">SRC-990-EXT-COMPASSION-IN-WORLD-FARMING-USA</x:t>
        </x:is>
      </x:c>
      <x:c r="B79" s="12" t="inlineStr">
        <x:is>
          <x:t xml:space="preserve">Compassion in World Farming USA</x:t>
        </x:is>
      </x:c>
      <x:c r="C79" s="12" t="inlineStr">
        <x:is>
          <x:t xml:space="preserve">Form 990 filing-derived snapshot</x:t>
        </x:is>
      </x:c>
      <x:c r="D79" s="16" t="inlineStr">
        <x:is>
          <x:t xml:space="preserve">https://apps.irs.gov/pub/epostcard/990/xml/2024/202402689349300735_public.xml</x:t>
        </x:is>
      </x:c>
      <x:c r="E79" s="16" t="inlineStr">
        <x:is>
          <x:t xml:space="preserve">https://projects.propublica.org/nonprofits/organizations/461822635</x:t>
        </x:is>
      </x:c>
      <x:c r="F79" s="12" t="inlineStr">
        <x:is>
          <x:t xml:space="preserve">2026-08-25</x:t>
        </x:is>
      </x:c>
      <x:c r="G79" s="16" t="inlineStr">
        <x:is>
          <x:t xml:space="preserve">sources/raw/src-990-ext-compassion-in-world-farming-usa.txt</x:t>
        </x:is>
      </x:c>
      <x:c r="H79" s="12" t="inlineStr">
        <x:is>
          <x:t xml:space="preserve">text/plain; charset=utf-8</x:t>
        </x:is>
      </x:c>
      <x:c r="I79" s="12" t="n">
        <x:v>1963</x:v>
      </x:c>
      <x:c r="J79" s="13" t="inlineStr">
        <x:is>
          <x:t xml:space="preserve">4d429a82b343415b793146a1e496039093c5e6b4ecf58f0225a1a5b0894c31c7</x:t>
        </x:is>
      </x:c>
      <x:c r="K79" s="12" t="inlineStr">
        <x:is>
          <x:t xml:space="preserve">2023-04-01 to 2024-03-31</x:t>
        </x:is>
      </x:c>
      <x:c r="L79" s="12" t="inlineStr">
        <x:is>
          <x:t xml:space="preserve">46-1822635</x:t>
        </x:is>
      </x:c>
      <x:c r="M79" s="12" t="inlineStr">
        <x:is>
          <x:t xml:space="preserve">202402689349300735</x:t>
        </x:is>
      </x:c>
      <x:c r="N79" s="12" t="inlineStr">
        <x:is>
          <x:t xml:space="preserve">official filing-derived derivative</x:t>
        </x:is>
      </x:c>
      <x:c r="O79" s="13" t="inlineStr">
        <x:is>
          <x:t xml:space="preserve">Official IRS filing identifier; ProPublica used for navigation/corroboration</x:t>
        </x:is>
      </x:c>
      <x:c r="P79" s="13" t="inlineStr">
        <x:is>
          <x:t xml:space="preserve">ProPublica filing-derived table; official IRS object ID identified from XML link</x:t>
        </x:is>
      </x:c>
      <x:c r="Q79" s="13" t="inlineStr">
        <x:is>
          <x:t xml:space="preserve">Cash proxy arithmetic and total-proxy arithmetic validated; source-native IRS XML could not be archived in this environment.</x:t>
        </x:is>
      </x:c>
    </x:row>
    <x:row r="80">
      <x:c r="A80" s="12" t="inlineStr">
        <x:is>
          <x:t xml:space="preserve">SRC-990-EXT-COUNCIL-ON-STRATEGIC-RISKS</x:t>
        </x:is>
      </x:c>
      <x:c r="B80" s="12" t="inlineStr">
        <x:is>
          <x:t xml:space="preserve">Council on Strategic Risks</x:t>
        </x:is>
      </x:c>
      <x:c r="C80" s="12" t="inlineStr">
        <x:is>
          <x:t xml:space="preserve">Form 990 filing-derived snapshot</x:t>
        </x:is>
      </x:c>
      <x:c r="D80" s="16" t="inlineStr">
        <x:is>
          <x:t xml:space="preserve">https://apps.irs.gov/pub/epostcard/990/xml/2026/202601119349300825_public.xml</x:t>
        </x:is>
      </x:c>
      <x:c r="E80" s="16" t="inlineStr">
        <x:is>
          <x:t xml:space="preserve">https://projects.propublica.org/nonprofits/organizations/823106472</x:t>
        </x:is>
      </x:c>
      <x:c r="F80" s="12" t="inlineStr">
        <x:is>
          <x:t xml:space="preserve">2026-08-25</x:t>
        </x:is>
      </x:c>
      <x:c r="G80" s="16" t="inlineStr">
        <x:is>
          <x:t xml:space="preserve">sources/raw/src-990-ext-council-on-strategic-risks.txt</x:t>
        </x:is>
      </x:c>
      <x:c r="H80" s="12" t="inlineStr">
        <x:is>
          <x:t xml:space="preserve">text/plain; charset=utf-8</x:t>
        </x:is>
      </x:c>
      <x:c r="I80" s="12" t="n">
        <x:v>1714</x:v>
      </x:c>
      <x:c r="J80" s="13" t="inlineStr">
        <x:is>
          <x:t xml:space="preserve">df542c8f24047de1798826c5684591505a548610ff5ff2fcfb473142812bc12b</x:t>
        </x:is>
      </x:c>
      <x:c r="K80" s="12" t="inlineStr">
        <x:is>
          <x:t xml:space="preserve">2025-01-01 to 2025-12-31</x:t>
        </x:is>
      </x:c>
      <x:c r="L80" s="12" t="inlineStr">
        <x:is>
          <x:t xml:space="preserve">82-3106472</x:t>
        </x:is>
      </x:c>
      <x:c r="M80" s="12" t="inlineStr">
        <x:is>
          <x:t xml:space="preserve">202601119349300825</x:t>
        </x:is>
      </x:c>
      <x:c r="N80" s="12" t="inlineStr">
        <x:is>
          <x:t xml:space="preserve">official filing-derived derivative</x:t>
        </x:is>
      </x:c>
      <x:c r="O80" s="13" t="inlineStr">
        <x:is>
          <x:t xml:space="preserve">Official IRS filing identifier; ProPublica used for navigation/corroboration</x:t>
        </x:is>
      </x:c>
      <x:c r="P80" s="12" t="inlineStr">
        <x:is>
          <x:t xml:space="preserve">ProPublica latest 2025 filing table</x:t>
        </x:is>
      </x:c>
      <x:c r="Q80" s="13" t="inlineStr">
        <x:is>
          <x:t xml:space="preserve">Cash proxy arithmetic and total-proxy arithmetic validated; source-native IRS XML could not be archived in this environment.</x:t>
        </x:is>
      </x:c>
    </x:row>
    <x:row r="81">
      <x:c r="A81" s="12" t="inlineStr">
        <x:is>
          <x:t xml:space="preserve">SRC-990-EXT-CREATIVE-COMMONS</x:t>
        </x:is>
      </x:c>
      <x:c r="B81" s="12" t="inlineStr">
        <x:is>
          <x:t xml:space="preserve">Creative Commons</x:t>
        </x:is>
      </x:c>
      <x:c r="C81" s="12" t="inlineStr">
        <x:is>
          <x:t xml:space="preserve">Form 990 filing-derived snapshot</x:t>
        </x:is>
      </x:c>
      <x:c r="D81" s="16" t="inlineStr">
        <x:is>
          <x:t xml:space="preserve">https://apps.irs.gov/pub/epostcard/990/xml/2025/202543179349306294_public.xml</x:t>
        </x:is>
      </x:c>
      <x:c r="E81" s="16" t="inlineStr">
        <x:is>
          <x:t xml:space="preserve">https://projects.propublica.org/nonprofits/organizations/043585301</x:t>
        </x:is>
      </x:c>
      <x:c r="F81" s="12" t="inlineStr">
        <x:is>
          <x:t xml:space="preserve">2026-08-25</x:t>
        </x:is>
      </x:c>
      <x:c r="G81" s="17" t="inlineStr">
        <x:is>
          <x:t xml:space="preserve">sources/raw/src-990-ext-creative-commons.txt</x:t>
        </x:is>
      </x:c>
      <x:c r="H81" s="12" t="inlineStr">
        <x:is>
          <x:t xml:space="preserve">text/plain; charset=utf-8</x:t>
        </x:is>
      </x:c>
      <x:c r="I81" s="12" t="n">
        <x:v>1907</x:v>
      </x:c>
      <x:c r="J81" s="13" t="inlineStr">
        <x:is>
          <x:t xml:space="preserve">fdcef75db91aac6a826f3a8cb7f649ffc7cb3332322c65551c03751408db7420</x:t>
        </x:is>
      </x:c>
      <x:c r="K81" s="12" t="inlineStr">
        <x:is>
          <x:t xml:space="preserve">2024-01-01 to 2024-12-31</x:t>
        </x:is>
      </x:c>
      <x:c r="L81" s="12" t="inlineStr">
        <x:is>
          <x:t xml:space="preserve">04-3585301</x:t>
        </x:is>
      </x:c>
      <x:c r="M81" s="12" t="inlineStr">
        <x:is>
          <x:t xml:space="preserve">202543179349306294</x:t>
        </x:is>
      </x:c>
      <x:c r="N81" s="12" t="inlineStr">
        <x:is>
          <x:t xml:space="preserve">official filing-derived derivative</x:t>
        </x:is>
      </x:c>
      <x:c r="O81" s="13" t="inlineStr">
        <x:is>
          <x:t xml:space="preserve">Official IRS filing identifier; ProPublica used for navigation/corroboration</x:t>
        </x:is>
      </x:c>
      <x:c r="P81" s="13" t="inlineStr">
        <x:is>
          <x:t xml:space="preserve">ProPublica filing-derived table; official IRS object ID identified from XML link; browser source turn807748view2.</x:t>
        </x:is>
      </x:c>
      <x:c r="Q81" s="13" t="inlineStr">
        <x:is>
          <x:t xml:space="preserve">Cash proxy arithmetic and total-proxy arithmetic validated; source-native IRS XML could not be archived in this environment.</x:t>
        </x:is>
      </x:c>
    </x:row>
    <x:row r="82">
      <x:c r="A82" s="12" t="inlineStr">
        <x:is>
          <x:t xml:space="preserve">SRC-990-EXT-DATA-QUALITY-CAMPAIGN</x:t>
        </x:is>
      </x:c>
      <x:c r="B82" s="12" t="inlineStr">
        <x:is>
          <x:t xml:space="preserve">Data Quality Campaign</x:t>
        </x:is>
      </x:c>
      <x:c r="C82" s="12" t="inlineStr">
        <x:is>
          <x:t xml:space="preserve">Form 990 filing-derived snapshot</x:t>
        </x:is>
      </x:c>
      <x:c r="D82" s="16" t="inlineStr">
        <x:is>
          <x:t xml:space="preserve">https://apps.irs.gov/pub/epostcard/990/xml/2026/202621339349304737_public.xml</x:t>
        </x:is>
      </x:c>
      <x:c r="E82" s="16" t="inlineStr">
        <x:is>
          <x:t xml:space="preserve">https://projects.propublica.org/nonprofits/organizations/274566795</x:t>
        </x:is>
      </x:c>
      <x:c r="F82" s="12" t="inlineStr">
        <x:is>
          <x:t xml:space="preserve">2026-08-25</x:t>
        </x:is>
      </x:c>
      <x:c r="G82" s="16" t="inlineStr">
        <x:is>
          <x:t xml:space="preserve">sources/raw/src-990-ext-data-quality-campaign.txt</x:t>
        </x:is>
      </x:c>
      <x:c r="H82" s="12" t="inlineStr">
        <x:is>
          <x:t xml:space="preserve">text/plain; charset=utf-8</x:t>
        </x:is>
      </x:c>
      <x:c r="I82" s="12" t="n">
        <x:v>1828</x:v>
      </x:c>
      <x:c r="J82" s="13" t="inlineStr">
        <x:is>
          <x:t xml:space="preserve">40765e1174109ebcce2ccbaf4de96ec61e25e7c3222c3f35d5e158b939122cd1</x:t>
        </x:is>
      </x:c>
      <x:c r="K82" s="12" t="inlineStr">
        <x:is>
          <x:t xml:space="preserve">2024-07-01 to 2025-06-30</x:t>
        </x:is>
      </x:c>
      <x:c r="L82" s="12" t="inlineStr">
        <x:is>
          <x:t xml:space="preserve">27-4566795</x:t>
        </x:is>
      </x:c>
      <x:c r="M82" s="12" t="inlineStr">
        <x:is>
          <x:t xml:space="preserve">202621339349304737</x:t>
        </x:is>
      </x:c>
      <x:c r="N82" s="12" t="inlineStr">
        <x:is>
          <x:t xml:space="preserve">official filing-derived derivative</x:t>
        </x:is>
      </x:c>
      <x:c r="O82" s="13" t="inlineStr">
        <x:is>
          <x:t xml:space="preserve">Official IRS filing identifier; ProPublica used for navigation/corroboration</x:t>
        </x:is>
      </x:c>
      <x:c r="P82" s="13" t="inlineStr">
        <x:is>
          <x:t xml:space="preserve">ProPublica filing-derived table lines 21-89; IRS object ID from XML link</x:t>
        </x:is>
      </x:c>
      <x:c r="Q82" s="13" t="inlineStr">
        <x:is>
          <x:t xml:space="preserve">Cash proxy arithmetic and total-proxy arithmetic validated; source-native IRS XML could not be archived in this environment.</x:t>
        </x:is>
      </x:c>
    </x:row>
    <x:row r="83">
      <x:c r="A83" s="12" t="inlineStr">
        <x:is>
          <x:t xml:space="preserve">SRC-990-EXT-DATAKIND</x:t>
        </x:is>
      </x:c>
      <x:c r="B83" s="12" t="inlineStr">
        <x:is>
          <x:t xml:space="preserve">DataKind</x:t>
        </x:is>
      </x:c>
      <x:c r="C83" s="12" t="inlineStr">
        <x:is>
          <x:t xml:space="preserve">Form 990 filing-derived snapshot</x:t>
        </x:is>
      </x:c>
      <x:c r="D83" s="16" t="inlineStr">
        <x:is>
          <x:t xml:space="preserve">https://apps.irs.gov/pub/epostcard/990/xml/2026/202640939349300014_public.xml</x:t>
        </x:is>
      </x:c>
      <x:c r="E83" s="16" t="inlineStr">
        <x:is>
          <x:t xml:space="preserve">https://projects.propublica.org/nonprofits/organizations/464082076</x:t>
        </x:is>
      </x:c>
      <x:c r="F83" s="12" t="inlineStr">
        <x:is>
          <x:t xml:space="preserve">2026-08-25</x:t>
        </x:is>
      </x:c>
      <x:c r="G83" s="17" t="inlineStr">
        <x:is>
          <x:t xml:space="preserve">sources/raw/src-990-ext-datakind.txt</x:t>
        </x:is>
      </x:c>
      <x:c r="H83" s="12" t="inlineStr">
        <x:is>
          <x:t xml:space="preserve">text/plain; charset=utf-8</x:t>
        </x:is>
      </x:c>
      <x:c r="I83" s="12" t="n">
        <x:v>1926</x:v>
      </x:c>
      <x:c r="J83" s="13" t="inlineStr">
        <x:is>
          <x:t xml:space="preserve">e651190972ffaef548802efdae83135d98168627e6ebc0f961d21b3073dfa674</x:t>
        </x:is>
      </x:c>
      <x:c r="K83" s="12" t="inlineStr">
        <x:is>
          <x:t xml:space="preserve">2024-10-01 to 2025-09-30</x:t>
        </x:is>
      </x:c>
      <x:c r="L83" s="12" t="inlineStr">
        <x:is>
          <x:t xml:space="preserve">46-4082076</x:t>
        </x:is>
      </x:c>
      <x:c r="M83" s="12" t="inlineStr">
        <x:is>
          <x:t xml:space="preserve">202640939349300014</x:t>
        </x:is>
      </x:c>
      <x:c r="N83" s="12" t="inlineStr">
        <x:is>
          <x:t xml:space="preserve">official filing-derived derivative</x:t>
        </x:is>
      </x:c>
      <x:c r="O83" s="13" t="inlineStr">
        <x:is>
          <x:t xml:space="preserve">Official IRS filing identifier; ProPublica used for navigation/corroboration</x:t>
        </x:is>
      </x:c>
      <x:c r="P83" s="13" t="inlineStr">
        <x:is>
          <x:t xml:space="preserve">ProPublica filing-derived table and XML link; browser source turn933533view0 lines 21-89.</x:t>
        </x:is>
      </x:c>
      <x:c r="Q83" s="13" t="inlineStr">
        <x:is>
          <x:t xml:space="preserve">Cash proxy arithmetic and total-proxy arithmetic validated; source-native IRS XML could not be archived in this environment.</x:t>
        </x:is>
      </x:c>
    </x:row>
    <x:row r="84">
      <x:c r="A84" s="12" t="inlineStr">
        <x:is>
          <x:t xml:space="preserve">SRC-990-EXT-DEMOS</x:t>
        </x:is>
      </x:c>
      <x:c r="B84" s="12" t="inlineStr">
        <x:is>
          <x:t xml:space="preserve">Demos</x:t>
        </x:is>
      </x:c>
      <x:c r="C84" s="12" t="inlineStr">
        <x:is>
          <x:t xml:space="preserve">Form 990 filing-derived snapshot</x:t>
        </x:is>
      </x:c>
      <x:c r="D84" s="16" t="inlineStr">
        <x:is>
          <x:t xml:space="preserve">https://apps.irs.gov/pub/epostcard/990/xml/2025/202503159349306085_public.xml</x:t>
        </x:is>
      </x:c>
      <x:c r="E84" s="16" t="inlineStr">
        <x:is>
          <x:t xml:space="preserve">https://projects.propublica.org/nonprofits/organizations/134105066</x:t>
        </x:is>
      </x:c>
      <x:c r="F84" s="12" t="inlineStr">
        <x:is>
          <x:t xml:space="preserve">2026-08-25</x:t>
        </x:is>
      </x:c>
      <x:c r="G84" s="17" t="inlineStr">
        <x:is>
          <x:t xml:space="preserve">sources/raw/src-990-ext-demos.txt</x:t>
        </x:is>
      </x:c>
      <x:c r="H84" s="12" t="inlineStr">
        <x:is>
          <x:t xml:space="preserve">text/plain; charset=utf-8</x:t>
        </x:is>
      </x:c>
      <x:c r="I84" s="12" t="n">
        <x:v>1866</x:v>
      </x:c>
      <x:c r="J84" s="13" t="inlineStr">
        <x:is>
          <x:t xml:space="preserve">fdedf4d635a390bb7d1115453dc7aef45e7b3480bc972257569f8ff90ede9e2a</x:t>
        </x:is>
      </x:c>
      <x:c r="K84" s="12" t="inlineStr">
        <x:is>
          <x:t xml:space="preserve">2024-07-01 to 2025-06-30</x:t>
        </x:is>
      </x:c>
      <x:c r="L84" s="12" t="inlineStr">
        <x:is>
          <x:t xml:space="preserve">13-4105066</x:t>
        </x:is>
      </x:c>
      <x:c r="M84" s="12" t="inlineStr">
        <x:is>
          <x:t xml:space="preserve">202503159349306085</x:t>
        </x:is>
      </x:c>
      <x:c r="N84" s="12" t="inlineStr">
        <x:is>
          <x:t xml:space="preserve">official filing-derived derivative</x:t>
        </x:is>
      </x:c>
      <x:c r="O84" s="13" t="inlineStr">
        <x:is>
          <x:t xml:space="preserve">Official IRS filing identifier; ProPublica used for navigation/corroboration</x:t>
        </x:is>
      </x:c>
      <x:c r="P84" s="13" t="inlineStr">
        <x:is>
          <x:t xml:space="preserve">ProPublica filing-derived table; official IRS object ID identified from XML link; browser source turn568175view0.</x:t>
        </x:is>
      </x:c>
      <x:c r="Q84" s="13" t="inlineStr">
        <x:is>
          <x:t xml:space="preserve">Cash proxy arithmetic and total-proxy arithmetic validated; source-native IRS XML could not be archived in this environment.</x:t>
        </x:is>
      </x:c>
    </x:row>
    <x:row r="85">
      <x:c r="A85" s="12" t="inlineStr">
        <x:is>
          <x:t xml:space="preserve">SRC-990-EXT-ECONOMIC-INNOVATION-GROUP</x:t>
        </x:is>
      </x:c>
      <x:c r="B85" s="12" t="inlineStr">
        <x:is>
          <x:t xml:space="preserve">Economic Innovation Group</x:t>
        </x:is>
      </x:c>
      <x:c r="C85" s="12" t="inlineStr">
        <x:is>
          <x:t xml:space="preserve">Form 990 filing-derived snapshot</x:t>
        </x:is>
      </x:c>
      <x:c r="D85" s="16" t="inlineStr">
        <x:is>
          <x:t xml:space="preserve">https://apps.irs.gov/pub/epostcard/990/xml/2025/202513219349307891_public.xml</x:t>
        </x:is>
      </x:c>
      <x:c r="E85" s="16" t="inlineStr">
        <x:is>
          <x:t xml:space="preserve">https://projects.propublica.org/nonprofits/organizations/462450336</x:t>
        </x:is>
      </x:c>
      <x:c r="F85" s="12" t="inlineStr">
        <x:is>
          <x:t xml:space="preserve">2026-08-25</x:t>
        </x:is>
      </x:c>
      <x:c r="G85" s="16" t="inlineStr">
        <x:is>
          <x:t xml:space="preserve">sources/raw/src-990-ext-economic-innovation-group.txt</x:t>
        </x:is>
      </x:c>
      <x:c r="H85" s="12" t="inlineStr">
        <x:is>
          <x:t xml:space="preserve">text/plain; charset=utf-8</x:t>
        </x:is>
      </x:c>
      <x:c r="I85" s="12" t="n">
        <x:v>2022</x:v>
      </x:c>
      <x:c r="J85" s="13" t="inlineStr">
        <x:is>
          <x:t xml:space="preserve">095b479923eace0b7050272043e8b2f94add3c3fb1677f8eaa908aa3159c78e3</x:t>
        </x:is>
      </x:c>
      <x:c r="K85" s="12" t="inlineStr">
        <x:is>
          <x:t xml:space="preserve">2024-01-01 to 2024-12-31</x:t>
        </x:is>
      </x:c>
      <x:c r="L85" s="12" t="inlineStr">
        <x:is>
          <x:t xml:space="preserve">46-2450336</x:t>
        </x:is>
      </x:c>
      <x:c r="M85" s="12" t="inlineStr">
        <x:is>
          <x:t xml:space="preserve">202513219349307891</x:t>
        </x:is>
      </x:c>
      <x:c r="N85" s="12" t="inlineStr">
        <x:is>
          <x:t xml:space="preserve">official filing-derived derivative</x:t>
        </x:is>
      </x:c>
      <x:c r="O85" s="13" t="inlineStr">
        <x:is>
          <x:t xml:space="preserve">Official IRS filing identifier; ProPublica used for navigation/corroboration</x:t>
        </x:is>
      </x:c>
      <x:c r="P85" s="13" t="inlineStr">
        <x:is>
          <x:t xml:space="preserve">ProPublica filing-derived table and XML link; browser source turn518192view0 lines 29-100.</x:t>
        </x:is>
      </x:c>
      <x:c r="Q85" s="13" t="inlineStr">
        <x:is>
          <x:t xml:space="preserve">Cash proxy arithmetic and total-proxy arithmetic validated; source-native IRS XML could not be archived in this environment.</x:t>
        </x:is>
      </x:c>
    </x:row>
    <x:row r="86">
      <x:c r="A86" s="12" t="inlineStr">
        <x:is>
          <x:t xml:space="preserve">SRC-990-EXT-ECONOMIC-POLICY-INSTITUTE</x:t>
        </x:is>
      </x:c>
      <x:c r="B86" s="12" t="inlineStr">
        <x:is>
          <x:t xml:space="preserve">Economic Policy Institute</x:t>
        </x:is>
      </x:c>
      <x:c r="C86" s="12" t="inlineStr">
        <x:is>
          <x:t xml:space="preserve">Form 990 filing-derived snapshot</x:t>
        </x:is>
      </x:c>
      <x:c r="D86" s="16" t="inlineStr">
        <x:is>
          <x:t xml:space="preserve">https://apps.irs.gov/pub/epostcard/990/xml/2025/202542469349301614_public.xml</x:t>
        </x:is>
      </x:c>
      <x:c r="E86" s="16" t="inlineStr">
        <x:is>
          <x:t xml:space="preserve">https://projects.propublica.org/nonprofits/organizations/521368964</x:t>
        </x:is>
      </x:c>
      <x:c r="F86" s="12" t="inlineStr">
        <x:is>
          <x:t xml:space="preserve">2026-08-25</x:t>
        </x:is>
      </x:c>
      <x:c r="G86" s="16" t="inlineStr">
        <x:is>
          <x:t xml:space="preserve">sources/raw/src-990-ext-economic-policy-institute.txt</x:t>
        </x:is>
      </x:c>
      <x:c r="H86" s="12" t="inlineStr">
        <x:is>
          <x:t xml:space="preserve">text/plain; charset=utf-8</x:t>
        </x:is>
      </x:c>
      <x:c r="I86" s="12" t="n">
        <x:v>1866</x:v>
      </x:c>
      <x:c r="J86" s="13" t="inlineStr">
        <x:is>
          <x:t xml:space="preserve">6892437e50328c1a474f8109cce1ed0f7f5293a2bc54606868a54dcc8497129c</x:t>
        </x:is>
      </x:c>
      <x:c r="K86" s="12" t="inlineStr">
        <x:is>
          <x:t xml:space="preserve">2024-01-01 to 2024-12-31</x:t>
        </x:is>
      </x:c>
      <x:c r="L86" s="12" t="inlineStr">
        <x:is>
          <x:t xml:space="preserve">52-1368964</x:t>
        </x:is>
      </x:c>
      <x:c r="M86" s="12" t="inlineStr">
        <x:is>
          <x:t xml:space="preserve">202542469349301614</x:t>
        </x:is>
      </x:c>
      <x:c r="N86" s="12" t="inlineStr">
        <x:is>
          <x:t xml:space="preserve">official filing-derived derivative</x:t>
        </x:is>
      </x:c>
      <x:c r="O86" s="13" t="inlineStr">
        <x:is>
          <x:t xml:space="preserve">Official IRS filing identifier; ProPublica used for navigation/corroboration</x:t>
        </x:is>
      </x:c>
      <x:c r="P86" s="13" t="inlineStr">
        <x:is>
          <x:t xml:space="preserve">ProPublica filing-derived table lines 21-90; IRS object ID from XML link</x:t>
        </x:is>
      </x:c>
      <x:c r="Q86" s="13" t="inlineStr">
        <x:is>
          <x:t xml:space="preserve">Cash proxy arithmetic and total-proxy arithmetic validated; source-native IRS XML could not be archived in this environment.</x:t>
        </x:is>
      </x:c>
    </x:row>
    <x:row r="87">
      <x:c r="A87" s="12" t="inlineStr">
        <x:is>
          <x:t xml:space="preserve">SRC-990-EXT-ELECTRONIC-FRONTIER-FOUNDATION</x:t>
        </x:is>
      </x:c>
      <x:c r="B87" s="12" t="inlineStr">
        <x:is>
          <x:t xml:space="preserve">Electronic Frontier Foundation</x:t>
        </x:is>
      </x:c>
      <x:c r="C87" s="12" t="inlineStr">
        <x:is>
          <x:t xml:space="preserve">Form 990 filing-derived snapshot</x:t>
        </x:is>
      </x:c>
      <x:c r="D87" s="16" t="inlineStr">
        <x:is>
          <x:t xml:space="preserve">https://apps.irs.gov/pub/epostcard/990/xml/2026/202610989349301676_public.xml</x:t>
        </x:is>
      </x:c>
      <x:c r="E87" s="16" t="inlineStr">
        <x:is>
          <x:t xml:space="preserve">https://projects.propublica.org/nonprofits/organizations/43091431</x:t>
        </x:is>
      </x:c>
      <x:c r="F87" s="12" t="inlineStr">
        <x:is>
          <x:t xml:space="preserve">2026-08-25</x:t>
        </x:is>
      </x:c>
      <x:c r="G87" s="16" t="inlineStr">
        <x:is>
          <x:t xml:space="preserve">sources/raw/src-990-ext-electronic-frontier-foundation.txt</x:t>
        </x:is>
      </x:c>
      <x:c r="H87" s="12" t="inlineStr">
        <x:is>
          <x:t xml:space="preserve">text/plain; charset=utf-8</x:t>
        </x:is>
      </x:c>
      <x:c r="I87" s="12" t="n">
        <x:v>1842</x:v>
      </x:c>
      <x:c r="J87" s="13" t="inlineStr">
        <x:is>
          <x:t xml:space="preserve">7075e042f583077b3733afaf966307d7635f9016c3007eeb9b31515257197150</x:t>
        </x:is>
      </x:c>
      <x:c r="K87" s="12" t="inlineStr">
        <x:is>
          <x:t xml:space="preserve">2024-07-01 to 2025-06-30</x:t>
        </x:is>
      </x:c>
      <x:c r="L87" s="12" t="inlineStr">
        <x:is>
          <x:t xml:space="preserve">04-3091431</x:t>
        </x:is>
      </x:c>
      <x:c r="M87" s="12" t="inlineStr">
        <x:is>
          <x:t xml:space="preserve">202610989349301676</x:t>
        </x:is>
      </x:c>
      <x:c r="N87" s="12" t="inlineStr">
        <x:is>
          <x:t xml:space="preserve">official filing-derived derivative</x:t>
        </x:is>
      </x:c>
      <x:c r="O87" s="13" t="inlineStr">
        <x:is>
          <x:t xml:space="preserve">Official IRS filing identifier; ProPublica used for navigation/corroboration</x:t>
        </x:is>
      </x:c>
      <x:c r="P87" s="12" t="inlineStr">
        <x:is>
          <x:t xml:space="preserve">ProPublica latest FY2025 filing table</x:t>
        </x:is>
      </x:c>
      <x:c r="Q87" s="13" t="inlineStr">
        <x:is>
          <x:t xml:space="preserve">Cash proxy arithmetic and total-proxy arithmetic validated; source-native IRS XML could not be archived in this environment.</x:t>
        </x:is>
      </x:c>
    </x:row>
    <x:row r="88">
      <x:c r="A88" s="12" t="inlineStr">
        <x:is>
          <x:t xml:space="preserve">SRC-990-EXT-ENERGY-FOR-GROWTH-HUB</x:t>
        </x:is>
      </x:c>
      <x:c r="B88" s="12" t="inlineStr">
        <x:is>
          <x:t xml:space="preserve">Energy for Growth Hub</x:t>
        </x:is>
      </x:c>
      <x:c r="C88" s="12" t="inlineStr">
        <x:is>
          <x:t xml:space="preserve">Form 990 filing-derived snapshot</x:t>
        </x:is>
      </x:c>
      <x:c r="D88" s="16" t="inlineStr">
        <x:is>
          <x:t xml:space="preserve">https://apps.irs.gov/pub/epostcard/990/xml/2025/202513219349322806_public.xml</x:t>
        </x:is>
      </x:c>
      <x:c r="E88" s="16" t="inlineStr">
        <x:is>
          <x:t xml:space="preserve">https://projects.propublica.org/nonprofits/organizations/831609680</x:t>
        </x:is>
      </x:c>
      <x:c r="F88" s="12" t="inlineStr">
        <x:is>
          <x:t xml:space="preserve">2026-08-25</x:t>
        </x:is>
      </x:c>
      <x:c r="G88" s="16" t="inlineStr">
        <x:is>
          <x:t xml:space="preserve">sources/raw/src-990-ext-energy-for-growth-hub.txt</x:t>
        </x:is>
      </x:c>
      <x:c r="H88" s="12" t="inlineStr">
        <x:is>
          <x:t xml:space="preserve">text/plain; charset=utf-8</x:t>
        </x:is>
      </x:c>
      <x:c r="I88" s="12" t="n">
        <x:v>1930</x:v>
      </x:c>
      <x:c r="J88" s="13" t="inlineStr">
        <x:is>
          <x:t xml:space="preserve">fd892575716affc1b2de88ab15bd77c9d1d765f9ed5c04df899d3703fd596d8d</x:t>
        </x:is>
      </x:c>
      <x:c r="K88" s="12" t="inlineStr">
        <x:is>
          <x:t xml:space="preserve">2024-01-01 to 2024-12-31</x:t>
        </x:is>
      </x:c>
      <x:c r="L88" s="12" t="inlineStr">
        <x:is>
          <x:t xml:space="preserve">83-1609680</x:t>
        </x:is>
      </x:c>
      <x:c r="M88" s="12" t="inlineStr">
        <x:is>
          <x:t xml:space="preserve">202513219349322806</x:t>
        </x:is>
      </x:c>
      <x:c r="N88" s="12" t="inlineStr">
        <x:is>
          <x:t xml:space="preserve">official filing-derived derivative</x:t>
        </x:is>
      </x:c>
      <x:c r="O88" s="13" t="inlineStr">
        <x:is>
          <x:t xml:space="preserve">Official IRS filing identifier; ProPublica used for navigation/corroboration</x:t>
        </x:is>
      </x:c>
      <x:c r="P88" s="13" t="inlineStr">
        <x:is>
          <x:t xml:space="preserve">ProPublica filing-derived table and XML link; browser source turn692537view2 lines 21-89.</x:t>
        </x:is>
      </x:c>
      <x:c r="Q88" s="13" t="inlineStr">
        <x:is>
          <x:t xml:space="preserve">Cash proxy arithmetic and total-proxy arithmetic validated; source-native IRS XML could not be archived in this environment.</x:t>
        </x:is>
      </x:c>
    </x:row>
    <x:row r="89">
      <x:c r="A89" s="12" t="inlineStr">
        <x:is>
          <x:t xml:space="preserve">SRC-990-EXT-ENVIRONMENTAL-LAW-INSTITUTE</x:t>
        </x:is>
      </x:c>
      <x:c r="B89" s="12" t="inlineStr">
        <x:is>
          <x:t xml:space="preserve">Environmental Law Institute</x:t>
        </x:is>
      </x:c>
      <x:c r="C89" s="12" t="inlineStr">
        <x:is>
          <x:t xml:space="preserve">Form 990 filing-derived snapshot</x:t>
        </x:is>
      </x:c>
      <x:c r="D89" s="16" t="inlineStr">
        <x:is>
          <x:t xml:space="preserve">https://apps.irs.gov/pub/epostcard/990/xml/2025/202522619349300012_public.xml</x:t>
        </x:is>
      </x:c>
      <x:c r="E89" s="16" t="inlineStr">
        <x:is>
          <x:t xml:space="preserve">https://projects.propublica.org/nonprofits/organizations/520901863</x:t>
        </x:is>
      </x:c>
      <x:c r="F89" s="12" t="inlineStr">
        <x:is>
          <x:t xml:space="preserve">2026-08-25</x:t>
        </x:is>
      </x:c>
      <x:c r="G89" s="16" t="inlineStr">
        <x:is>
          <x:t xml:space="preserve">sources/raw/src-990-ext-environmental-law-institute.txt</x:t>
        </x:is>
      </x:c>
      <x:c r="H89" s="12" t="inlineStr">
        <x:is>
          <x:t xml:space="preserve">text/plain; charset=utf-8</x:t>
        </x:is>
      </x:c>
      <x:c r="I89" s="12" t="n">
        <x:v>1884</x:v>
      </x:c>
      <x:c r="J89" s="13" t="inlineStr">
        <x:is>
          <x:t xml:space="preserve">15feecaadbbd9a1af6aeb396f57f27d582bc4b4901ab146f0d1eba0f6a018355</x:t>
        </x:is>
      </x:c>
      <x:c r="K89" s="12" t="inlineStr">
        <x:is>
          <x:t xml:space="preserve">2024-01-01 to 2024-12-31</x:t>
        </x:is>
      </x:c>
      <x:c r="L89" s="12" t="inlineStr">
        <x:is>
          <x:t xml:space="preserve">52-0901863</x:t>
        </x:is>
      </x:c>
      <x:c r="M89" s="12" t="inlineStr">
        <x:is>
          <x:t xml:space="preserve">202522619349300012</x:t>
        </x:is>
      </x:c>
      <x:c r="N89" s="12" t="inlineStr">
        <x:is>
          <x:t xml:space="preserve">official filing-derived derivative</x:t>
        </x:is>
      </x:c>
      <x:c r="O89" s="13" t="inlineStr">
        <x:is>
          <x:t xml:space="preserve">Official IRS filing identifier; ProPublica used for navigation/corroboration</x:t>
        </x:is>
      </x:c>
      <x:c r="P89" s="13" t="inlineStr">
        <x:is>
          <x:t xml:space="preserve">ProPublica filing-derived table; official IRS object ID identified from XML link; browser source turn481574view0.</x:t>
        </x:is>
      </x:c>
      <x:c r="Q89" s="13" t="inlineStr">
        <x:is>
          <x:t xml:space="preserve">Cash proxy arithmetic and total-proxy arithmetic validated; source-native IRS XML could not be archived in this environment.</x:t>
        </x:is>
      </x:c>
    </x:row>
    <x:row r="90">
      <x:c r="A90" s="12" t="inlineStr">
        <x:is>
          <x:t xml:space="preserve">SRC-990-EXT-EVIDENCE-ACTION</x:t>
        </x:is>
      </x:c>
      <x:c r="B90" s="12" t="inlineStr">
        <x:is>
          <x:t xml:space="preserve">Evidence Action</x:t>
        </x:is>
      </x:c>
      <x:c r="C90" s="12" t="inlineStr">
        <x:is>
          <x:t xml:space="preserve">Form 990 filing-derived snapshot</x:t>
        </x:is>
      </x:c>
      <x:c r="D90" s="16" t="inlineStr">
        <x:is>
          <x:t xml:space="preserve">https://apps.irs.gov/pub/epostcard/990/xml/2025/202512829349302256_public.xml</x:t>
        </x:is>
      </x:c>
      <x:c r="E90" s="16" t="inlineStr">
        <x:is>
          <x:t xml:space="preserve">https://projects.propublica.org/nonprofits/organizations/900874591</x:t>
        </x:is>
      </x:c>
      <x:c r="F90" s="12" t="inlineStr">
        <x:is>
          <x:t xml:space="preserve">2026-08-25</x:t>
        </x:is>
      </x:c>
      <x:c r="G90" s="17" t="inlineStr">
        <x:is>
          <x:t xml:space="preserve">sources/raw/src-990-ext-evidence-action.txt</x:t>
        </x:is>
      </x:c>
      <x:c r="H90" s="12" t="inlineStr">
        <x:is>
          <x:t xml:space="preserve">text/plain; charset=utf-8</x:t>
        </x:is>
      </x:c>
      <x:c r="I90" s="12" t="n">
        <x:v>1861</x:v>
      </x:c>
      <x:c r="J90" s="13" t="inlineStr">
        <x:is>
          <x:t xml:space="preserve">0a819456b8f6582be805509f00f65b531f53af9620974200239bc62f7f874ae5</x:t>
        </x:is>
      </x:c>
      <x:c r="K90" s="12" t="inlineStr">
        <x:is>
          <x:t xml:space="preserve">2024-01-01 to 2024-12-31</x:t>
        </x:is>
      </x:c>
      <x:c r="L90" s="12" t="inlineStr">
        <x:is>
          <x:t xml:space="preserve">90-0874591</x:t>
        </x:is>
      </x:c>
      <x:c r="M90" s="12" t="inlineStr">
        <x:is>
          <x:t xml:space="preserve">202512829349302256</x:t>
        </x:is>
      </x:c>
      <x:c r="N90" s="12" t="inlineStr">
        <x:is>
          <x:t xml:space="preserve">official filing-derived derivative</x:t>
        </x:is>
      </x:c>
      <x:c r="O90" s="13" t="inlineStr">
        <x:is>
          <x:t xml:space="preserve">Official IRS filing identifier; ProPublica used for navigation/corroboration</x:t>
        </x:is>
      </x:c>
      <x:c r="P90" s="13" t="inlineStr">
        <x:is>
          <x:t xml:space="preserve">ProPublica filing-derived table; official IRS object ID identified from XML link</x:t>
        </x:is>
      </x:c>
      <x:c r="Q90" s="13" t="inlineStr">
        <x:is>
          <x:t xml:space="preserve">Cash proxy arithmetic and total-proxy arithmetic validated; source-native IRS XML could not be archived in this environment.</x:t>
        </x:is>
      </x:c>
    </x:row>
    <x:row r="91">
      <x:c r="A91" s="12" t="inlineStr">
        <x:is>
          <x:t xml:space="preserve">SRC-990-EXT-EXPONENT-PHILANTHROPY</x:t>
        </x:is>
      </x:c>
      <x:c r="B91" s="12" t="inlineStr">
        <x:is>
          <x:t xml:space="preserve">Exponent Philanthropy</x:t>
        </x:is>
      </x:c>
      <x:c r="C91" s="12" t="inlineStr">
        <x:is>
          <x:t xml:space="preserve">Form 990 filing-derived snapshot</x:t>
        </x:is>
      </x:c>
      <x:c r="D91" s="16" t="inlineStr">
        <x:is>
          <x:t xml:space="preserve">https://apps.irs.gov/pub/epostcard/990/xml/2026/202621699349300132_public.xml</x:t>
        </x:is>
      </x:c>
      <x:c r="E91" s="16" t="inlineStr">
        <x:is>
          <x:t xml:space="preserve">https://projects.propublica.org/nonprofits/organizations/650617866</x:t>
        </x:is>
      </x:c>
      <x:c r="F91" s="12" t="inlineStr">
        <x:is>
          <x:t xml:space="preserve">2026-08-25</x:t>
        </x:is>
      </x:c>
      <x:c r="G91" s="16" t="inlineStr">
        <x:is>
          <x:t xml:space="preserve">sources/raw/src-990-ext-exponent-philanthropy.txt</x:t>
        </x:is>
      </x:c>
      <x:c r="H91" s="12" t="inlineStr">
        <x:is>
          <x:t xml:space="preserve">text/plain; charset=utf-8</x:t>
        </x:is>
      </x:c>
      <x:c r="I91" s="12" t="n">
        <x:v>1852</x:v>
      </x:c>
      <x:c r="J91" s="13" t="inlineStr">
        <x:is>
          <x:t xml:space="preserve">1007e7aff538fa7797387b0432f262f64984b26737a3465966ab81cf29259de6</x:t>
        </x:is>
      </x:c>
      <x:c r="K91" s="12" t="inlineStr">
        <x:is>
          <x:t xml:space="preserve">2025-01-01 to 2025-12-31</x:t>
        </x:is>
      </x:c>
      <x:c r="L91" s="12" t="inlineStr">
        <x:is>
          <x:t xml:space="preserve">65-0617866</x:t>
        </x:is>
      </x:c>
      <x:c r="M91" s="12" t="inlineStr">
        <x:is>
          <x:t xml:space="preserve">202621699349300132</x:t>
        </x:is>
      </x:c>
      <x:c r="N91" s="12" t="inlineStr">
        <x:is>
          <x:t xml:space="preserve">official filing-derived derivative</x:t>
        </x:is>
      </x:c>
      <x:c r="O91" s="13" t="inlineStr">
        <x:is>
          <x:t xml:space="preserve">Official IRS filing identifier; ProPublica used for navigation/corroboration</x:t>
        </x:is>
      </x:c>
      <x:c r="P91" s="13" t="inlineStr">
        <x:is>
          <x:t xml:space="preserve">ProPublica filing-derived table; official IRS object ID identified from XML link</x:t>
        </x:is>
      </x:c>
      <x:c r="Q91" s="13" t="inlineStr">
        <x:is>
          <x:t xml:space="preserve">Cash proxy arithmetic and total-proxy arithmetic validated; source-native IRS XML could not be archived in this environment.</x:t>
        </x:is>
      </x:c>
    </x:row>
    <x:row r="92">
      <x:c r="A92" s="12" t="inlineStr">
        <x:is>
          <x:t xml:space="preserve">SRC-990-EXT-FAR-AI</x:t>
        </x:is>
      </x:c>
      <x:c r="B92" s="12" t="inlineStr">
        <x:is>
          <x:t xml:space="preserve">FAR AI</x:t>
        </x:is>
      </x:c>
      <x:c r="C92" s="12" t="inlineStr">
        <x:is>
          <x:t xml:space="preserve">Form 990 filing-derived snapshot</x:t>
        </x:is>
      </x:c>
      <x:c r="D92" s="16" t="inlineStr">
        <x:is>
          <x:t xml:space="preserve">https://apps.irs.gov/pub/epostcard/990/xml/2025/202543189349316054_public.xml</x:t>
        </x:is>
      </x:c>
      <x:c r="E92" s="16" t="inlineStr">
        <x:is>
          <x:t xml:space="preserve">https://projects.propublica.org/nonprofits/organizations/920692207</x:t>
        </x:is>
      </x:c>
      <x:c r="F92" s="12" t="inlineStr">
        <x:is>
          <x:t xml:space="preserve">2026-08-25</x:t>
        </x:is>
      </x:c>
      <x:c r="G92" s="17" t="inlineStr">
        <x:is>
          <x:t xml:space="preserve">sources/raw/src-990-ext-far-ai.txt</x:t>
        </x:is>
      </x:c>
      <x:c r="H92" s="12" t="inlineStr">
        <x:is>
          <x:t xml:space="preserve">text/plain; charset=utf-8</x:t>
        </x:is>
      </x:c>
      <x:c r="I92" s="12" t="n">
        <x:v>1655</x:v>
      </x:c>
      <x:c r="J92" s="13" t="inlineStr">
        <x:is>
          <x:t xml:space="preserve">6fbd23e28d7af3b0719c53ac1a35f5aea2b8ad01d72385a5d7c82122e2a77a22</x:t>
        </x:is>
      </x:c>
      <x:c r="K92" s="12" t="inlineStr">
        <x:is>
          <x:t xml:space="preserve">2024-01-01 to 2024-12-31</x:t>
        </x:is>
      </x:c>
      <x:c r="L92" s="12" t="inlineStr">
        <x:is>
          <x:t xml:space="preserve">92-0692207</x:t>
        </x:is>
      </x:c>
      <x:c r="M92" s="12" t="inlineStr">
        <x:is>
          <x:t xml:space="preserve">202543189349316054</x:t>
        </x:is>
      </x:c>
      <x:c r="N92" s="12" t="inlineStr">
        <x:is>
          <x:t xml:space="preserve">official filing-derived derivative</x:t>
        </x:is>
      </x:c>
      <x:c r="O92" s="13" t="inlineStr">
        <x:is>
          <x:t xml:space="preserve">Official IRS filing identifier; ProPublica used for navigation/corroboration</x:t>
        </x:is>
      </x:c>
      <x:c r="P92" s="12" t="inlineStr">
        <x:is>
          <x:t xml:space="preserve">ProPublica latest 2024 filing table</x:t>
        </x:is>
      </x:c>
      <x:c r="Q92" s="13" t="inlineStr">
        <x:is>
          <x:t xml:space="preserve">Cash proxy arithmetic and total-proxy arithmetic validated; source-native IRS XML could not be archived in this environment.</x:t>
        </x:is>
      </x:c>
    </x:row>
    <x:row r="93">
      <x:c r="A93" s="12" t="inlineStr">
        <x:is>
          <x:t xml:space="preserve">SRC-990-EXT-FARM-SANCTUARY</x:t>
        </x:is>
      </x:c>
      <x:c r="B93" s="12" t="inlineStr">
        <x:is>
          <x:t xml:space="preserve">Farm Sanctuary</x:t>
        </x:is>
      </x:c>
      <x:c r="C93" s="12" t="inlineStr">
        <x:is>
          <x:t xml:space="preserve">Form 990 filing-derived snapshot</x:t>
        </x:is>
      </x:c>
      <x:c r="D93" s="16" t="inlineStr">
        <x:is>
          <x:t xml:space="preserve">https://apps.irs.gov/pub/epostcard/990/xml/2024/202422699349301652_public.xml</x:t>
        </x:is>
      </x:c>
      <x:c r="E93" s="16" t="inlineStr">
        <x:is>
          <x:t xml:space="preserve">https://projects.propublica.org/nonprofits/organizations/510292919</x:t>
        </x:is>
      </x:c>
      <x:c r="F93" s="12" t="inlineStr">
        <x:is>
          <x:t xml:space="preserve">2026-08-25</x:t>
        </x:is>
      </x:c>
      <x:c r="G93" s="17" t="inlineStr">
        <x:is>
          <x:t xml:space="preserve">sources/raw/src-990-ext-farm-sanctuary.txt</x:t>
        </x:is>
      </x:c>
      <x:c r="H93" s="12" t="inlineStr">
        <x:is>
          <x:t xml:space="preserve">text/plain; charset=utf-8</x:t>
        </x:is>
      </x:c>
      <x:c r="I93" s="12" t="n">
        <x:v>1916</x:v>
      </x:c>
      <x:c r="J93" s="13" t="inlineStr">
        <x:is>
          <x:t xml:space="preserve">7b6d806210e91e9e9eb46f7a5acd2f1af25c385c3e7935733e04e702670c305c</x:t>
        </x:is>
      </x:c>
      <x:c r="K93" s="12" t="inlineStr">
        <x:is>
          <x:t xml:space="preserve">2023-01-01 to 2023-12-31</x:t>
        </x:is>
      </x:c>
      <x:c r="L93" s="12" t="inlineStr">
        <x:is>
          <x:t xml:space="preserve">51-0292919</x:t>
        </x:is>
      </x:c>
      <x:c r="M93" s="12" t="inlineStr">
        <x:is>
          <x:t xml:space="preserve">202422699349301652</x:t>
        </x:is>
      </x:c>
      <x:c r="N93" s="12" t="inlineStr">
        <x:is>
          <x:t xml:space="preserve">official filing-derived derivative</x:t>
        </x:is>
      </x:c>
      <x:c r="O93" s="13" t="inlineStr">
        <x:is>
          <x:t xml:space="preserve">Official IRS filing identifier; ProPublica used for navigation/corroboration</x:t>
        </x:is>
      </x:c>
      <x:c r="P93" s="13" t="inlineStr">
        <x:is>
          <x:t xml:space="preserve">ProPublica filing-derived table; official IRS object ID identified from XML link</x:t>
        </x:is>
      </x:c>
      <x:c r="Q93" s="13" t="inlineStr">
        <x:is>
          <x:t xml:space="preserve">Cash proxy arithmetic and total-proxy arithmetic validated; source-native IRS XML could not be archived in this environment.</x:t>
        </x:is>
      </x:c>
    </x:row>
    <x:row r="94">
      <x:c r="A94" s="12" t="inlineStr">
        <x:is>
          <x:t xml:space="preserve">SRC-990-FAUNALYTICS</x:t>
        </x:is>
      </x:c>
      <x:c r="B94" s="12" t="inlineStr">
        <x:is>
          <x:t xml:space="preserve">Faunalytics</x:t>
        </x:is>
      </x:c>
      <x:c r="C94" s="12" t="inlineStr">
        <x:is>
          <x:t xml:space="preserve">Form 990 filing-derived snapshot</x:t>
        </x:is>
      </x:c>
      <x:c r="D94" s="17" t="inlineStr">
        <x:is>
          <x:t xml:space="preserve">not established</x:t>
        </x:is>
      </x:c>
      <x:c r="E94" s="17" t="inlineStr">
        <x:is>
          <x:t xml:space="preserve">not established</x:t>
        </x:is>
      </x:c>
      <x:c r="F94" s="12" t="inlineStr">
        <x:is>
          <x:t xml:space="preserve">2026-08-17T18:45:00-07:00</x:t>
        </x:is>
      </x:c>
      <x:c r="G94" s="17" t="inlineStr">
        <x:is>
          <x:t xml:space="preserve">sources/raw/src-990-faunalytics.txt</x:t>
        </x:is>
      </x:c>
      <x:c r="H94" s="12" t="inlineStr">
        <x:is>
          <x:t xml:space="preserve">text/plain; charset=utf-8</x:t>
        </x:is>
      </x:c>
      <x:c r="I94" s="12" t="n">
        <x:v>1579</x:v>
      </x:c>
      <x:c r="J94" s="13" t="inlineStr">
        <x:is>
          <x:t xml:space="preserve">4df5f242b584cd78f1081a315cb6b6e2398397c836fda5be82d8a1e9401ecf6b</x:t>
        </x:is>
      </x:c>
      <x:c r="K94" s="12" t="inlineStr">
        <x:is>
          <x:t xml:space="preserve"> to </x:t>
        </x:is>
      </x:c>
      <x:c r="L94" s="12" t="inlineStr">
        <x:is>
          <x:t xml:space="preserve">not established</x:t>
        </x:is>
      </x:c>
      <x:c r="M94" s="12" t="inlineStr">
        <x:is>
          <x:t xml:space="preserve">not established</x:t>
        </x:is>
      </x:c>
      <x:c r="N94" s="12" t="inlineStr">
        <x:is>
          <x:t xml:space="preserve">derivative</x:t>
        </x:is>
      </x:c>
      <x:c r="O94" s="13" t="inlineStr">
        <x:is>
          <x:t xml:space="preserve">official filing via IRS; browser rendering via ProPublica where available</x:t>
        </x:is>
      </x:c>
      <x:c r="P94" s="13" t="inlineStr">
        <x:is>
          <x:t xml:space="preserve">scale search; no complete current filing retained</x:t>
        </x:is>
      </x:c>
      <x:c r="Q94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95">
      <x:c r="A95" s="12" t="inlineStr">
        <x:is>
          <x:t xml:space="preserve">SRC-990-EXT-FEDERATION-OF-AMERICAN-SCIENTISTS</x:t>
        </x:is>
      </x:c>
      <x:c r="B95" s="12" t="inlineStr">
        <x:is>
          <x:t xml:space="preserve">Federation of American Scientists</x:t>
        </x:is>
      </x:c>
      <x:c r="C95" s="12" t="inlineStr">
        <x:is>
          <x:t xml:space="preserve">Form 990 filing-derived snapshot</x:t>
        </x:is>
      </x:c>
      <x:c r="D95" s="16" t="inlineStr">
        <x:is>
          <x:t xml:space="preserve">https://apps.irs.gov/pub/epostcard/990/xml/2026/202620939349300837_public.xml</x:t>
        </x:is>
      </x:c>
      <x:c r="E95" s="16" t="inlineStr">
        <x:is>
          <x:t xml:space="preserve">https://projects.propublica.org/nonprofits/organizations/237185827</x:t>
        </x:is>
      </x:c>
      <x:c r="F95" s="12" t="inlineStr">
        <x:is>
          <x:t xml:space="preserve">2026-08-25</x:t>
        </x:is>
      </x:c>
      <x:c r="G95" s="16" t="inlineStr">
        <x:is>
          <x:t xml:space="preserve">sources/raw/src-990-ext-federation-of-american-scientists.txt</x:t>
        </x:is>
      </x:c>
      <x:c r="H95" s="12" t="inlineStr">
        <x:is>
          <x:t xml:space="preserve">text/plain; charset=utf-8</x:t>
        </x:is>
      </x:c>
      <x:c r="I95" s="12" t="n">
        <x:v>1860</x:v>
      </x:c>
      <x:c r="J95" s="13" t="inlineStr">
        <x:is>
          <x:t xml:space="preserve">15d82877b6dca551204cc177b4c66da520be4d2382e8e46531ae3bbf47622160</x:t>
        </x:is>
      </x:c>
      <x:c r="K95" s="12" t="inlineStr">
        <x:is>
          <x:t xml:space="preserve">2024-07-01 to 2025-06-30</x:t>
        </x:is>
      </x:c>
      <x:c r="L95" s="12" t="inlineStr">
        <x:is>
          <x:t xml:space="preserve">23-7185827</x:t>
        </x:is>
      </x:c>
      <x:c r="M95" s="12" t="inlineStr">
        <x:is>
          <x:t xml:space="preserve">202620939349300837</x:t>
        </x:is>
      </x:c>
      <x:c r="N95" s="12" t="inlineStr">
        <x:is>
          <x:t xml:space="preserve">official filing-derived derivative</x:t>
        </x:is>
      </x:c>
      <x:c r="O95" s="13" t="inlineStr">
        <x:is>
          <x:t xml:space="preserve">Official IRS filing identifier; ProPublica used for navigation/corroboration</x:t>
        </x:is>
      </x:c>
      <x:c r="P95" s="12" t="inlineStr">
        <x:is>
          <x:t xml:space="preserve">ProPublica latest FY2025 filing table</x:t>
        </x:is>
      </x:c>
      <x:c r="Q95" s="13" t="inlineStr">
        <x:is>
          <x:t xml:space="preserve">Cash proxy arithmetic and total-proxy arithmetic validated; source-native IRS XML could not be archived in this environment.</x:t>
        </x:is>
      </x:c>
    </x:row>
    <x:row r="96">
      <x:c r="A96" s="12" t="inlineStr">
        <x:is>
          <x:t xml:space="preserve">SRC-990-EXT-FOOD-ANIMAL-CONCERNS-TRUST</x:t>
        </x:is>
      </x:c>
      <x:c r="B96" s="12" t="inlineStr">
        <x:is>
          <x:t xml:space="preserve">Food Animal Concerns Trust</x:t>
        </x:is>
      </x:c>
      <x:c r="C96" s="12" t="inlineStr">
        <x:is>
          <x:t xml:space="preserve">Form 990 filing-derived snapshot</x:t>
        </x:is>
      </x:c>
      <x:c r="D96" s="16" t="inlineStr">
        <x:is>
          <x:t xml:space="preserve">https://apps.irs.gov/pub/epostcard/990/xml/2026/202620149349300022_public.xml</x:t>
        </x:is>
      </x:c>
      <x:c r="E96" s="16" t="inlineStr">
        <x:is>
          <x:t xml:space="preserve">https://projects.propublica.org/nonprofits/organizations/363172605</x:t>
        </x:is>
      </x:c>
      <x:c r="F96" s="12" t="inlineStr">
        <x:is>
          <x:t xml:space="preserve">2026-08-25</x:t>
        </x:is>
      </x:c>
      <x:c r="G96" s="16" t="inlineStr">
        <x:is>
          <x:t xml:space="preserve">sources/raw/src-990-ext-food-animal-concerns-trust.txt</x:t>
        </x:is>
      </x:c>
      <x:c r="H96" s="12" t="inlineStr">
        <x:is>
          <x:t xml:space="preserve">text/plain; charset=utf-8</x:t>
        </x:is>
      </x:c>
      <x:c r="I96" s="12" t="n">
        <x:v>1871</x:v>
      </x:c>
      <x:c r="J96" s="13" t="inlineStr">
        <x:is>
          <x:t xml:space="preserve">ae8b7b014ec69ebdbdd6f4841f8fe8febc0c1903f2dae76801d4034f19763633</x:t>
        </x:is>
      </x:c>
      <x:c r="K96" s="12" t="inlineStr">
        <x:is>
          <x:t xml:space="preserve">2024-07-01 to 2025-06-30</x:t>
        </x:is>
      </x:c>
      <x:c r="L96" s="12" t="inlineStr">
        <x:is>
          <x:t xml:space="preserve">36-3172605</x:t>
        </x:is>
      </x:c>
      <x:c r="M96" s="12" t="inlineStr">
        <x:is>
          <x:t xml:space="preserve">202620149349300022</x:t>
        </x:is>
      </x:c>
      <x:c r="N96" s="12" t="inlineStr">
        <x:is>
          <x:t xml:space="preserve">official filing-derived derivative</x:t>
        </x:is>
      </x:c>
      <x:c r="O96" s="13" t="inlineStr">
        <x:is>
          <x:t xml:space="preserve">Official IRS filing identifier; ProPublica used for navigation/corroboration</x:t>
        </x:is>
      </x:c>
      <x:c r="P96" s="13" t="inlineStr">
        <x:is>
          <x:t xml:space="preserve">ProPublica filing-derived table; official IRS object ID identified from XML link; browser source turn491560view0.</x:t>
        </x:is>
      </x:c>
      <x:c r="Q96" s="13" t="inlineStr">
        <x:is>
          <x:t xml:space="preserve">Cash proxy arithmetic and total-proxy arithmetic validated; source-native IRS XML could not be archived in this environment.</x:t>
        </x:is>
      </x:c>
    </x:row>
    <x:row r="97">
      <x:c r="A97" s="12" t="inlineStr">
        <x:is>
          <x:t xml:space="preserve">SRC-990-EXT-FRAMEWORKS-INSTITUTE</x:t>
        </x:is>
      </x:c>
      <x:c r="B97" s="12" t="inlineStr">
        <x:is>
          <x:t xml:space="preserve">FrameWorks Institute</x:t>
        </x:is>
      </x:c>
      <x:c r="C97" s="12" t="inlineStr">
        <x:is>
          <x:t xml:space="preserve">Form 990 filing-derived snapshot</x:t>
        </x:is>
      </x:c>
      <x:c r="D97" s="16" t="inlineStr">
        <x:is>
          <x:t xml:space="preserve">https://apps.irs.gov/pub/epostcard/990/xml/2026/202641389349300439_public.xml</x:t>
        </x:is>
      </x:c>
      <x:c r="E97" s="16" t="inlineStr">
        <x:is>
          <x:t xml:space="preserve">https://projects.propublica.org/nonprofits/organizations/710891642</x:t>
        </x:is>
      </x:c>
      <x:c r="F97" s="12" t="inlineStr">
        <x:is>
          <x:t xml:space="preserve">2026-08-25</x:t>
        </x:is>
      </x:c>
      <x:c r="G97" s="16" t="inlineStr">
        <x:is>
          <x:t xml:space="preserve">sources/raw/src-990-ext-frameworks-institute.txt</x:t>
        </x:is>
      </x:c>
      <x:c r="H97" s="12" t="inlineStr">
        <x:is>
          <x:t xml:space="preserve">text/plain; charset=utf-8</x:t>
        </x:is>
      </x:c>
      <x:c r="I97" s="12" t="n">
        <x:v>1818</x:v>
      </x:c>
      <x:c r="J97" s="13" t="inlineStr">
        <x:is>
          <x:t xml:space="preserve">b13b43d7348b827c4339e6da4fa1707f014faeb99927575c7a0f90d5b2cbe45d</x:t>
        </x:is>
      </x:c>
      <x:c r="K97" s="12" t="inlineStr">
        <x:is>
          <x:t xml:space="preserve">2024-07-01 to 2025-06-30</x:t>
        </x:is>
      </x:c>
      <x:c r="L97" s="12" t="inlineStr">
        <x:is>
          <x:t xml:space="preserve">71-0891642</x:t>
        </x:is>
      </x:c>
      <x:c r="M97" s="12" t="inlineStr">
        <x:is>
          <x:t xml:space="preserve">202641389349300439</x:t>
        </x:is>
      </x:c>
      <x:c r="N97" s="12" t="inlineStr">
        <x:is>
          <x:t xml:space="preserve">official filing-derived derivative</x:t>
        </x:is>
      </x:c>
      <x:c r="O97" s="13" t="inlineStr">
        <x:is>
          <x:t xml:space="preserve">Official IRS filing identifier; ProPublica used for navigation/corroboration</x:t>
        </x:is>
      </x:c>
      <x:c r="P97" s="13" t="inlineStr">
        <x:is>
          <x:t xml:space="preserve">ProPublica filing-derived table lines 21-90; IRS object ID from XML link</x:t>
        </x:is>
      </x:c>
      <x:c r="Q97" s="13" t="inlineStr">
        <x:is>
          <x:t xml:space="preserve">Cash proxy arithmetic and total-proxy arithmetic validated; source-native IRS XML could not be archived in this environment.</x:t>
        </x:is>
      </x:c>
    </x:row>
    <x:row r="98">
      <x:c r="A98" s="12" t="inlineStr">
        <x:is>
          <x:t xml:space="preserve">SRC-990-EXT-FRESH-ENERGY</x:t>
        </x:is>
      </x:c>
      <x:c r="B98" s="12" t="inlineStr">
        <x:is>
          <x:t xml:space="preserve">Fresh Energy</x:t>
        </x:is>
      </x:c>
      <x:c r="C98" s="12" t="inlineStr">
        <x:is>
          <x:t xml:space="preserve">Form 990 filing-derived snapshot</x:t>
        </x:is>
      </x:c>
      <x:c r="D98" s="16" t="inlineStr">
        <x:is>
          <x:t xml:space="preserve">https://apps.irs.gov/pub/epostcard/990/xml/2025/202513169349301031_public.xml</x:t>
        </x:is>
      </x:c>
      <x:c r="E98" s="16" t="inlineStr">
        <x:is>
          <x:t xml:space="preserve">https://projects.propublica.org/nonprofits/organizations/411735501</x:t>
        </x:is>
      </x:c>
      <x:c r="F98" s="12" t="inlineStr">
        <x:is>
          <x:t xml:space="preserve">2026-08-25</x:t>
        </x:is>
      </x:c>
      <x:c r="G98" s="17" t="inlineStr">
        <x:is>
          <x:t xml:space="preserve">sources/raw/src-990-ext-fresh-energy.txt</x:t>
        </x:is>
      </x:c>
      <x:c r="H98" s="12" t="inlineStr">
        <x:is>
          <x:t xml:space="preserve">text/plain; charset=utf-8</x:t>
        </x:is>
      </x:c>
      <x:c r="I98" s="12" t="n">
        <x:v>2038</x:v>
      </x:c>
      <x:c r="J98" s="13" t="inlineStr">
        <x:is>
          <x:t xml:space="preserve">9fcebf26306fda3d181ed57cd998c6ee564752e8bb950dedd755128ec92416cb</x:t>
        </x:is>
      </x:c>
      <x:c r="K98" s="12" t="inlineStr">
        <x:is>
          <x:t xml:space="preserve">2024-02-01 to 2025-01-31</x:t>
        </x:is>
      </x:c>
      <x:c r="L98" s="12" t="inlineStr">
        <x:is>
          <x:t xml:space="preserve">41-1735501</x:t>
        </x:is>
      </x:c>
      <x:c r="M98" s="12" t="inlineStr">
        <x:is>
          <x:t xml:space="preserve">202513169349301031</x:t>
        </x:is>
      </x:c>
      <x:c r="N98" s="12" t="inlineStr">
        <x:is>
          <x:t xml:space="preserve">official filing-derived derivative</x:t>
        </x:is>
      </x:c>
      <x:c r="O98" s="13" t="inlineStr">
        <x:is>
          <x:t xml:space="preserve">Official IRS filing identifier; ProPublica used for navigation/corroboration</x:t>
        </x:is>
      </x:c>
      <x:c r="P98" s="13" t="inlineStr">
        <x:is>
          <x:t xml:space="preserve">ProPublica filing-derived table and XML link; browser source turn497898view0 lines 21-89.</x:t>
        </x:is>
      </x:c>
      <x:c r="Q98" s="13" t="inlineStr">
        <x:is>
          <x:t xml:space="preserve">Cash proxy arithmetic and total-proxy arithmetic validated; source-native IRS XML could not be archived in this environment.</x:t>
        </x:is>
      </x:c>
    </x:row>
    <x:row r="99">
      <x:c r="A99" s="12" t="inlineStr">
        <x:is>
          <x:t xml:space="preserve">SRC-990-FLI-2024</x:t>
        </x:is>
      </x:c>
      <x:c r="B99" s="12" t="inlineStr">
        <x:is>
          <x:t xml:space="preserve">Future of Life Institute</x:t>
        </x:is>
      </x:c>
      <x:c r="C99" s="12" t="inlineStr">
        <x:is>
          <x:t xml:space="preserve">Form 990 filing-derived snapshot</x:t>
        </x:is>
      </x:c>
      <x:c r="D99" s="16" t="inlineStr">
        <x:is>
          <x:t xml:space="preserve">https://projects.propublica.org/nonprofits/organizations/471052538</x:t>
        </x:is>
      </x:c>
      <x:c r="E99" s="16" t="inlineStr">
        <x:is>
          <x:t xml:space="preserve">https://projects.propublica.org/nonprofits/organizations/471052538</x:t>
        </x:is>
      </x:c>
      <x:c r="F99" s="12" t="inlineStr">
        <x:is>
          <x:t xml:space="preserve">2026-08-17T18:45:00-07:00</x:t>
        </x:is>
      </x:c>
      <x:c r="G99" s="17" t="inlineStr">
        <x:is>
          <x:t xml:space="preserve">sources/raw/src-990-fli-2024.txt</x:t>
        </x:is>
      </x:c>
      <x:c r="H99" s="12" t="inlineStr">
        <x:is>
          <x:t xml:space="preserve">text/plain; charset=utf-8</x:t>
        </x:is>
      </x:c>
      <x:c r="I99" s="12" t="n">
        <x:v>1883</x:v>
      </x:c>
      <x:c r="J99" s="13" t="inlineStr">
        <x:is>
          <x:t xml:space="preserve">85f27a850aca71a19cdd9289cc3d6af7d42d7d3f2088750b73d661965440a570</x:t>
        </x:is>
      </x:c>
      <x:c r="K99" s="12" t="inlineStr">
        <x:is>
          <x:t xml:space="preserve">2024-01-01 to 2024-12-31</x:t>
        </x:is>
      </x:c>
      <x:c r="L99" s="12" t="inlineStr">
        <x:is>
          <x:t xml:space="preserve">47-1052538</x:t>
        </x:is>
      </x:c>
      <x:c r="M99" s="12" t="inlineStr">
        <x:is>
          <x:t xml:space="preserve">not captured</x:t>
        </x:is>
      </x:c>
      <x:c r="N99" s="12" t="inlineStr">
        <x:is>
          <x:t xml:space="preserve">derivative</x:t>
        </x:is>
      </x:c>
      <x:c r="O99" s="13" t="inlineStr">
        <x:is>
          <x:t xml:space="preserve">official filing via IRS; browser rendering via ProPublica where available</x:t>
        </x:is>
      </x:c>
      <x:c r="P99" s="12" t="inlineStr">
        <x:is>
          <x:t xml:space="preserve">turn498315search2</x:t>
        </x:is>
      </x:c>
      <x:c r="Q99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00">
      <x:c r="A100" s="12" t="inlineStr">
        <x:is>
          <x:t xml:space="preserve">SRC-990-EXT-FUTURE-OF-PRIVACY-FORUM</x:t>
        </x:is>
      </x:c>
      <x:c r="B100" s="12" t="inlineStr">
        <x:is>
          <x:t xml:space="preserve">Future of Privacy Forum</x:t>
        </x:is>
      </x:c>
      <x:c r="C100" s="12" t="inlineStr">
        <x:is>
          <x:t xml:space="preserve">Form 990 filing-derived snapshot</x:t>
        </x:is>
      </x:c>
      <x:c r="D100" s="16" t="inlineStr">
        <x:is>
          <x:t xml:space="preserve">https://apps.irs.gov/pub/epostcard/990/xml/2025/202543219349319589_public.xml</x:t>
        </x:is>
      </x:c>
      <x:c r="E100" s="16" t="inlineStr">
        <x:is>
          <x:t xml:space="preserve">https://projects.propublica.org/nonprofits/organizations/453763097</x:t>
        </x:is>
      </x:c>
      <x:c r="F100" s="12" t="inlineStr">
        <x:is>
          <x:t xml:space="preserve">2026-08-25</x:t>
        </x:is>
      </x:c>
      <x:c r="G100" s="16" t="inlineStr">
        <x:is>
          <x:t xml:space="preserve">sources/raw/src-990-ext-future-of-privacy-forum.txt</x:t>
        </x:is>
      </x:c>
      <x:c r="H100" s="12" t="inlineStr">
        <x:is>
          <x:t xml:space="preserve">text/plain; charset=utf-8</x:t>
        </x:is>
      </x:c>
      <x:c r="I100" s="12" t="n">
        <x:v>1987</x:v>
      </x:c>
      <x:c r="J100" s="13" t="inlineStr">
        <x:is>
          <x:t xml:space="preserve">4079df6b121bfe4df2be2969a69e3f2665d2883a4ff76b0e98a071950439ebac</x:t>
        </x:is>
      </x:c>
      <x:c r="K100" s="12" t="inlineStr">
        <x:is>
          <x:t xml:space="preserve">2024-01-01 to 2024-12-31</x:t>
        </x:is>
      </x:c>
      <x:c r="L100" s="12" t="inlineStr">
        <x:is>
          <x:t xml:space="preserve">45-3763097</x:t>
        </x:is>
      </x:c>
      <x:c r="M100" s="12" t="inlineStr">
        <x:is>
          <x:t xml:space="preserve">202543219349319589</x:t>
        </x:is>
      </x:c>
      <x:c r="N100" s="12" t="inlineStr">
        <x:is>
          <x:t xml:space="preserve">official filing-derived derivative</x:t>
        </x:is>
      </x:c>
      <x:c r="O100" s="13" t="inlineStr">
        <x:is>
          <x:t xml:space="preserve">Official IRS filing identifier; ProPublica used for navigation/corroboration</x:t>
        </x:is>
      </x:c>
      <x:c r="P100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00" s="13" t="inlineStr">
        <x:is>
          <x:t xml:space="preserve">Cash proxy arithmetic and total-proxy arithmetic validated; source-native IRS XML could not be archived in this environment.</x:t>
        </x:is>
      </x:c>
    </x:row>
    <x:row r="101">
      <x:c r="A101" s="12" t="inlineStr">
        <x:is>
          <x:t xml:space="preserve">SRC-990-FPF-2024</x:t>
        </x:is>
      </x:c>
      <x:c r="B101" s="12" t="inlineStr">
        <x:is>
          <x:t xml:space="preserve">Future of Privacy Forum</x:t>
        </x:is>
      </x:c>
      <x:c r="C101" s="12" t="inlineStr">
        <x:is>
          <x:t xml:space="preserve">Form 990 filing-derived snapshot</x:t>
        </x:is>
      </x:c>
      <x:c r="D101" s="16" t="inlineStr">
        <x:is>
          <x:t xml:space="preserve">https://apps.irs.gov/pub/epostcard/990/xml/2025/202543219349319589_public.xml</x:t>
        </x:is>
      </x:c>
      <x:c r="E101" s="16" t="inlineStr">
        <x:is>
          <x:t xml:space="preserve">https://projects.propublica.org/nonprofits/organizations/453763097</x:t>
        </x:is>
      </x:c>
      <x:c r="F101" s="12" t="inlineStr">
        <x:is>
          <x:t xml:space="preserve">2026-08-17T18:45:00-07:00</x:t>
        </x:is>
      </x:c>
      <x:c r="G101" s="17" t="inlineStr">
        <x:is>
          <x:t xml:space="preserve">sources/raw/src-990-fpf-2024.txt</x:t>
        </x:is>
      </x:c>
      <x:c r="H101" s="12" t="inlineStr">
        <x:is>
          <x:t xml:space="preserve">text/plain; charset=utf-8</x:t>
        </x:is>
      </x:c>
      <x:c r="I101" s="12" t="n">
        <x:v>1729</x:v>
      </x:c>
      <x:c r="J101" s="13" t="inlineStr">
        <x:is>
          <x:t xml:space="preserve">6c0cbc8c8339f6978650daea24a3f1e2e1db000aff0faa0c28930b3e9ce02fa7</x:t>
        </x:is>
      </x:c>
      <x:c r="K101" s="12" t="inlineStr">
        <x:is>
          <x:t xml:space="preserve">2024-01-01 to 2024-12-31</x:t>
        </x:is>
      </x:c>
      <x:c r="L101" s="12" t="inlineStr">
        <x:is>
          <x:t xml:space="preserve">45-3763097</x:t>
        </x:is>
      </x:c>
      <x:c r="M101" s="12" t="inlineStr">
        <x:is>
          <x:t xml:space="preserve">202543219349319589</x:t>
        </x:is>
      </x:c>
      <x:c r="N101" s="12" t="inlineStr">
        <x:is>
          <x:t xml:space="preserve">derivative</x:t>
        </x:is>
      </x:c>
      <x:c r="O101" s="13" t="inlineStr">
        <x:is>
          <x:t xml:space="preserve">official filing via IRS; browser rendering via ProPublica where available</x:t>
        </x:is>
      </x:c>
      <x:c r="P101" s="12" t="inlineStr">
        <x:is>
          <x:t xml:space="preserve">turn787259view4 L22-L90</x:t>
        </x:is>
      </x:c>
      <x:c r="Q101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02">
      <x:c r="A102" s="12" t="inlineStr">
        <x:is>
          <x:t xml:space="preserve">SRC-990-GIVEWELL</x:t>
        </x:is>
      </x:c>
      <x:c r="B102" s="12" t="inlineStr">
        <x:is>
          <x:t xml:space="preserve">GiveWell / legal host</x:t>
        </x:is>
      </x:c>
      <x:c r="C102" s="12" t="inlineStr">
        <x:is>
          <x:t xml:space="preserve">Form 990 filing-derived snapshot</x:t>
        </x:is>
      </x:c>
      <x:c r="D102" s="17" t="inlineStr">
        <x:is>
          <x:t xml:space="preserve">not established</x:t>
        </x:is>
      </x:c>
      <x:c r="E102" s="17" t="inlineStr">
        <x:is>
          <x:t xml:space="preserve">not established</x:t>
        </x:is>
      </x:c>
      <x:c r="F102" s="12" t="inlineStr">
        <x:is>
          <x:t xml:space="preserve">2026-08-17T18:45:00-07:00</x:t>
        </x:is>
      </x:c>
      <x:c r="G102" s="17" t="inlineStr">
        <x:is>
          <x:t xml:space="preserve">sources/raw/src-990-givewell.txt</x:t>
        </x:is>
      </x:c>
      <x:c r="H102" s="12" t="inlineStr">
        <x:is>
          <x:t xml:space="preserve">text/plain; charset=utf-8</x:t>
        </x:is>
      </x:c>
      <x:c r="I102" s="12" t="n">
        <x:v>1574</x:v>
      </x:c>
      <x:c r="J102" s="13" t="inlineStr">
        <x:is>
          <x:t xml:space="preserve">63735c8f5fcc5b81d0527672746db0351c5774c889dba7d2f3f9ec34f130595f</x:t>
        </x:is>
      </x:c>
      <x:c r="K102" s="12" t="inlineStr">
        <x:is>
          <x:t xml:space="preserve"> to </x:t>
        </x:is>
      </x:c>
      <x:c r="L102" s="12" t="inlineStr">
        <x:is>
          <x:t xml:space="preserve">not established</x:t>
        </x:is>
      </x:c>
      <x:c r="M102" s="12" t="inlineStr">
        <x:is>
          <x:t xml:space="preserve">not established</x:t>
        </x:is>
      </x:c>
      <x:c r="N102" s="12" t="inlineStr">
        <x:is>
          <x:t xml:space="preserve">derivative</x:t>
        </x:is>
      </x:c>
      <x:c r="O102" s="13" t="inlineStr">
        <x:is>
          <x:t xml:space="preserve">official filing via IRS; browser rendering via ProPublica where available</x:t>
        </x:is>
      </x:c>
      <x:c r="P102" s="12" t="inlineStr">
        <x:is>
          <x:t xml:space="preserve">unsuccessful entity-resolution search</x:t>
        </x:is>
      </x:c>
      <x:c r="Q10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03">
      <x:c r="A103" s="12" t="inlineStr">
        <x:is>
          <x:t xml:space="preserve">SRC-990-EXT-GIVINGTUESDAY</x:t>
        </x:is>
      </x:c>
      <x:c r="B103" s="12" t="inlineStr">
        <x:is>
          <x:t xml:space="preserve">GivingTuesday</x:t>
        </x:is>
      </x:c>
      <x:c r="C103" s="12" t="inlineStr">
        <x:is>
          <x:t xml:space="preserve">Form 990 filing-derived snapshot</x:t>
        </x:is>
      </x:c>
      <x:c r="D103" s="16" t="inlineStr">
        <x:is>
          <x:t xml:space="preserve">https://apps.irs.gov/pub/epostcard/990/xml/2026/202601219349300720_public.xml</x:t>
        </x:is>
      </x:c>
      <x:c r="E103" s="16" t="inlineStr">
        <x:is>
          <x:t xml:space="preserve">https://projects.propublica.org/nonprofits/organizations/842929872</x:t>
        </x:is>
      </x:c>
      <x:c r="F103" s="12" t="inlineStr">
        <x:is>
          <x:t xml:space="preserve">2026-08-25</x:t>
        </x:is>
      </x:c>
      <x:c r="G103" s="17" t="inlineStr">
        <x:is>
          <x:t xml:space="preserve">sources/raw/src-990-ext-givingtuesday.txt</x:t>
        </x:is>
      </x:c>
      <x:c r="H103" s="12" t="inlineStr">
        <x:is>
          <x:t xml:space="preserve">text/plain; charset=utf-8</x:t>
        </x:is>
      </x:c>
      <x:c r="I103" s="12" t="n">
        <x:v>1894</x:v>
      </x:c>
      <x:c r="J103" s="13" t="inlineStr">
        <x:is>
          <x:t xml:space="preserve">792aaa67ee83249bd456b50fe21ee933ce2f5903b6dd6646bce8f8d4ba6129a2</x:t>
        </x:is>
      </x:c>
      <x:c r="K103" s="12" t="inlineStr">
        <x:is>
          <x:t xml:space="preserve">2024-07-01 to 2025-06-30</x:t>
        </x:is>
      </x:c>
      <x:c r="L103" s="12" t="inlineStr">
        <x:is>
          <x:t xml:space="preserve">84-2929872</x:t>
        </x:is>
      </x:c>
      <x:c r="M103" s="12" t="inlineStr">
        <x:is>
          <x:t xml:space="preserve">202601219349300720</x:t>
        </x:is>
      </x:c>
      <x:c r="N103" s="12" t="inlineStr">
        <x:is>
          <x:t xml:space="preserve">official filing-derived derivative</x:t>
        </x:is>
      </x:c>
      <x:c r="O103" s="13" t="inlineStr">
        <x:is>
          <x:t xml:space="preserve">Official IRS filing identifier; ProPublica used for navigation/corroboration</x:t>
        </x:is>
      </x:c>
      <x:c r="P103" s="13" t="inlineStr">
        <x:is>
          <x:t xml:space="preserve">ProPublica filing-derived table; official IRS object ID identified from XML link; browser source turn807748view0.</x:t>
        </x:is>
      </x:c>
      <x:c r="Q103" s="13" t="inlineStr">
        <x:is>
          <x:t xml:space="preserve">Cash proxy arithmetic and total-proxy arithmetic validated; source-native IRS XML could not be archived in this environment.</x:t>
        </x:is>
      </x:c>
    </x:row>
    <x:row r="104">
      <x:c r="A104" s="12" t="inlineStr">
        <x:is>
          <x:t xml:space="preserve">SRC-990-EXT-GLOBAL-HEALTH-CORPS</x:t>
        </x:is>
      </x:c>
      <x:c r="B104" s="12" t="inlineStr">
        <x:is>
          <x:t xml:space="preserve">Global Health Corps</x:t>
        </x:is>
      </x:c>
      <x:c r="C104" s="12" t="inlineStr">
        <x:is>
          <x:t xml:space="preserve">Form 990 filing-derived snapshot</x:t>
        </x:is>
      </x:c>
      <x:c r="D104" s="16" t="inlineStr">
        <x:is>
          <x:t xml:space="preserve">https://apps.irs.gov/pub/epostcard/990/xml/2026/202600139349300115_public.xml</x:t>
        </x:is>
      </x:c>
      <x:c r="E104" s="16" t="inlineStr">
        <x:is>
          <x:t xml:space="preserve">https://projects.propublica.org/nonprofits/organizations/800512336</x:t>
        </x:is>
      </x:c>
      <x:c r="F104" s="12" t="inlineStr">
        <x:is>
          <x:t xml:space="preserve">2026-08-25</x:t>
        </x:is>
      </x:c>
      <x:c r="G104" s="16" t="inlineStr">
        <x:is>
          <x:t xml:space="preserve">sources/raw/src-990-ext-global-health-corps.txt</x:t>
        </x:is>
      </x:c>
      <x:c r="H104" s="12" t="inlineStr">
        <x:is>
          <x:t xml:space="preserve">text/plain; charset=utf-8</x:t>
        </x:is>
      </x:c>
      <x:c r="I104" s="12" t="n">
        <x:v>1935</x:v>
      </x:c>
      <x:c r="J104" s="13" t="inlineStr">
        <x:is>
          <x:t xml:space="preserve">163d48a914521139f5fb80bb4d8a004d6fd8cec13c3092984eea1f2da953b084</x:t>
        </x:is>
      </x:c>
      <x:c r="K104" s="12" t="inlineStr">
        <x:is>
          <x:t xml:space="preserve">2024-08-01 to 2025-07-31</x:t>
        </x:is>
      </x:c>
      <x:c r="L104" s="12" t="inlineStr">
        <x:is>
          <x:t xml:space="preserve">80-0512336</x:t>
        </x:is>
      </x:c>
      <x:c r="M104" s="12" t="inlineStr">
        <x:is>
          <x:t xml:space="preserve">202600139349300115</x:t>
        </x:is>
      </x:c>
      <x:c r="N104" s="12" t="inlineStr">
        <x:is>
          <x:t xml:space="preserve">official filing-derived derivative</x:t>
        </x:is>
      </x:c>
      <x:c r="O104" s="13" t="inlineStr">
        <x:is>
          <x:t xml:space="preserve">Official IRS filing identifier; ProPublica used for navigation/corroboration</x:t>
        </x:is>
      </x:c>
      <x:c r="P104" s="13" t="inlineStr">
        <x:is>
          <x:t xml:space="preserve">ProPublica filing-derived table and XML link; browser source turn568961view1 lines 21-90.</x:t>
        </x:is>
      </x:c>
      <x:c r="Q104" s="13" t="inlineStr">
        <x:is>
          <x:t xml:space="preserve">Cash proxy arithmetic and total-proxy arithmetic validated; source-native IRS XML could not be archived in this environment.</x:t>
        </x:is>
      </x:c>
    </x:row>
    <x:row r="105">
      <x:c r="A105" s="12" t="inlineStr">
        <x:is>
          <x:t xml:space="preserve">SRC-990-EXT-GOOD-FOOD-INSTITUTE</x:t>
        </x:is>
      </x:c>
      <x:c r="B105" s="12" t="inlineStr">
        <x:is>
          <x:t xml:space="preserve">Good Food Institute</x:t>
        </x:is>
      </x:c>
      <x:c r="C105" s="12" t="inlineStr">
        <x:is>
          <x:t xml:space="preserve">Form 990 filing-derived snapshot</x:t>
        </x:is>
      </x:c>
      <x:c r="D105" s="16" t="inlineStr">
        <x:is>
          <x:t xml:space="preserve">https://apps.irs.gov/pub/epostcard/990/xml/2025/202543189349301719_public.xml</x:t>
        </x:is>
      </x:c>
      <x:c r="E105" s="16" t="inlineStr">
        <x:is>
          <x:t xml:space="preserve">https://projects.propublica.org/nonprofits/organizations/810840578</x:t>
        </x:is>
      </x:c>
      <x:c r="F105" s="12" t="inlineStr">
        <x:is>
          <x:t xml:space="preserve">2026-08-25</x:t>
        </x:is>
      </x:c>
      <x:c r="G105" s="16" t="inlineStr">
        <x:is>
          <x:t xml:space="preserve">sources/raw/src-990-ext-good-food-institute.txt</x:t>
        </x:is>
      </x:c>
      <x:c r="H105" s="12" t="inlineStr">
        <x:is>
          <x:t xml:space="preserve">text/plain; charset=utf-8</x:t>
        </x:is>
      </x:c>
      <x:c r="I105" s="12" t="n">
        <x:v>1883</x:v>
      </x:c>
      <x:c r="J105" s="13" t="inlineStr">
        <x:is>
          <x:t xml:space="preserve">842b76553405c827becbeff2d59e478848f402859a3c7eecd5ac135e21f254d9</x:t>
        </x:is>
      </x:c>
      <x:c r="K105" s="12" t="inlineStr">
        <x:is>
          <x:t xml:space="preserve">2024-01-01 to 2024-12-31</x:t>
        </x:is>
      </x:c>
      <x:c r="L105" s="12" t="inlineStr">
        <x:is>
          <x:t xml:space="preserve">81-0840578</x:t>
        </x:is>
      </x:c>
      <x:c r="M105" s="12" t="inlineStr">
        <x:is>
          <x:t xml:space="preserve">202543189349301719</x:t>
        </x:is>
      </x:c>
      <x:c r="N105" s="12" t="inlineStr">
        <x:is>
          <x:t xml:space="preserve">official filing-derived derivative</x:t>
        </x:is>
      </x:c>
      <x:c r="O105" s="13" t="inlineStr">
        <x:is>
          <x:t xml:space="preserve">Official IRS filing identifier; ProPublica used for navigation/corroboration</x:t>
        </x:is>
      </x:c>
      <x:c r="P105" s="12" t="inlineStr">
        <x:is>
          <x:t xml:space="preserve">ProPublica latest 2024 filing table</x:t>
        </x:is>
      </x:c>
      <x:c r="Q105" s="13" t="inlineStr">
        <x:is>
          <x:t xml:space="preserve">Cash proxy arithmetic and total-proxy arithmetic validated; source-native IRS XML could not be archived in this environment.</x:t>
        </x:is>
      </x:c>
    </x:row>
    <x:row r="106">
      <x:c r="A106" s="12" t="inlineStr">
        <x:is>
          <x:t xml:space="preserve">SRC-990-EXT-GRANTMAKERS-FOR-EDUCATION</x:t>
        </x:is>
      </x:c>
      <x:c r="B106" s="12" t="inlineStr">
        <x:is>
          <x:t xml:space="preserve">Grantmakers for Education</x:t>
        </x:is>
      </x:c>
      <x:c r="C106" s="12" t="inlineStr">
        <x:is>
          <x:t xml:space="preserve">Form 990 filing-derived snapshot</x:t>
        </x:is>
      </x:c>
      <x:c r="D106" s="16" t="inlineStr">
        <x:is>
          <x:t xml:space="preserve">https://apps.irs.gov/pub/epostcard/990/xml/2025/202543079349303299_public.xml</x:t>
        </x:is>
      </x:c>
      <x:c r="E106" s="16" t="inlineStr">
        <x:is>
          <x:t xml:space="preserve">https://projects.propublica.org/nonprofits/organizations/330919329</x:t>
        </x:is>
      </x:c>
      <x:c r="F106" s="12" t="inlineStr">
        <x:is>
          <x:t xml:space="preserve">2026-08-25</x:t>
        </x:is>
      </x:c>
      <x:c r="G106" s="16" t="inlineStr">
        <x:is>
          <x:t xml:space="preserve">sources/raw/src-990-ext-grantmakers-for-education.txt</x:t>
        </x:is>
      </x:c>
      <x:c r="H106" s="12" t="inlineStr">
        <x:is>
          <x:t xml:space="preserve">text/plain; charset=utf-8</x:t>
        </x:is>
      </x:c>
      <x:c r="I106" s="12" t="n">
        <x:v>1895</x:v>
      </x:c>
      <x:c r="J106" s="13" t="inlineStr">
        <x:is>
          <x:t xml:space="preserve">f7823365670e7855fcc07ac79068e6ef2f58866c7d3aa12afb4be8e87bdfdf88</x:t>
        </x:is>
      </x:c>
      <x:c r="K106" s="12" t="inlineStr">
        <x:is>
          <x:t xml:space="preserve">2024-01-01 to 2024-12-31</x:t>
        </x:is>
      </x:c>
      <x:c r="L106" s="12" t="inlineStr">
        <x:is>
          <x:t xml:space="preserve">33-0919329</x:t>
        </x:is>
      </x:c>
      <x:c r="M106" s="12" t="inlineStr">
        <x:is>
          <x:t xml:space="preserve">202543079349303299</x:t>
        </x:is>
      </x:c>
      <x:c r="N106" s="12" t="inlineStr">
        <x:is>
          <x:t xml:space="preserve">official filing-derived derivative</x:t>
        </x:is>
      </x:c>
      <x:c r="O106" s="13" t="inlineStr">
        <x:is>
          <x:t xml:space="preserve">Official IRS filing identifier; ProPublica used for navigation/corroboration</x:t>
        </x:is>
      </x:c>
      <x:c r="P106" s="13" t="inlineStr">
        <x:is>
          <x:t xml:space="preserve">ProPublica filing-derived table and XML link; browser source turn509907view3 lines 21-90.</x:t>
        </x:is>
      </x:c>
      <x:c r="Q106" s="13" t="inlineStr">
        <x:is>
          <x:t xml:space="preserve">Cash proxy arithmetic and total-proxy arithmetic validated; source-native IRS XML could not be archived in this environment.</x:t>
        </x:is>
      </x:c>
    </x:row>
    <x:row r="107">
      <x:c r="A107" s="13" t="inlineStr">
        <x:is>
          <x:t xml:space="preserve">SRC-990-EXT-GRANTMAKERS-FOR-EFFECTIVE-ORGANIZATIONS</x:t>
        </x:is>
      </x:c>
      <x:c r="B107" s="12" t="inlineStr">
        <x:is>
          <x:t xml:space="preserve">Grantmakers for Effective Organizations</x:t>
        </x:is>
      </x:c>
      <x:c r="C107" s="12" t="inlineStr">
        <x:is>
          <x:t xml:space="preserve">Form 990 filing-derived snapshot</x:t>
        </x:is>
      </x:c>
      <x:c r="D107" s="16" t="inlineStr">
        <x:is>
          <x:t xml:space="preserve">https://apps.irs.gov/pub/epostcard/990/xml/2025/202503109349303655_public.xml</x:t>
        </x:is>
      </x:c>
      <x:c r="E107" s="16" t="inlineStr">
        <x:is>
          <x:t xml:space="preserve">https://projects.propublica.org/nonprofits/organizations/10669150</x:t>
        </x:is>
      </x:c>
      <x:c r="F107" s="12" t="inlineStr">
        <x:is>
          <x:t xml:space="preserve">2026-08-25</x:t>
        </x:is>
      </x:c>
      <x:c r="G107" s="16" t="inlineStr">
        <x:is>
          <x:t xml:space="preserve">sources/raw/src-990-ext-grantmakers-for-effective-organizations.txt</x:t>
        </x:is>
      </x:c>
      <x:c r="H107" s="12" t="inlineStr">
        <x:is>
          <x:t xml:space="preserve">text/plain; charset=utf-8</x:t>
        </x:is>
      </x:c>
      <x:c r="I107" s="12" t="n">
        <x:v>1731</x:v>
      </x:c>
      <x:c r="J107" s="13" t="inlineStr">
        <x:is>
          <x:t xml:space="preserve">45eaddedf92d6f817f798ad28cf1d967363dba39a45c8f0309adce6a2b17e08c</x:t>
        </x:is>
      </x:c>
      <x:c r="K107" s="12" t="inlineStr">
        <x:is>
          <x:t xml:space="preserve">2024-01-01 to 2024-12-31</x:t>
        </x:is>
      </x:c>
      <x:c r="L107" s="12" t="inlineStr">
        <x:is>
          <x:t xml:space="preserve">01-0669150</x:t>
        </x:is>
      </x:c>
      <x:c r="M107" s="12" t="inlineStr">
        <x:is>
          <x:t xml:space="preserve">202503109349303655</x:t>
        </x:is>
      </x:c>
      <x:c r="N107" s="12" t="inlineStr">
        <x:is>
          <x:t xml:space="preserve">official filing-derived derivative</x:t>
        </x:is>
      </x:c>
      <x:c r="O107" s="13" t="inlineStr">
        <x:is>
          <x:t xml:space="preserve">Official IRS filing identifier; ProPublica used for navigation/corroboration</x:t>
        </x:is>
      </x:c>
      <x:c r="P107" s="12" t="inlineStr">
        <x:is>
          <x:t xml:space="preserve">ProPublica latest 2024 filing table</x:t>
        </x:is>
      </x:c>
      <x:c r="Q107" s="13" t="inlineStr">
        <x:is>
          <x:t xml:space="preserve">Cash proxy arithmetic and total-proxy arithmetic validated; source-native IRS XML could not be archived in this environment.</x:t>
        </x:is>
      </x:c>
    </x:row>
    <x:row r="108">
      <x:c r="A108" s="12" t="inlineStr">
        <x:is>
          <x:t xml:space="preserve">SRC-990-EXT-GUTTMACHER-INSTITUTE</x:t>
        </x:is>
      </x:c>
      <x:c r="B108" s="12" t="inlineStr">
        <x:is>
          <x:t xml:space="preserve">Guttmacher Institute</x:t>
        </x:is>
      </x:c>
      <x:c r="C108" s="12" t="inlineStr">
        <x:is>
          <x:t xml:space="preserve">Form 990 filing-derived snapshot</x:t>
        </x:is>
      </x:c>
      <x:c r="D108" s="16" t="inlineStr">
        <x:is>
          <x:t xml:space="preserve">https://apps.irs.gov/pub/epostcard/990/xml/2023/202341989349301459_public.xml</x:t>
        </x:is>
      </x:c>
      <x:c r="E108" s="16" t="inlineStr">
        <x:is>
          <x:t xml:space="preserve">https://projects.propublica.org/nonprofits/organizations/132890727</x:t>
        </x:is>
      </x:c>
      <x:c r="F108" s="12" t="inlineStr">
        <x:is>
          <x:t xml:space="preserve">2026-08-25</x:t>
        </x:is>
      </x:c>
      <x:c r="G108" s="16" t="inlineStr">
        <x:is>
          <x:t xml:space="preserve">sources/raw/src-990-ext-guttmacher-institute.txt</x:t>
        </x:is>
      </x:c>
      <x:c r="H108" s="12" t="inlineStr">
        <x:is>
          <x:t xml:space="preserve">text/plain; charset=utf-8</x:t>
        </x:is>
      </x:c>
      <x:c r="I108" s="12" t="n">
        <x:v>1913</x:v>
      </x:c>
      <x:c r="J108" s="13" t="inlineStr">
        <x:is>
          <x:t xml:space="preserve">b1dfecfc4a5462e45b1d3a941834c573f8c3185b3643df4aa6efd0363eb94099</x:t>
        </x:is>
      </x:c>
      <x:c r="K108" s="12" t="inlineStr">
        <x:is>
          <x:t xml:space="preserve">2022-01-01 to 2022-12-31</x:t>
        </x:is>
      </x:c>
      <x:c r="L108" s="12" t="inlineStr">
        <x:is>
          <x:t xml:space="preserve">13-2890727</x:t>
        </x:is>
      </x:c>
      <x:c r="M108" s="12" t="inlineStr">
        <x:is>
          <x:t xml:space="preserve">202341989349301459</x:t>
        </x:is>
      </x:c>
      <x:c r="N108" s="12" t="inlineStr">
        <x:is>
          <x:t xml:space="preserve">official filing-derived derivative</x:t>
        </x:is>
      </x:c>
      <x:c r="O108" s="13" t="inlineStr">
        <x:is>
          <x:t xml:space="preserve">Official IRS filing identifier; ProPublica used for navigation/corroboration</x:t>
        </x:is>
      </x:c>
      <x:c r="P108" s="13" t="inlineStr">
        <x:is>
          <x:t xml:space="preserve">ProPublica filing-derived table; official IRS object ID identified from XML link</x:t>
        </x:is>
      </x:c>
      <x:c r="Q108" s="13" t="inlineStr">
        <x:is>
          <x:t xml:space="preserve">Cash proxy arithmetic and total-proxy arithmetic validated; source-native IRS XML could not be archived in this environment.</x:t>
        </x:is>
      </x:c>
    </x:row>
    <x:row r="109">
      <x:c r="A109" s="12" t="inlineStr">
        <x:is>
          <x:t xml:space="preserve">SRC-990-EXT-INDEPENDENT-SECTOR</x:t>
        </x:is>
      </x:c>
      <x:c r="B109" s="12" t="inlineStr">
        <x:is>
          <x:t xml:space="preserve">Independent Sector</x:t>
        </x:is>
      </x:c>
      <x:c r="C109" s="12" t="inlineStr">
        <x:is>
          <x:t xml:space="preserve">Form 990 filing-derived snapshot</x:t>
        </x:is>
      </x:c>
      <x:c r="D109" s="16" t="inlineStr">
        <x:is>
          <x:t xml:space="preserve">https://apps.irs.gov/pub/epostcard/990/xml/2025/202502349349301110_public.xml</x:t>
        </x:is>
      </x:c>
      <x:c r="E109" s="16" t="inlineStr">
        <x:is>
          <x:t xml:space="preserve">https://projects.propublica.org/nonprofits/organizations/521081024</x:t>
        </x:is>
      </x:c>
      <x:c r="F109" s="12" t="inlineStr">
        <x:is>
          <x:t xml:space="preserve">2026-08-25</x:t>
        </x:is>
      </x:c>
      <x:c r="G109" s="16" t="inlineStr">
        <x:is>
          <x:t xml:space="preserve">sources/raw/src-990-ext-independent-sector.txt</x:t>
        </x:is>
      </x:c>
      <x:c r="H109" s="12" t="inlineStr">
        <x:is>
          <x:t xml:space="preserve">text/plain; charset=utf-8</x:t>
        </x:is>
      </x:c>
      <x:c r="I109" s="12" t="n">
        <x:v>1709</x:v>
      </x:c>
      <x:c r="J109" s="13" t="inlineStr">
        <x:is>
          <x:t xml:space="preserve">18ff4beb35c32533203682339e695b7650e8c8f8fffd5462e3a80eb1d9e2b168</x:t>
        </x:is>
      </x:c>
      <x:c r="K109" s="12" t="inlineStr">
        <x:is>
          <x:t xml:space="preserve">2024-01-01 to 2024-12-31</x:t>
        </x:is>
      </x:c>
      <x:c r="L109" s="12" t="inlineStr">
        <x:is>
          <x:t xml:space="preserve">52-1081024</x:t>
        </x:is>
      </x:c>
      <x:c r="M109" s="12" t="inlineStr">
        <x:is>
          <x:t xml:space="preserve">202502349349301110</x:t>
        </x:is>
      </x:c>
      <x:c r="N109" s="12" t="inlineStr">
        <x:is>
          <x:t xml:space="preserve">official filing-derived derivative</x:t>
        </x:is>
      </x:c>
      <x:c r="O109" s="13" t="inlineStr">
        <x:is>
          <x:t xml:space="preserve">Official IRS filing identifier; ProPublica used for navigation/corroboration</x:t>
        </x:is>
      </x:c>
      <x:c r="P109" s="12" t="inlineStr">
        <x:is>
          <x:t xml:space="preserve">ProPublica latest 2024 filing table</x:t>
        </x:is>
      </x:c>
      <x:c r="Q109" s="13" t="inlineStr">
        <x:is>
          <x:t xml:space="preserve">Cash proxy arithmetic and total-proxy arithmetic validated; source-native IRS XML could not be archived in this environment.</x:t>
        </x:is>
      </x:c>
    </x:row>
    <x:row r="110">
      <x:c r="A110" s="13" t="inlineStr">
        <x:is>
          <x:t xml:space="preserve">SRC-990-EXT-INFORMATION-TECHNOLOGY-AND-INNOVATION-FOUNDATION</x:t>
        </x:is>
      </x:c>
      <x:c r="B110" s="13" t="inlineStr">
        <x:is>
          <x:t xml:space="preserve">Information Technology and Innovation Foundation</x:t>
        </x:is>
      </x:c>
      <x:c r="C110" s="12" t="inlineStr">
        <x:is>
          <x:t xml:space="preserve">Form 990 filing-derived snapshot</x:t>
        </x:is>
      </x:c>
      <x:c r="D110" s="16" t="inlineStr">
        <x:is>
          <x:t xml:space="preserve">https://apps.irs.gov/pub/epostcard/990/xml/2026/202630159349300603_public.xml</x:t>
        </x:is>
      </x:c>
      <x:c r="E110" s="16" t="inlineStr">
        <x:is>
          <x:t xml:space="preserve">https://projects.propublica.org/nonprofits/organizations/204403497</x:t>
        </x:is>
      </x:c>
      <x:c r="F110" s="12" t="inlineStr">
        <x:is>
          <x:t xml:space="preserve">2026-08-25</x:t>
        </x:is>
      </x:c>
      <x:c r="G110" s="16" t="inlineStr">
        <x:is>
          <x:t xml:space="preserve">sources/raw/src-990-ext-information-technology-and-innovation-foundation.txt</x:t>
        </x:is>
      </x:c>
      <x:c r="H110" s="12" t="inlineStr">
        <x:is>
          <x:t xml:space="preserve">text/plain; charset=utf-8</x:t>
        </x:is>
      </x:c>
      <x:c r="I110" s="12" t="n">
        <x:v>1917</x:v>
      </x:c>
      <x:c r="J110" s="13" t="inlineStr">
        <x:is>
          <x:t xml:space="preserve">e7cf93498e0016f0f4f9b07a51281cf74149d94ae5d264c373cfd937ccae4fc9</x:t>
        </x:is>
      </x:c>
      <x:c r="K110" s="12" t="inlineStr">
        <x:is>
          <x:t xml:space="preserve">2024-03-01 to 2025-02-28</x:t>
        </x:is>
      </x:c>
      <x:c r="L110" s="12" t="inlineStr">
        <x:is>
          <x:t xml:space="preserve">20-4403497</x:t>
        </x:is>
      </x:c>
      <x:c r="M110" s="12" t="inlineStr">
        <x:is>
          <x:t xml:space="preserve">202630159349300603</x:t>
        </x:is>
      </x:c>
      <x:c r="N110" s="12" t="inlineStr">
        <x:is>
          <x:t xml:space="preserve">official filing-derived derivative</x:t>
        </x:is>
      </x:c>
      <x:c r="O110" s="13" t="inlineStr">
        <x:is>
          <x:t xml:space="preserve">Official IRS filing identifier; ProPublica used for navigation/corroboration</x:t>
        </x:is>
      </x:c>
      <x:c r="P110" s="13" t="inlineStr">
        <x:is>
          <x:t xml:space="preserve">ProPublica filing-derived table lines 21-89; IRS object ID from XML link</x:t>
        </x:is>
      </x:c>
      <x:c r="Q110" s="13" t="inlineStr">
        <x:is>
          <x:t xml:space="preserve">Cash proxy arithmetic and total-proxy arithmetic validated; source-native IRS XML could not be archived in this environment.</x:t>
        </x:is>
      </x:c>
    </x:row>
    <x:row r="111">
      <x:c r="A111" s="12" t="inlineStr">
        <x:is>
          <x:t xml:space="preserve">SRC-990-EXT-INNOVATIONS-FOR-POVERTY-ACTION</x:t>
        </x:is>
      </x:c>
      <x:c r="B111" s="12" t="inlineStr">
        <x:is>
          <x:t xml:space="preserve">Innovations for Poverty Action</x:t>
        </x:is>
      </x:c>
      <x:c r="C111" s="12" t="inlineStr">
        <x:is>
          <x:t xml:space="preserve">Form 990 filing-derived snapshot</x:t>
        </x:is>
      </x:c>
      <x:c r="D111" s="16" t="inlineStr">
        <x:is>
          <x:t xml:space="preserve">https://apps.irs.gov/pub/epostcard/990/xml/2025/202513169349300641_public.xml</x:t>
        </x:is>
      </x:c>
      <x:c r="E111" s="16" t="inlineStr">
        <x:is>
          <x:t xml:space="preserve">https://projects.propublica.org/nonprofits/organizations/061660068</x:t>
        </x:is>
      </x:c>
      <x:c r="F111" s="12" t="inlineStr">
        <x:is>
          <x:t xml:space="preserve">2026-08-25</x:t>
        </x:is>
      </x:c>
      <x:c r="G111" s="16" t="inlineStr">
        <x:is>
          <x:t xml:space="preserve">sources/raw/src-990-ext-innovations-for-poverty-action.txt</x:t>
        </x:is>
      </x:c>
      <x:c r="H111" s="12" t="inlineStr">
        <x:is>
          <x:t xml:space="preserve">text/plain; charset=utf-8</x:t>
        </x:is>
      </x:c>
      <x:c r="I111" s="12" t="n">
        <x:v>1869</x:v>
      </x:c>
      <x:c r="J111" s="13" t="inlineStr">
        <x:is>
          <x:t xml:space="preserve">5fb00574544a5fc1d75625d2395a5fdbec046bba2423e4f851fa5a67ea9a6f37</x:t>
        </x:is>
      </x:c>
      <x:c r="K111" s="12" t="inlineStr">
        <x:is>
          <x:t xml:space="preserve">2024-01-01 to 2024-12-31</x:t>
        </x:is>
      </x:c>
      <x:c r="L111" s="12" t="inlineStr">
        <x:is>
          <x:t xml:space="preserve">06-1660068</x:t>
        </x:is>
      </x:c>
      <x:c r="M111" s="12" t="inlineStr">
        <x:is>
          <x:t xml:space="preserve">202513169349300641</x:t>
        </x:is>
      </x:c>
      <x:c r="N111" s="12" t="inlineStr">
        <x:is>
          <x:t xml:space="preserve">official filing-derived derivative</x:t>
        </x:is>
      </x:c>
      <x:c r="O111" s="13" t="inlineStr">
        <x:is>
          <x:t xml:space="preserve">Official IRS filing identifier; ProPublica used for navigation/corroboration</x:t>
        </x:is>
      </x:c>
      <x:c r="P111" s="13" t="inlineStr">
        <x:is>
          <x:t xml:space="preserve">ProPublica filing-derived table; official IRS object ID identified from XML link</x:t>
        </x:is>
      </x:c>
      <x:c r="Q111" s="13" t="inlineStr">
        <x:is>
          <x:t xml:space="preserve">Cash proxy arithmetic and total-proxy arithmetic validated; source-native IRS XML could not be archived in this environment.</x:t>
        </x:is>
      </x:c>
    </x:row>
    <x:row r="112">
      <x:c r="A112" s="13" t="inlineStr">
        <x:is>
          <x:t xml:space="preserve">SRC-990-EXT-INSTITUTE-FOR-ENERGY-ECONOMICS-AND-FINANCIAL-ANALYSIS</x:t>
        </x:is>
      </x:c>
      <x:c r="B112" s="13" t="inlineStr">
        <x:is>
          <x:t xml:space="preserve">Institute for Energy Economics and Financial Analysis</x:t>
        </x:is>
      </x:c>
      <x:c r="C112" s="12" t="inlineStr">
        <x:is>
          <x:t xml:space="preserve">Form 990 filing-derived snapshot</x:t>
        </x:is>
      </x:c>
      <x:c r="D112" s="16" t="inlineStr">
        <x:is>
          <x:t xml:space="preserve">https://apps.irs.gov/pub/epostcard/990/xml/2025/202541979349300319_public.xml</x:t>
        </x:is>
      </x:c>
      <x:c r="E112" s="16" t="inlineStr">
        <x:is>
          <x:t xml:space="preserve">https://projects.propublica.org/nonprofits/organizations/454244605</x:t>
        </x:is>
      </x:c>
      <x:c r="F112" s="12" t="inlineStr">
        <x:is>
          <x:t xml:space="preserve">2026-08-25</x:t>
        </x:is>
      </x:c>
      <x:c r="G112" s="16" t="inlineStr">
        <x:is>
          <x:t xml:space="preserve">sources/raw/src-990-ext-institute-for-energy-economics-and-financial-analysis.txt</x:t>
        </x:is>
      </x:c>
      <x:c r="H112" s="12" t="inlineStr">
        <x:is>
          <x:t xml:space="preserve">text/plain; charset=utf-8</x:t>
        </x:is>
      </x:c>
      <x:c r="I112" s="12" t="n">
        <x:v>1860</x:v>
      </x:c>
      <x:c r="J112" s="13" t="inlineStr">
        <x:is>
          <x:t xml:space="preserve">0fe21f4ad64e8837af0709a8cd4a2254f98465c6de291f5453ecd4440c57cc0a</x:t>
        </x:is>
      </x:c>
      <x:c r="K112" s="12" t="inlineStr">
        <x:is>
          <x:t xml:space="preserve">2024-01-01 to 2024-12-31</x:t>
        </x:is>
      </x:c>
      <x:c r="L112" s="12" t="inlineStr">
        <x:is>
          <x:t xml:space="preserve">45-4244605</x:t>
        </x:is>
      </x:c>
      <x:c r="M112" s="12" t="inlineStr">
        <x:is>
          <x:t xml:space="preserve">202541979349300319</x:t>
        </x:is>
      </x:c>
      <x:c r="N112" s="12" t="inlineStr">
        <x:is>
          <x:t xml:space="preserve">official filing-derived derivative</x:t>
        </x:is>
      </x:c>
      <x:c r="O112" s="13" t="inlineStr">
        <x:is>
          <x:t xml:space="preserve">Official IRS filing identifier; ProPublica used for navigation/corroboration</x:t>
        </x:is>
      </x:c>
      <x:c r="P112" s="13" t="inlineStr">
        <x:is>
          <x:t xml:space="preserve">ProPublica filing-derived table lines 21-89; IRS object ID from XML link</x:t>
        </x:is>
      </x:c>
      <x:c r="Q112" s="13" t="inlineStr">
        <x:is>
          <x:t xml:space="preserve">Cash proxy arithmetic and total-proxy arithmetic validated; source-native IRS XML could not be archived in this environment.</x:t>
        </x:is>
      </x:c>
    </x:row>
    <x:row r="113">
      <x:c r="A113" s="13" t="inlineStr">
        <x:is>
          <x:t xml:space="preserve">SRC-990-EXT-INSTITUTE-FOR-MARKET-TRANSFORMATION</x:t>
        </x:is>
      </x:c>
      <x:c r="B113" s="12" t="inlineStr">
        <x:is>
          <x:t xml:space="preserve">Institute for Market Transformation</x:t>
        </x:is>
      </x:c>
      <x:c r="C113" s="12" t="inlineStr">
        <x:is>
          <x:t xml:space="preserve">Form 990 filing-derived snapshot</x:t>
        </x:is>
      </x:c>
      <x:c r="D113" s="16" t="inlineStr">
        <x:is>
          <x:t xml:space="preserve">https://apps.irs.gov/pub/epostcard/990/xml/2025/202512829349300921_public.xml</x:t>
        </x:is>
      </x:c>
      <x:c r="E113" s="16" t="inlineStr">
        <x:is>
          <x:t xml:space="preserve">https://projects.propublica.org/nonprofits/organizations/943241464</x:t>
        </x:is>
      </x:c>
      <x:c r="F113" s="12" t="inlineStr">
        <x:is>
          <x:t xml:space="preserve">2026-08-25</x:t>
        </x:is>
      </x:c>
      <x:c r="G113" s="16" t="inlineStr">
        <x:is>
          <x:t xml:space="preserve">sources/raw/src-990-ext-institute-for-market-transformation.txt</x:t>
        </x:is>
      </x:c>
      <x:c r="H113" s="12" t="inlineStr">
        <x:is>
          <x:t xml:space="preserve">text/plain; charset=utf-8</x:t>
        </x:is>
      </x:c>
      <x:c r="I113" s="12" t="n">
        <x:v>2127</x:v>
      </x:c>
      <x:c r="J113" s="13" t="inlineStr">
        <x:is>
          <x:t xml:space="preserve">db4b22b09ef07c6cd3ab4672ca4752ae5548a6d4b75e9c3abe576bd48bde9f93</x:t>
        </x:is>
      </x:c>
      <x:c r="K113" s="12" t="inlineStr">
        <x:is>
          <x:t xml:space="preserve">2024-01-01 to 2024-12-31</x:t>
        </x:is>
      </x:c>
      <x:c r="L113" s="12" t="inlineStr">
        <x:is>
          <x:t xml:space="preserve">94-3241464</x:t>
        </x:is>
      </x:c>
      <x:c r="M113" s="12" t="inlineStr">
        <x:is>
          <x:t xml:space="preserve">202512829349300921</x:t>
        </x:is>
      </x:c>
      <x:c r="N113" s="12" t="inlineStr">
        <x:is>
          <x:t xml:space="preserve">official filing-derived derivative</x:t>
        </x:is>
      </x:c>
      <x:c r="O113" s="13" t="inlineStr">
        <x:is>
          <x:t xml:space="preserve">Official IRS filing identifier; ProPublica used for navigation/corroboration</x:t>
        </x:is>
      </x:c>
      <x:c r="P113" s="13" t="inlineStr">
        <x:is>
          <x:t xml:space="preserve">ProPublica filing-derived table and prior-year comparison; browser source turn692537view0 lines 25-174.</x:t>
        </x:is>
      </x:c>
      <x:c r="Q113" s="13" t="inlineStr">
        <x:is>
          <x:t xml:space="preserve">Cash proxy arithmetic and total-proxy arithmetic validated; source-native IRS XML could not be archived in this environment.</x:t>
        </x:is>
      </x:c>
    </x:row>
    <x:row r="114">
      <x:c r="A114" s="12" t="inlineStr">
        <x:is>
          <x:t xml:space="preserve">SRC-990-EXT-INSTITUTE-FOR-NONPROFIT-NEWS</x:t>
        </x:is>
      </x:c>
      <x:c r="B114" s="12" t="inlineStr">
        <x:is>
          <x:t xml:space="preserve">Institute for Nonprofit News</x:t>
        </x:is>
      </x:c>
      <x:c r="C114" s="12" t="inlineStr">
        <x:is>
          <x:t xml:space="preserve">Form 990 filing-derived snapshot</x:t>
        </x:is>
      </x:c>
      <x:c r="D114" s="16" t="inlineStr">
        <x:is>
          <x:t xml:space="preserve">https://apps.irs.gov/pub/epostcard/990/xml/2026/202630269349301213_public.xml</x:t>
        </x:is>
      </x:c>
      <x:c r="E114" s="16" t="inlineStr">
        <x:is>
          <x:t xml:space="preserve">https://projects.propublica.org/nonprofits/organizations/272614911</x:t>
        </x:is>
      </x:c>
      <x:c r="F114" s="12" t="inlineStr">
        <x:is>
          <x:t xml:space="preserve">2026-08-25</x:t>
        </x:is>
      </x:c>
      <x:c r="G114" s="16" t="inlineStr">
        <x:is>
          <x:t xml:space="preserve">sources/raw/src-990-ext-institute-for-nonprofit-news.txt</x:t>
        </x:is>
      </x:c>
      <x:c r="H114" s="12" t="inlineStr">
        <x:is>
          <x:t xml:space="preserve">text/plain; charset=utf-8</x:t>
        </x:is>
      </x:c>
      <x:c r="I114" s="12" t="n">
        <x:v>1915</x:v>
      </x:c>
      <x:c r="J114" s="13" t="inlineStr">
        <x:is>
          <x:t xml:space="preserve">991af933509f49437e6761106bfd1778b5c1bb1e7b013bd37bf6d04ca5492e4e</x:t>
        </x:is>
      </x:c>
      <x:c r="K114" s="12" t="inlineStr">
        <x:is>
          <x:t xml:space="preserve">2024-01-01 to 2024-12-31</x:t>
        </x:is>
      </x:c>
      <x:c r="L114" s="12" t="inlineStr">
        <x:is>
          <x:t xml:space="preserve">27-2614911</x:t>
        </x:is>
      </x:c>
      <x:c r="M114" s="12" t="inlineStr">
        <x:is>
          <x:t xml:space="preserve">202630269349301213</x:t>
        </x:is>
      </x:c>
      <x:c r="N114" s="12" t="inlineStr">
        <x:is>
          <x:t xml:space="preserve">official filing-derived derivative</x:t>
        </x:is>
      </x:c>
      <x:c r="O114" s="13" t="inlineStr">
        <x:is>
          <x:t xml:space="preserve">Official IRS filing identifier; ProPublica used for navigation/corroboration</x:t>
        </x:is>
      </x:c>
      <x:c r="P114" s="13" t="inlineStr">
        <x:is>
          <x:t xml:space="preserve">ProPublica filing-derived table; official IRS object ID identified from XML link; browser source turn807748view1.</x:t>
        </x:is>
      </x:c>
      <x:c r="Q114" s="13" t="inlineStr">
        <x:is>
          <x:t xml:space="preserve">Cash proxy arithmetic and total-proxy arithmetic validated; source-native IRS XML could not be archived in this environment.</x:t>
        </x:is>
      </x:c>
    </x:row>
    <x:row r="115">
      <x:c r="A115" s="12" t="inlineStr">
        <x:is>
          <x:t xml:space="preserve">SRC-990-EXT-INSTITUTE-FOR-POLICY-STUDIES</x:t>
        </x:is>
      </x:c>
      <x:c r="B115" s="12" t="inlineStr">
        <x:is>
          <x:t xml:space="preserve">Institute for Policy Studies</x:t>
        </x:is>
      </x:c>
      <x:c r="C115" s="12" t="inlineStr">
        <x:is>
          <x:t xml:space="preserve">Form 990 filing-derived snapshot</x:t>
        </x:is>
      </x:c>
      <x:c r="D115" s="16" t="inlineStr">
        <x:is>
          <x:t xml:space="preserve">https://apps.irs.gov/pub/epostcard/990/xml/2025/202513219349302816_public.xml</x:t>
        </x:is>
      </x:c>
      <x:c r="E115" s="16" t="inlineStr">
        <x:is>
          <x:t xml:space="preserve">https://projects.propublica.org/nonprofits/organizations/520788947</x:t>
        </x:is>
      </x:c>
      <x:c r="F115" s="12" t="inlineStr">
        <x:is>
          <x:t xml:space="preserve">2026-08-25</x:t>
        </x:is>
      </x:c>
      <x:c r="G115" s="16" t="inlineStr">
        <x:is>
          <x:t xml:space="preserve">sources/raw/src-990-ext-institute-for-policy-studies.txt</x:t>
        </x:is>
      </x:c>
      <x:c r="H115" s="12" t="inlineStr">
        <x:is>
          <x:t xml:space="preserve">text/plain; charset=utf-8</x:t>
        </x:is>
      </x:c>
      <x:c r="I115" s="12" t="n">
        <x:v>1807</x:v>
      </x:c>
      <x:c r="J115" s="13" t="inlineStr">
        <x:is>
          <x:t xml:space="preserve">aff24eddc69c9dd12038d243def128ace95a80b300053a0dc82a8b0d735e0868</x:t>
        </x:is>
      </x:c>
      <x:c r="K115" s="12" t="inlineStr">
        <x:is>
          <x:t xml:space="preserve">2024-01-01 to 2024-12-31</x:t>
        </x:is>
      </x:c>
      <x:c r="L115" s="12" t="inlineStr">
        <x:is>
          <x:t xml:space="preserve">52-0788947</x:t>
        </x:is>
      </x:c>
      <x:c r="M115" s="12" t="inlineStr">
        <x:is>
          <x:t xml:space="preserve">202513219349302816</x:t>
        </x:is>
      </x:c>
      <x:c r="N115" s="12" t="inlineStr">
        <x:is>
          <x:t xml:space="preserve">official filing-derived derivative</x:t>
        </x:is>
      </x:c>
      <x:c r="O115" s="13" t="inlineStr">
        <x:is>
          <x:t xml:space="preserve">Official IRS filing identifier; ProPublica used for navigation/corroboration</x:t>
        </x:is>
      </x:c>
      <x:c r="P115" s="13" t="inlineStr">
        <x:is>
          <x:t xml:space="preserve">ProPublica filing-derived table lines 21-89; IRS object ID from XML link</x:t>
        </x:is>
      </x:c>
      <x:c r="Q115" s="13" t="inlineStr">
        <x:is>
          <x:t xml:space="preserve">Cash proxy arithmetic and total-proxy arithmetic validated; source-native IRS XML could not be archived in this environment.</x:t>
        </x:is>
      </x:c>
    </x:row>
    <x:row r="116">
      <x:c r="A116" s="12" t="inlineStr">
        <x:is>
          <x:t xml:space="preserve">SRC-990-IFP-2024</x:t>
        </x:is>
      </x:c>
      <x:c r="B116" s="12" t="inlineStr">
        <x:is>
          <x:t xml:space="preserve">Institute for Progress</x:t>
        </x:is>
      </x:c>
      <x:c r="C116" s="12" t="inlineStr">
        <x:is>
          <x:t xml:space="preserve">Form 990 filing-derived snapshot</x:t>
        </x:is>
      </x:c>
      <x:c r="D116" s="16" t="inlineStr">
        <x:is>
          <x:t xml:space="preserve">https://projects.propublica.org/nonprofits/organizations/872449729</x:t>
        </x:is>
      </x:c>
      <x:c r="E116" s="16" t="inlineStr">
        <x:is>
          <x:t xml:space="preserve">https://projects.propublica.org/nonprofits/organizations/872449729</x:t>
        </x:is>
      </x:c>
      <x:c r="F116" s="12" t="inlineStr">
        <x:is>
          <x:t xml:space="preserve">2026-08-17T18:45:00-07:00</x:t>
        </x:is>
      </x:c>
      <x:c r="G116" s="17" t="inlineStr">
        <x:is>
          <x:t xml:space="preserve">sources/raw/src-990-ifp-2024.txt</x:t>
        </x:is>
      </x:c>
      <x:c r="H116" s="12" t="inlineStr">
        <x:is>
          <x:t xml:space="preserve">text/plain; charset=utf-8</x:t>
        </x:is>
      </x:c>
      <x:c r="I116" s="12" t="n">
        <x:v>1751</x:v>
      </x:c>
      <x:c r="J116" s="13" t="inlineStr">
        <x:is>
          <x:t xml:space="preserve">905ebc5d98021e4636481739edf3f3bf71647849a880e235d36350d9b9b4c305</x:t>
        </x:is>
      </x:c>
      <x:c r="K116" s="12" t="inlineStr">
        <x:is>
          <x:t xml:space="preserve">2024-01-01 to 2024-12-31</x:t>
        </x:is>
      </x:c>
      <x:c r="L116" s="12" t="inlineStr">
        <x:is>
          <x:t xml:space="preserve">87-2449729</x:t>
        </x:is>
      </x:c>
      <x:c r="M116" s="12" t="inlineStr">
        <x:is>
          <x:t xml:space="preserve">not captured</x:t>
        </x:is>
      </x:c>
      <x:c r="N116" s="12" t="inlineStr">
        <x:is>
          <x:t xml:space="preserve">derivative</x:t>
        </x:is>
      </x:c>
      <x:c r="O116" s="13" t="inlineStr">
        <x:is>
          <x:t xml:space="preserve">official filing via IRS; browser rendering via ProPublica where available</x:t>
        </x:is>
      </x:c>
      <x:c r="P116" s="12" t="inlineStr">
        <x:is>
          <x:t xml:space="preserve">turn498315search1</x:t>
        </x:is>
      </x:c>
      <x:c r="Q11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17">
      <x:c r="A117" s="13" t="inlineStr">
        <x:is>
          <x:t xml:space="preserve">SRC-990-EXT-INSTITUTE-FOR-SECURITY-AND-TECHNOLOGY</x:t>
        </x:is>
      </x:c>
      <x:c r="B117" s="12" t="inlineStr">
        <x:is>
          <x:t xml:space="preserve">Institute for Security and Technology</x:t>
        </x:is>
      </x:c>
      <x:c r="C117" s="12" t="inlineStr">
        <x:is>
          <x:t xml:space="preserve">Form 990 filing-derived snapshot</x:t>
        </x:is>
      </x:c>
      <x:c r="D117" s="16" t="inlineStr">
        <x:is>
          <x:t xml:space="preserve">https://apps.irs.gov/pub/epostcard/990/xml/2025/202523219349310552_public.xml</x:t>
        </x:is>
      </x:c>
      <x:c r="E117" s="16" t="inlineStr">
        <x:is>
          <x:t xml:space="preserve">https://projects.propublica.org/nonprofits/organizations/475677755</x:t>
        </x:is>
      </x:c>
      <x:c r="F117" s="12" t="inlineStr">
        <x:is>
          <x:t xml:space="preserve">2026-08-25</x:t>
        </x:is>
      </x:c>
      <x:c r="G117" s="16" t="inlineStr">
        <x:is>
          <x:t xml:space="preserve">sources/raw/src-990-ext-institute-for-security-and-technology.txt</x:t>
        </x:is>
      </x:c>
      <x:c r="H117" s="12" t="inlineStr">
        <x:is>
          <x:t xml:space="preserve">text/plain; charset=utf-8</x:t>
        </x:is>
      </x:c>
      <x:c r="I117" s="12" t="n">
        <x:v>1874</x:v>
      </x:c>
      <x:c r="J117" s="13" t="inlineStr">
        <x:is>
          <x:t xml:space="preserve">77f5cd36dd176ec6f519e34e1bfc10ebb5c2f6ca1d3f43f8d36ca35e7c8e8f73</x:t>
        </x:is>
      </x:c>
      <x:c r="K117" s="12" t="inlineStr">
        <x:is>
          <x:t xml:space="preserve">2024-01-01 to 2024-12-31</x:t>
        </x:is>
      </x:c>
      <x:c r="L117" s="12" t="inlineStr">
        <x:is>
          <x:t xml:space="preserve">47-5677755</x:t>
        </x:is>
      </x:c>
      <x:c r="M117" s="12" t="inlineStr">
        <x:is>
          <x:t xml:space="preserve">202523219349310552</x:t>
        </x:is>
      </x:c>
      <x:c r="N117" s="12" t="inlineStr">
        <x:is>
          <x:t xml:space="preserve">official filing-derived derivative</x:t>
        </x:is>
      </x:c>
      <x:c r="O117" s="13" t="inlineStr">
        <x:is>
          <x:t xml:space="preserve">Official IRS filing identifier; ProPublica used for navigation/corroboration</x:t>
        </x:is>
      </x:c>
      <x:c r="P117" s="13" t="inlineStr">
        <x:is>
          <x:t xml:space="preserve">ProPublica filing-derived table lines 21-90; IRS object ID from XML link</x:t>
        </x:is>
      </x:c>
      <x:c r="Q117" s="13" t="inlineStr">
        <x:is>
          <x:t xml:space="preserve">Cash proxy arithmetic and total-proxy arithmetic validated; source-native IRS XML could not be archived in this environment.</x:t>
        </x:is>
      </x:c>
    </x:row>
    <x:row r="118">
      <x:c r="A118" s="13" t="inlineStr">
        <x:is>
          <x:t xml:space="preserve">SRC-990-EXT-INSTITUTE-FOR-WOMEN-S-POLICY-RESEARCH</x:t>
        </x:is>
      </x:c>
      <x:c r="B118" s="12" t="inlineStr">
        <x:is>
          <x:t xml:space="preserve">Institute for Women’s Policy Research</x:t>
        </x:is>
      </x:c>
      <x:c r="C118" s="12" t="inlineStr">
        <x:is>
          <x:t xml:space="preserve">Form 990 filing-derived snapshot</x:t>
        </x:is>
      </x:c>
      <x:c r="D118" s="16" t="inlineStr">
        <x:is>
          <x:t xml:space="preserve">https://apps.irs.gov/pub/epostcard/990/xml/2026/202621349349301217_public.xml</x:t>
        </x:is>
      </x:c>
      <x:c r="E118" s="16" t="inlineStr">
        <x:is>
          <x:t xml:space="preserve">https://projects.propublica.org/nonprofits/organizations/521549572</x:t>
        </x:is>
      </x:c>
      <x:c r="F118" s="12" t="inlineStr">
        <x:is>
          <x:t xml:space="preserve">2026-08-25</x:t>
        </x:is>
      </x:c>
      <x:c r="G118" s="16" t="inlineStr">
        <x:is>
          <x:t xml:space="preserve">sources/raw/src-990-ext-institute-for-women-s-policy-research.txt</x:t>
        </x:is>
      </x:c>
      <x:c r="H118" s="12" t="inlineStr">
        <x:is>
          <x:t xml:space="preserve">text/plain; charset=utf-8</x:t>
        </x:is>
      </x:c>
      <x:c r="I118" s="12" t="n">
        <x:v>1899</x:v>
      </x:c>
      <x:c r="J118" s="13" t="inlineStr">
        <x:is>
          <x:t xml:space="preserve">306ce268c832112c1c57fae01c60388f8307c67fd2c03e4b1b18750fc3730c48</x:t>
        </x:is>
      </x:c>
      <x:c r="K118" s="12" t="inlineStr">
        <x:is>
          <x:t xml:space="preserve">2024-07-01 to 2025-06-30</x:t>
        </x:is>
      </x:c>
      <x:c r="L118" s="12" t="inlineStr">
        <x:is>
          <x:t xml:space="preserve">52-1549572</x:t>
        </x:is>
      </x:c>
      <x:c r="M118" s="12" t="inlineStr">
        <x:is>
          <x:t xml:space="preserve">202621349349301217</x:t>
        </x:is>
      </x:c>
      <x:c r="N118" s="12" t="inlineStr">
        <x:is>
          <x:t xml:space="preserve">official filing-derived derivative</x:t>
        </x:is>
      </x:c>
      <x:c r="O118" s="13" t="inlineStr">
        <x:is>
          <x:t xml:space="preserve">Official IRS filing identifier; ProPublica used for navigation/corroboration</x:t>
        </x:is>
      </x:c>
      <x:c r="P118" s="13" t="inlineStr">
        <x:is>
          <x:t xml:space="preserve">ProPublica latest FY2025 filing table plus employer announcement</x:t>
        </x:is>
      </x:c>
      <x:c r="Q118" s="13" t="inlineStr">
        <x:is>
          <x:t xml:space="preserve">Cash proxy arithmetic and total-proxy arithmetic validated; source-native IRS XML could not be archived in this environment.</x:t>
        </x:is>
      </x:c>
    </x:row>
    <x:row r="119">
      <x:c r="A119" s="12" t="inlineStr">
        <x:is>
          <x:t xml:space="preserve">SRC-990-EXT-INSTITUTE-FOR-THE-STUDY-OF-WAR</x:t>
        </x:is>
      </x:c>
      <x:c r="B119" s="12" t="inlineStr">
        <x:is>
          <x:t xml:space="preserve">Institute for the Study of War</x:t>
        </x:is>
      </x:c>
      <x:c r="C119" s="12" t="inlineStr">
        <x:is>
          <x:t xml:space="preserve">Form 990 filing-derived snapshot</x:t>
        </x:is>
      </x:c>
      <x:c r="D119" s="16" t="inlineStr">
        <x:is>
          <x:t xml:space="preserve">https://apps.irs.gov/pub/epostcard/990/xml/2025/202502909349301720_public.xml</x:t>
        </x:is>
      </x:c>
      <x:c r="E119" s="16" t="inlineStr">
        <x:is>
          <x:t xml:space="preserve">https://projects.propublica.org/nonprofits/organizations/260273675</x:t>
        </x:is>
      </x:c>
      <x:c r="F119" s="12" t="inlineStr">
        <x:is>
          <x:t xml:space="preserve">2026-08-25</x:t>
        </x:is>
      </x:c>
      <x:c r="G119" s="16" t="inlineStr">
        <x:is>
          <x:t xml:space="preserve">sources/raw/src-990-ext-institute-for-the-study-of-war.txt</x:t>
        </x:is>
      </x:c>
      <x:c r="H119" s="12" t="inlineStr">
        <x:is>
          <x:t xml:space="preserve">text/plain; charset=utf-8</x:t>
        </x:is>
      </x:c>
      <x:c r="I119" s="12" t="n">
        <x:v>1877</x:v>
      </x:c>
      <x:c r="J119" s="13" t="inlineStr">
        <x:is>
          <x:t xml:space="preserve">f0e87bf0b7d8573ab428a6610d963d0d5d9d75ca4c73e17c47e41e5a121be892</x:t>
        </x:is>
      </x:c>
      <x:c r="K119" s="12" t="inlineStr">
        <x:is>
          <x:t xml:space="preserve">2024-01-01 to 2024-12-31</x:t>
        </x:is>
      </x:c>
      <x:c r="L119" s="12" t="inlineStr">
        <x:is>
          <x:t xml:space="preserve">26-0273675</x:t>
        </x:is>
      </x:c>
      <x:c r="M119" s="12" t="inlineStr">
        <x:is>
          <x:t xml:space="preserve">202502909349301720</x:t>
        </x:is>
      </x:c>
      <x:c r="N119" s="12" t="inlineStr">
        <x:is>
          <x:t xml:space="preserve">official filing-derived derivative</x:t>
        </x:is>
      </x:c>
      <x:c r="O119" s="13" t="inlineStr">
        <x:is>
          <x:t xml:space="preserve">Official IRS filing identifier; ProPublica used for navigation/corroboration</x:t>
        </x:is>
      </x:c>
      <x:c r="P119" s="13" t="inlineStr">
        <x:is>
          <x:t xml:space="preserve">ProPublica filing-derived table; official IRS object ID identified from XML link; browser source turn884541view0.</x:t>
        </x:is>
      </x:c>
      <x:c r="Q119" s="13" t="inlineStr">
        <x:is>
          <x:t xml:space="preserve">Cash proxy arithmetic and total-proxy arithmetic validated; source-native IRS XML could not be archived in this environment.</x:t>
        </x:is>
      </x:c>
    </x:row>
    <x:row r="120">
      <x:c r="A120" s="13" t="inlineStr">
        <x:is>
          <x:t xml:space="preserve">SRC-990-EXT-INSTITUTE-ON-TAXATION-AND-ECONOMIC-POLICY</x:t>
        </x:is>
      </x:c>
      <x:c r="B120" s="12" t="inlineStr">
        <x:is>
          <x:t xml:space="preserve">Institute on Taxation and Economic Policy</x:t>
        </x:is>
      </x:c>
      <x:c r="C120" s="12" t="inlineStr">
        <x:is>
          <x:t xml:space="preserve">Form 990 filing-derived snapshot</x:t>
        </x:is>
      </x:c>
      <x:c r="D120" s="16" t="inlineStr">
        <x:is>
          <x:t xml:space="preserve">https://apps.irs.gov/pub/epostcard/990/xml/2026/202611559349300546_public.xml</x:t>
        </x:is>
      </x:c>
      <x:c r="E120" s="16" t="inlineStr">
        <x:is>
          <x:t xml:space="preserve">https://projects.propublica.org/nonprofits/organizations/042688165</x:t>
        </x:is>
      </x:c>
      <x:c r="F120" s="12" t="inlineStr">
        <x:is>
          <x:t xml:space="preserve">2026-08-25</x:t>
        </x:is>
      </x:c>
      <x:c r="G120" s="16" t="inlineStr">
        <x:is>
          <x:t xml:space="preserve">sources/raw/src-990-ext-institute-on-taxation-and-economic-policy.txt</x:t>
        </x:is>
      </x:c>
      <x:c r="H120" s="12" t="inlineStr">
        <x:is>
          <x:t xml:space="preserve">text/plain; charset=utf-8</x:t>
        </x:is>
      </x:c>
      <x:c r="I120" s="12" t="n">
        <x:v>1894</x:v>
      </x:c>
      <x:c r="J120" s="13" t="inlineStr">
        <x:is>
          <x:t xml:space="preserve">d1aeaa8eecde655f0a789c0f9d2a87f487dbc7be575b0735224185a3e77140f6</x:t>
        </x:is>
      </x:c>
      <x:c r="K120" s="12" t="inlineStr">
        <x:is>
          <x:t xml:space="preserve">2025-01-01 to 2025-12-31</x:t>
        </x:is>
      </x:c>
      <x:c r="L120" s="12" t="inlineStr">
        <x:is>
          <x:t xml:space="preserve">04-2688165</x:t>
        </x:is>
      </x:c>
      <x:c r="M120" s="12" t="inlineStr">
        <x:is>
          <x:t xml:space="preserve">202611559349300546</x:t>
        </x:is>
      </x:c>
      <x:c r="N120" s="12" t="inlineStr">
        <x:is>
          <x:t xml:space="preserve">official filing-derived derivative</x:t>
        </x:is>
      </x:c>
      <x:c r="O120" s="13" t="inlineStr">
        <x:is>
          <x:t xml:space="preserve">Official IRS filing identifier; ProPublica used for navigation/corroboration</x:t>
        </x:is>
      </x:c>
      <x:c r="P120" s="13" t="inlineStr">
        <x:is>
          <x:t xml:space="preserve">ProPublica filing-derived table lines 21-89; IRS object ID from XML link</x:t>
        </x:is>
      </x:c>
      <x:c r="Q120" s="13" t="inlineStr">
        <x:is>
          <x:t xml:space="preserve">Cash proxy arithmetic and total-proxy arithmetic validated; source-native IRS XML could not be archived in this environment.</x:t>
        </x:is>
      </x:c>
    </x:row>
    <x:row r="121">
      <x:c r="A121" s="12" t="inlineStr">
        <x:is>
          <x:t xml:space="preserve">SRC-990-EXT-INTERNET-SECURITY-RESEARCH-GROUP</x:t>
        </x:is>
      </x:c>
      <x:c r="B121" s="12" t="inlineStr">
        <x:is>
          <x:t xml:space="preserve">Internet Security Research Group</x:t>
        </x:is>
      </x:c>
      <x:c r="C121" s="12" t="inlineStr">
        <x:is>
          <x:t xml:space="preserve">Form 990 filing-derived snapshot</x:t>
        </x:is>
      </x:c>
      <x:c r="D121" s="16" t="inlineStr">
        <x:is>
          <x:t xml:space="preserve">https://apps.irs.gov/pub/epostcard/990/xml/2025/202501889349300640_public.xml</x:t>
        </x:is>
      </x:c>
      <x:c r="E121" s="16" t="inlineStr">
        <x:is>
          <x:t xml:space="preserve">https://projects.propublica.org/nonprofits/organizations/463344200</x:t>
        </x:is>
      </x:c>
      <x:c r="F121" s="12" t="inlineStr">
        <x:is>
          <x:t xml:space="preserve">2026-08-25</x:t>
        </x:is>
      </x:c>
      <x:c r="G121" s="16" t="inlineStr">
        <x:is>
          <x:t xml:space="preserve">sources/raw/src-990-ext-internet-security-research-group.txt</x:t>
        </x:is>
      </x:c>
      <x:c r="H121" s="12" t="inlineStr">
        <x:is>
          <x:t xml:space="preserve">text/plain; charset=utf-8</x:t>
        </x:is>
      </x:c>
      <x:c r="I121" s="12" t="n">
        <x:v>1909</x:v>
      </x:c>
      <x:c r="J121" s="13" t="inlineStr">
        <x:is>
          <x:t xml:space="preserve">1dd6926e57291c6494289c9de47fec04735d55b6ee0aa867983f68caeb36ef24</x:t>
        </x:is>
      </x:c>
      <x:c r="K121" s="12" t="inlineStr">
        <x:is>
          <x:t xml:space="preserve">2024-01-01 to 2024-12-31</x:t>
        </x:is>
      </x:c>
      <x:c r="L121" s="12" t="inlineStr">
        <x:is>
          <x:t xml:space="preserve">46-3344200</x:t>
        </x:is>
      </x:c>
      <x:c r="M121" s="12" t="inlineStr">
        <x:is>
          <x:t xml:space="preserve">202501889349300640</x:t>
        </x:is>
      </x:c>
      <x:c r="N121" s="12" t="inlineStr">
        <x:is>
          <x:t xml:space="preserve">official filing-derived derivative</x:t>
        </x:is>
      </x:c>
      <x:c r="O121" s="13" t="inlineStr">
        <x:is>
          <x:t xml:space="preserve">Official IRS filing identifier; ProPublica used for navigation/corroboration</x:t>
        </x:is>
      </x:c>
      <x:c r="P121" s="13" t="inlineStr">
        <x:is>
          <x:t xml:space="preserve">ProPublica filing-derived table; official IRS object ID identified from XML link; browser source turn791228view0.</x:t>
        </x:is>
      </x:c>
      <x:c r="Q121" s="13" t="inlineStr">
        <x:is>
          <x:t xml:space="preserve">Cash proxy arithmetic and total-proxy arithmetic validated; source-native IRS XML could not be archived in this environment.</x:t>
        </x:is>
      </x:c>
    </x:row>
    <x:row r="122">
      <x:c r="A122" s="12" t="inlineStr">
        <x:is>
          <x:t xml:space="preserve">SRC-990-EXT-JAIN-FAMILY-INSTITUTE</x:t>
        </x:is>
      </x:c>
      <x:c r="B122" s="12" t="inlineStr">
        <x:is>
          <x:t xml:space="preserve">Jain Family Institute</x:t>
        </x:is>
      </x:c>
      <x:c r="C122" s="12" t="inlineStr">
        <x:is>
          <x:t xml:space="preserve">Form 990 filing-derived snapshot</x:t>
        </x:is>
      </x:c>
      <x:c r="D122" s="16" t="inlineStr">
        <x:is>
          <x:t xml:space="preserve">https://apps.irs.gov/pub/epostcard/990/xml/2025/202523219349327407_public.xml</x:t>
        </x:is>
      </x:c>
      <x:c r="E122" s="16" t="inlineStr">
        <x:is>
          <x:t xml:space="preserve">https://projects.propublica.org/nonprofits/organizations/474407203</x:t>
        </x:is>
      </x:c>
      <x:c r="F122" s="12" t="inlineStr">
        <x:is>
          <x:t xml:space="preserve">2026-08-25</x:t>
        </x:is>
      </x:c>
      <x:c r="G122" s="16" t="inlineStr">
        <x:is>
          <x:t xml:space="preserve">sources/raw/src-990-ext-jain-family-institute.txt</x:t>
        </x:is>
      </x:c>
      <x:c r="H122" s="12" t="inlineStr">
        <x:is>
          <x:t xml:space="preserve">text/plain; charset=utf-8</x:t>
        </x:is>
      </x:c>
      <x:c r="I122" s="12" t="n">
        <x:v>1848</x:v>
      </x:c>
      <x:c r="J122" s="13" t="inlineStr">
        <x:is>
          <x:t xml:space="preserve">4790bd8ff41850d2f00d77363dd971bbb3ac5112c223fb2937a0bf6b1bcbc852</x:t>
        </x:is>
      </x:c>
      <x:c r="K122" s="12" t="inlineStr">
        <x:is>
          <x:t xml:space="preserve">2024-01-01 to 2024-12-31</x:t>
        </x:is>
      </x:c>
      <x:c r="L122" s="12" t="inlineStr">
        <x:is>
          <x:t xml:space="preserve">47-4407203</x:t>
        </x:is>
      </x:c>
      <x:c r="M122" s="12" t="inlineStr">
        <x:is>
          <x:t xml:space="preserve">202523219349327407</x:t>
        </x:is>
      </x:c>
      <x:c r="N122" s="12" t="inlineStr">
        <x:is>
          <x:t xml:space="preserve">official filing-derived derivative</x:t>
        </x:is>
      </x:c>
      <x:c r="O122" s="13" t="inlineStr">
        <x:is>
          <x:t xml:space="preserve">Official IRS filing identifier; ProPublica used for navigation/corroboration</x:t>
        </x:is>
      </x:c>
      <x:c r="P122" s="13" t="inlineStr">
        <x:is>
          <x:t xml:space="preserve">ProPublica filing-derived table and XML link; browser source turn518192view1 lines 21-89.</x:t>
        </x:is>
      </x:c>
      <x:c r="Q122" s="13" t="inlineStr">
        <x:is>
          <x:t xml:space="preserve">Cash proxy arithmetic and total-proxy arithmetic validated; source-native IRS XML could not be archived in this environment.</x:t>
        </x:is>
      </x:c>
    </x:row>
    <x:row r="123">
      <x:c r="A123" s="12" t="inlineStr">
        <x:is>
          <x:t xml:space="preserve">SRC-990-EXT-LAST-MILE-HEALTH</x:t>
        </x:is>
      </x:c>
      <x:c r="B123" s="12" t="inlineStr">
        <x:is>
          <x:t xml:space="preserve">Last Mile Health</x:t>
        </x:is>
      </x:c>
      <x:c r="C123" s="12" t="inlineStr">
        <x:is>
          <x:t xml:space="preserve">Form 990 filing-derived snapshot</x:t>
        </x:is>
      </x:c>
      <x:c r="D123" s="16" t="inlineStr">
        <x:is>
          <x:t xml:space="preserve">https://apps.irs.gov/pub/epostcard/990/xml/2026/202631359349305343_public.xml</x:t>
        </x:is>
      </x:c>
      <x:c r="E123" s="16" t="inlineStr">
        <x:is>
          <x:t xml:space="preserve">https://projects.propublica.org/nonprofits/organizations/261401736</x:t>
        </x:is>
      </x:c>
      <x:c r="F123" s="12" t="inlineStr">
        <x:is>
          <x:t xml:space="preserve">2026-08-25</x:t>
        </x:is>
      </x:c>
      <x:c r="G123" s="17" t="inlineStr">
        <x:is>
          <x:t xml:space="preserve">sources/raw/src-990-ext-last-mile-health.txt</x:t>
        </x:is>
      </x:c>
      <x:c r="H123" s="12" t="inlineStr">
        <x:is>
          <x:t xml:space="preserve">text/plain; charset=utf-8</x:t>
        </x:is>
      </x:c>
      <x:c r="I123" s="12" t="n">
        <x:v>1875</x:v>
      </x:c>
      <x:c r="J123" s="13" t="inlineStr">
        <x:is>
          <x:t xml:space="preserve">2e50de79afa29579d991b0b6f4e928560b7683b30582e8be8b6cc0068976bb0b</x:t>
        </x:is>
      </x:c>
      <x:c r="K123" s="12" t="inlineStr">
        <x:is>
          <x:t xml:space="preserve">2024-07-01 to 2025-06-30</x:t>
        </x:is>
      </x:c>
      <x:c r="L123" s="12" t="inlineStr">
        <x:is>
          <x:t xml:space="preserve">26-1401736</x:t>
        </x:is>
      </x:c>
      <x:c r="M123" s="12" t="inlineStr">
        <x:is>
          <x:t xml:space="preserve">202631359349305343</x:t>
        </x:is>
      </x:c>
      <x:c r="N123" s="12" t="inlineStr">
        <x:is>
          <x:t xml:space="preserve">official filing-derived derivative</x:t>
        </x:is>
      </x:c>
      <x:c r="O123" s="13" t="inlineStr">
        <x:is>
          <x:t xml:space="preserve">Official IRS filing identifier; ProPublica used for navigation/corroboration</x:t>
        </x:is>
      </x:c>
      <x:c r="P123" s="13" t="inlineStr">
        <x:is>
          <x:t xml:space="preserve">ProPublica filing-derived table; official IRS object ID identified from XML link</x:t>
        </x:is>
      </x:c>
      <x:c r="Q123" s="13" t="inlineStr">
        <x:is>
          <x:t xml:space="preserve">Cash proxy arithmetic and total-proxy arithmetic validated; source-native IRS XML could not be archived in this environment.</x:t>
        </x:is>
      </x:c>
    </x:row>
    <x:row r="124">
      <x:c r="A124" s="12" t="inlineStr">
        <x:is>
          <x:t xml:space="preserve">SRC-990-EXT3-LAWFARE-INSTITUTE</x:t>
        </x:is>
      </x:c>
      <x:c r="B124" s="12" t="inlineStr">
        <x:is>
          <x:t xml:space="preserve">Lawfare Institute</x:t>
        </x:is>
      </x:c>
      <x:c r="C124" s="12" t="inlineStr">
        <x:is>
          <x:t xml:space="preserve">Form 990 filing-derived snapshot</x:t>
        </x:is>
      </x:c>
      <x:c r="D124" s="16" t="inlineStr">
        <x:is>
          <x:t xml:space="preserve">https://apps.irs.gov/pub/epostcard/990/xml/2025/202523219349307027_public.xml</x:t>
        </x:is>
      </x:c>
      <x:c r="E124" s="16" t="inlineStr">
        <x:is>
          <x:t xml:space="preserve">https://projects.propublica.org/nonprofits/organizations/462967640</x:t>
        </x:is>
      </x:c>
      <x:c r="F124" s="12" t="inlineStr">
        <x:is>
          <x:t xml:space="preserve">2026-08-25T17:45:00-0700</x:t>
        </x:is>
      </x:c>
      <x:c r="G124" s="16" t="inlineStr">
        <x:is>
          <x:t xml:space="preserve">sources/raw/src-990-ext3-lawfare-institute.txt</x:t>
        </x:is>
      </x:c>
      <x:c r="H124" s="12" t="inlineStr">
        <x:is>
          <x:t xml:space="preserve">text/plain; charset=utf-8</x:t>
        </x:is>
      </x:c>
      <x:c r="I124" s="12" t="n">
        <x:v>2044</x:v>
      </x:c>
      <x:c r="J124" s="13" t="inlineStr">
        <x:is>
          <x:t xml:space="preserve">dfa2f7ed18569c7b6c8223937770c34b4719886e329d210701f9ea2133fb71a4</x:t>
        </x:is>
      </x:c>
      <x:c r="K124" s="12" t="inlineStr">
        <x:is>
          <x:t xml:space="preserve">2024-01-01 to 2024-12-31</x:t>
        </x:is>
      </x:c>
      <x:c r="L124" s="12" t="inlineStr">
        <x:is>
          <x:t xml:space="preserve">46-2967640</x:t>
        </x:is>
      </x:c>
      <x:c r="M124" s="12" t="inlineStr">
        <x:is>
          <x:t xml:space="preserve">202523219349307027</x:t>
        </x:is>
      </x:c>
      <x:c r="N124" s="12" t="inlineStr">
        <x:is>
          <x:t xml:space="preserve">official filing-derived derivative</x:t>
        </x:is>
      </x:c>
      <x:c r="O124" s="13" t="inlineStr">
        <x:is>
          <x:t xml:space="preserve">Official IRS filing identifier; ProPublica used for navigation/corroboration</x:t>
        </x:is>
      </x:c>
      <x:c r="P124" s="13" t="inlineStr">
        <x:is>
          <x:t xml:space="preserve">ProPublica Nonprofit Explorer rendered Form 990 financial and compensation tables; official IRS object ID captured from filing XML link. ProPublica page turn763366view0; latest filing reviewed.</x:t>
        </x:is>
      </x:c>
      <x:c r="Q124" s="13" t="inlineStr">
        <x:is>
          <x:t xml:space="preserve">Cash proxy arithmetic and total-proxy arithmetic validated; source-native IRS XML could not be archived in this environment.</x:t>
        </x:is>
      </x:c>
    </x:row>
    <x:row r="125">
      <x:c r="A125" s="12" t="inlineStr">
        <x:is>
          <x:t xml:space="preserve">SRC-990-EXT3-LEARNING-POLICY-INSTITUTE</x:t>
        </x:is>
      </x:c>
      <x:c r="B125" s="12" t="inlineStr">
        <x:is>
          <x:t xml:space="preserve">Learning Policy Institute</x:t>
        </x:is>
      </x:c>
      <x:c r="C125" s="12" t="inlineStr">
        <x:is>
          <x:t xml:space="preserve">Form 990 filing-derived snapshot</x:t>
        </x:is>
      </x:c>
      <x:c r="D125" s="16" t="inlineStr">
        <x:is>
          <x:t xml:space="preserve">https://apps.irs.gov/pub/epostcard/990/xml/2025/202503179349312065_public.xml</x:t>
        </x:is>
      </x:c>
      <x:c r="E125" s="16" t="inlineStr">
        <x:is>
          <x:t xml:space="preserve">https://projects.propublica.org/nonprofits/organizations/472772048</x:t>
        </x:is>
      </x:c>
      <x:c r="F125" s="12" t="inlineStr">
        <x:is>
          <x:t xml:space="preserve">2026-08-25T17:45:00-0700</x:t>
        </x:is>
      </x:c>
      <x:c r="G125" s="16" t="inlineStr">
        <x:is>
          <x:t xml:space="preserve">sources/raw/src-990-ext3-learning-policy-institute.txt</x:t>
        </x:is>
      </x:c>
      <x:c r="H125" s="12" t="inlineStr">
        <x:is>
          <x:t xml:space="preserve">text/plain; charset=utf-8</x:t>
        </x:is>
      </x:c>
      <x:c r="I125" s="12" t="n">
        <x:v>2148</x:v>
      </x:c>
      <x:c r="J125" s="13" t="inlineStr">
        <x:is>
          <x:t xml:space="preserve">e3fcac3b6ebbbb10b572a9999626cd15176ba18185866c930df15999b37bb118</x:t>
        </x:is>
      </x:c>
      <x:c r="K125" s="12" t="inlineStr">
        <x:is>
          <x:t xml:space="preserve">2024-01-01 to 2024-12-31</x:t>
        </x:is>
      </x:c>
      <x:c r="L125" s="12" t="inlineStr">
        <x:is>
          <x:t xml:space="preserve">47-2772048</x:t>
        </x:is>
      </x:c>
      <x:c r="M125" s="12" t="inlineStr">
        <x:is>
          <x:t xml:space="preserve">202503179349312065</x:t>
        </x:is>
      </x:c>
      <x:c r="N125" s="12" t="inlineStr">
        <x:is>
          <x:t xml:space="preserve">official filing-derived derivative</x:t>
        </x:is>
      </x:c>
      <x:c r="O125" s="13" t="inlineStr">
        <x:is>
          <x:t xml:space="preserve">Official IRS filing identifier; ProPublica used for navigation/corroboration</x:t>
        </x:is>
      </x:c>
      <x:c r="P125" s="13" t="inlineStr">
        <x:is>
          <x:t xml:space="preserve">ProPublica Nonprofit Explorer rendered Form 990 financial and compensation tables; official IRS object ID captured from filing XML link. ProPublica lines 23-34, 67-90 in turn604752view0.</x:t>
        </x:is>
      </x:c>
      <x:c r="Q125" s="13" t="inlineStr">
        <x:is>
          <x:t xml:space="preserve">Cash proxy arithmetic and total-proxy arithmetic validated; source-native IRS XML could not be archived in this environment.</x:t>
        </x:is>
      </x:c>
    </x:row>
    <x:row r="126">
      <x:c r="A126" s="12" t="inlineStr">
        <x:is>
          <x:t xml:space="preserve">SRC-990-EXT-LIVING-GOODS</x:t>
        </x:is>
      </x:c>
      <x:c r="B126" s="12" t="inlineStr">
        <x:is>
          <x:t xml:space="preserve">Living Goods</x:t>
        </x:is>
      </x:c>
      <x:c r="C126" s="12" t="inlineStr">
        <x:is>
          <x:t xml:space="preserve">Form 990 filing-derived snapshot</x:t>
        </x:is>
      </x:c>
      <x:c r="D126" s="16" t="inlineStr">
        <x:is>
          <x:t xml:space="preserve">https://apps.irs.gov/pub/epostcard/990/xml/2024/202433199349307518_public.xml</x:t>
        </x:is>
      </x:c>
      <x:c r="E126" s="16" t="inlineStr">
        <x:is>
          <x:t xml:space="preserve">https://projects.propublica.org/nonprofits/organizations/205010527</x:t>
        </x:is>
      </x:c>
      <x:c r="F126" s="12" t="inlineStr">
        <x:is>
          <x:t xml:space="preserve">2026-08-25</x:t>
        </x:is>
      </x:c>
      <x:c r="G126" s="17" t="inlineStr">
        <x:is>
          <x:t xml:space="preserve">sources/raw/src-990-ext-living-goods.txt</x:t>
        </x:is>
      </x:c>
      <x:c r="H126" s="12" t="inlineStr">
        <x:is>
          <x:t xml:space="preserve">text/plain; charset=utf-8</x:t>
        </x:is>
      </x:c>
      <x:c r="I126" s="12" t="n">
        <x:v>1904</x:v>
      </x:c>
      <x:c r="J126" s="13" t="inlineStr">
        <x:is>
          <x:t xml:space="preserve">973f92e74239782deca583436fa6e9fda60a36dedbc3e0bfb7839150dcc0961d</x:t>
        </x:is>
      </x:c>
      <x:c r="K126" s="12" t="inlineStr">
        <x:is>
          <x:t xml:space="preserve">2023-01-01 to 2023-12-31</x:t>
        </x:is>
      </x:c>
      <x:c r="L126" s="12" t="inlineStr">
        <x:is>
          <x:t xml:space="preserve">20-5010527</x:t>
        </x:is>
      </x:c>
      <x:c r="M126" s="12" t="inlineStr">
        <x:is>
          <x:t xml:space="preserve">202433199349307518</x:t>
        </x:is>
      </x:c>
      <x:c r="N126" s="12" t="inlineStr">
        <x:is>
          <x:t xml:space="preserve">official filing-derived derivative</x:t>
        </x:is>
      </x:c>
      <x:c r="O126" s="13" t="inlineStr">
        <x:is>
          <x:t xml:space="preserve">Official IRS filing identifier; ProPublica used for navigation/corroboration</x:t>
        </x:is>
      </x:c>
      <x:c r="P126" s="13" t="inlineStr">
        <x:is>
          <x:t xml:space="preserve">ProPublica filing-derived table; official IRS object ID identified from XML link</x:t>
        </x:is>
      </x:c>
      <x:c r="Q126" s="13" t="inlineStr">
        <x:is>
          <x:t xml:space="preserve">Cash proxy arithmetic and total-proxy arithmetic validated; source-native IRS XML could not be archived in this environment.</x:t>
        </x:is>
      </x:c>
    </x:row>
    <x:row r="127">
      <x:c r="A127" s="12" t="inlineStr">
        <x:is>
          <x:t xml:space="preserve">SRC-990-MIRI</x:t>
        </x:is>
      </x:c>
      <x:c r="B127" s="12" t="inlineStr">
        <x:is>
          <x:t xml:space="preserve">Machine Intelligence Research Institute</x:t>
        </x:is>
      </x:c>
      <x:c r="C127" s="12" t="inlineStr">
        <x:is>
          <x:t xml:space="preserve">Form 990 filing-derived snapshot</x:t>
        </x:is>
      </x:c>
      <x:c r="D127" s="17" t="inlineStr">
        <x:is>
          <x:t xml:space="preserve">not established</x:t>
        </x:is>
      </x:c>
      <x:c r="E127" s="17" t="inlineStr">
        <x:is>
          <x:t xml:space="preserve">not established</x:t>
        </x:is>
      </x:c>
      <x:c r="F127" s="12" t="inlineStr">
        <x:is>
          <x:t xml:space="preserve">2026-08-17T18:45:00-07:00</x:t>
        </x:is>
      </x:c>
      <x:c r="G127" s="17" t="inlineStr">
        <x:is>
          <x:t xml:space="preserve">sources/raw/src-990-miri.txt</x:t>
        </x:is>
      </x:c>
      <x:c r="H127" s="12" t="inlineStr">
        <x:is>
          <x:t xml:space="preserve">text/plain; charset=utf-8</x:t>
        </x:is>
      </x:c>
      <x:c r="I127" s="12" t="n">
        <x:v>1605</x:v>
      </x:c>
      <x:c r="J127" s="13" t="inlineStr">
        <x:is>
          <x:t xml:space="preserve">6070f1d077406c2e168a1b3145bc5681c4a6cf7e42550d9ec90c7cec41f83f3b</x:t>
        </x:is>
      </x:c>
      <x:c r="K127" s="12" t="inlineStr">
        <x:is>
          <x:t xml:space="preserve"> to </x:t>
        </x:is>
      </x:c>
      <x:c r="L127" s="12" t="inlineStr">
        <x:is>
          <x:t xml:space="preserve">not established</x:t>
        </x:is>
      </x:c>
      <x:c r="M127" s="12" t="inlineStr">
        <x:is>
          <x:t xml:space="preserve">not established</x:t>
        </x:is>
      </x:c>
      <x:c r="N127" s="12" t="inlineStr">
        <x:is>
          <x:t xml:space="preserve">derivative</x:t>
        </x:is>
      </x:c>
      <x:c r="O127" s="13" t="inlineStr">
        <x:is>
          <x:t xml:space="preserve">official filing via IRS; browser rendering via ProPublica where available</x:t>
        </x:is>
      </x:c>
      <x:c r="P127" s="12" t="inlineStr">
        <x:is>
          <x:t xml:space="preserve">unsuccessful current-role search</x:t>
        </x:is>
      </x:c>
      <x:c r="Q12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28">
      <x:c r="A128" s="12" t="inlineStr">
        <x:is>
          <x:t xml:space="preserve">SRC-990-EXT-MERCY-FOR-ANIMALS</x:t>
        </x:is>
      </x:c>
      <x:c r="B128" s="12" t="inlineStr">
        <x:is>
          <x:t xml:space="preserve">Mercy For Animals</x:t>
        </x:is>
      </x:c>
      <x:c r="C128" s="12" t="inlineStr">
        <x:is>
          <x:t xml:space="preserve">Form 990 filing-derived snapshot</x:t>
        </x:is>
      </x:c>
      <x:c r="D128" s="16" t="inlineStr">
        <x:is>
          <x:t xml:space="preserve">https://apps.irs.gov/pub/epostcard/990/xml/2025/202502259349301135_public.xml</x:t>
        </x:is>
      </x:c>
      <x:c r="E128" s="16" t="inlineStr">
        <x:is>
          <x:t xml:space="preserve">https://projects.propublica.org/nonprofits/organizations/542076145</x:t>
        </x:is>
      </x:c>
      <x:c r="F128" s="12" t="inlineStr">
        <x:is>
          <x:t xml:space="preserve">2026-08-25</x:t>
        </x:is>
      </x:c>
      <x:c r="G128" s="17" t="inlineStr">
        <x:is>
          <x:t xml:space="preserve">sources/raw/src-990-ext-mercy-for-animals.txt</x:t>
        </x:is>
      </x:c>
      <x:c r="H128" s="12" t="inlineStr">
        <x:is>
          <x:t xml:space="preserve">text/plain; charset=utf-8</x:t>
        </x:is>
      </x:c>
      <x:c r="I128" s="12" t="n">
        <x:v>1874</x:v>
      </x:c>
      <x:c r="J128" s="13" t="inlineStr">
        <x:is>
          <x:t xml:space="preserve">27b8abc77d9fba1a4f61d59c6e1faeca89811ccf9fc73bee88030a4be0e1dc24</x:t>
        </x:is>
      </x:c>
      <x:c r="K128" s="12" t="inlineStr">
        <x:is>
          <x:t xml:space="preserve">2024-01-01 to 2024-12-31</x:t>
        </x:is>
      </x:c>
      <x:c r="L128" s="12" t="inlineStr">
        <x:is>
          <x:t xml:space="preserve">54-2076145</x:t>
        </x:is>
      </x:c>
      <x:c r="M128" s="12" t="inlineStr">
        <x:is>
          <x:t xml:space="preserve">202502259349301135</x:t>
        </x:is>
      </x:c>
      <x:c r="N128" s="12" t="inlineStr">
        <x:is>
          <x:t xml:space="preserve">official filing-derived derivative</x:t>
        </x:is>
      </x:c>
      <x:c r="O128" s="13" t="inlineStr">
        <x:is>
          <x:t xml:space="preserve">Official IRS filing identifier; ProPublica used for navigation/corroboration</x:t>
        </x:is>
      </x:c>
      <x:c r="P128" s="13" t="inlineStr">
        <x:is>
          <x:t xml:space="preserve">ProPublica filing-derived table; official IRS object ID identified from XML link</x:t>
        </x:is>
      </x:c>
      <x:c r="Q128" s="13" t="inlineStr">
        <x:is>
          <x:t xml:space="preserve">Cash proxy arithmetic and total-proxy arithmetic validated; source-native IRS XML could not be archived in this environment.</x:t>
        </x:is>
      </x:c>
    </x:row>
    <x:row r="129">
      <x:c r="A129" s="12" t="inlineStr">
        <x:is>
          <x:t xml:space="preserve">SRC-990-EXT-MIGRATION-POLICY-INSTITUTE</x:t>
        </x:is>
      </x:c>
      <x:c r="B129" s="12" t="inlineStr">
        <x:is>
          <x:t xml:space="preserve">Migration Policy Institute</x:t>
        </x:is>
      </x:c>
      <x:c r="C129" s="12" t="inlineStr">
        <x:is>
          <x:t xml:space="preserve">Form 990 filing-derived snapshot</x:t>
        </x:is>
      </x:c>
      <x:c r="D129" s="16" t="inlineStr">
        <x:is>
          <x:t xml:space="preserve">https://apps.irs.gov/pub/epostcard/990/xml/2026/202601359349310000_public.xml</x:t>
        </x:is>
      </x:c>
      <x:c r="E129" s="16" t="inlineStr">
        <x:is>
          <x:t xml:space="preserve">https://projects.propublica.org/nonprofits/organizations/522279789</x:t>
        </x:is>
      </x:c>
      <x:c r="F129" s="12" t="inlineStr">
        <x:is>
          <x:t xml:space="preserve">2026-08-25</x:t>
        </x:is>
      </x:c>
      <x:c r="G129" s="16" t="inlineStr">
        <x:is>
          <x:t xml:space="preserve">sources/raw/src-990-ext-migration-policy-institute.txt</x:t>
        </x:is>
      </x:c>
      <x:c r="H129" s="12" t="inlineStr">
        <x:is>
          <x:t xml:space="preserve">text/plain; charset=utf-8</x:t>
        </x:is>
      </x:c>
      <x:c r="I129" s="12" t="n">
        <x:v>1718</x:v>
      </x:c>
      <x:c r="J129" s="13" t="inlineStr">
        <x:is>
          <x:t xml:space="preserve">c5b2aab5ee89e91d67210e7e6bab7f95722616caebd4104fdfa9e6120d49b1a0</x:t>
        </x:is>
      </x:c>
      <x:c r="K129" s="12" t="inlineStr">
        <x:is>
          <x:t xml:space="preserve">2024-07-01 to 2025-06-30</x:t>
        </x:is>
      </x:c>
      <x:c r="L129" s="12" t="inlineStr">
        <x:is>
          <x:t xml:space="preserve">52-2279789</x:t>
        </x:is>
      </x:c>
      <x:c r="M129" s="12" t="inlineStr">
        <x:is>
          <x:t xml:space="preserve">202601359349310000</x:t>
        </x:is>
      </x:c>
      <x:c r="N129" s="12" t="inlineStr">
        <x:is>
          <x:t xml:space="preserve">official filing-derived derivative</x:t>
        </x:is>
      </x:c>
      <x:c r="O129" s="13" t="inlineStr">
        <x:is>
          <x:t xml:space="preserve">Official IRS filing identifier; ProPublica used for navigation/corroboration</x:t>
        </x:is>
      </x:c>
      <x:c r="P129" s="12" t="inlineStr">
        <x:is>
          <x:t xml:space="preserve">ProPublica latest FY2025 filing table</x:t>
        </x:is>
      </x:c>
      <x:c r="Q129" s="13" t="inlineStr">
        <x:is>
          <x:t xml:space="preserve">Cash proxy arithmetic and total-proxy arithmetic validated; source-native IRS XML could not be archived in this environment.</x:t>
        </x:is>
      </x:c>
    </x:row>
    <x:row r="130">
      <x:c r="A130" s="12" t="inlineStr">
        <x:is>
          <x:t xml:space="preserve">SRC-990-EXT-MUCKROCK-FOUNDATION</x:t>
        </x:is>
      </x:c>
      <x:c r="B130" s="12" t="inlineStr">
        <x:is>
          <x:t xml:space="preserve">MuckRock Foundation</x:t>
        </x:is>
      </x:c>
      <x:c r="C130" s="12" t="inlineStr">
        <x:is>
          <x:t xml:space="preserve">Form 990 filing-derived snapshot</x:t>
        </x:is>
      </x:c>
      <x:c r="D130" s="16" t="inlineStr">
        <x:is>
          <x:t xml:space="preserve">https://apps.irs.gov/pub/epostcard/990/xml/2024/202403119349300920_public.xml</x:t>
        </x:is>
      </x:c>
      <x:c r="E130" s="16" t="inlineStr">
        <x:is>
          <x:t xml:space="preserve">https://projects.propublica.org/nonprofits/organizations/811485228</x:t>
        </x:is>
      </x:c>
      <x:c r="F130" s="12" t="inlineStr">
        <x:is>
          <x:t xml:space="preserve">2026-08-25</x:t>
        </x:is>
      </x:c>
      <x:c r="G130" s="16" t="inlineStr">
        <x:is>
          <x:t xml:space="preserve">sources/raw/src-990-ext-muckrock-foundation.txt</x:t>
        </x:is>
      </x:c>
      <x:c r="H130" s="12" t="inlineStr">
        <x:is>
          <x:t xml:space="preserve">text/plain; charset=utf-8</x:t>
        </x:is>
      </x:c>
      <x:c r="I130" s="12" t="n">
        <x:v>2060</x:v>
      </x:c>
      <x:c r="J130" s="13" t="inlineStr">
        <x:is>
          <x:t xml:space="preserve">fc0fbf49984f32f971e9488fcb8ba288021513288e970c977c33dc7921ce0d91</x:t>
        </x:is>
      </x:c>
      <x:c r="K130" s="12" t="inlineStr">
        <x:is>
          <x:t xml:space="preserve">2023-01-01 to 2023-12-31</x:t>
        </x:is>
      </x:c>
      <x:c r="L130" s="12" t="inlineStr">
        <x:is>
          <x:t xml:space="preserve">81-1485228</x:t>
        </x:is>
      </x:c>
      <x:c r="M130" s="12" t="inlineStr">
        <x:is>
          <x:t xml:space="preserve">202403119349300920</x:t>
        </x:is>
      </x:c>
      <x:c r="N130" s="12" t="inlineStr">
        <x:is>
          <x:t xml:space="preserve">official filing-derived derivative</x:t>
        </x:is>
      </x:c>
      <x:c r="O130" s="13" t="inlineStr">
        <x:is>
          <x:t xml:space="preserve">Official IRS filing identifier; ProPublica used for navigation/corroboration</x:t>
        </x:is>
      </x:c>
      <x:c r="P130" s="13" t="inlineStr">
        <x:is>
          <x:t xml:space="preserve">ProPublica filing-derived table and XML link; browser source turn933533view3 lines 92-163.</x:t>
        </x:is>
      </x:c>
      <x:c r="Q130" s="13" t="inlineStr">
        <x:is>
          <x:t xml:space="preserve">Cash proxy arithmetic and total-proxy arithmetic validated; source-native IRS XML could not be archived in this environment.</x:t>
        </x:is>
      </x:c>
    </x:row>
    <x:row r="131">
      <x:c r="A131" s="13" t="inlineStr">
        <x:is>
          <x:t xml:space="preserve">SRC-990-EXT3-NATIONAL-ACADEMY-FOR-STATE-HEALTH-POLICY</x:t>
        </x:is>
      </x:c>
      <x:c r="B131" s="12" t="inlineStr">
        <x:is>
          <x:t xml:space="preserve">National Academy for State Health Policy</x:t>
        </x:is>
      </x:c>
      <x:c r="C131" s="12" t="inlineStr">
        <x:is>
          <x:t xml:space="preserve">Form 990 filing-derived snapshot</x:t>
        </x:is>
      </x:c>
      <x:c r="D131" s="16" t="inlineStr">
        <x:is>
          <x:t xml:space="preserve">https://apps.irs.gov/pub/epostcard/990/xml/2025/202503179349302775_public.xml</x:t>
        </x:is>
      </x:c>
      <x:c r="E131" s="16" t="inlineStr">
        <x:is>
          <x:t xml:space="preserve">https://projects.propublica.org/nonprofits/organizations/521576801</x:t>
        </x:is>
      </x:c>
      <x:c r="F131" s="12" t="inlineStr">
        <x:is>
          <x:t xml:space="preserve">2026-08-25T17:45:00-0700</x:t>
        </x:is>
      </x:c>
      <x:c r="G131" s="16" t="inlineStr">
        <x:is>
          <x:t xml:space="preserve">sources/raw/src-990-ext3-national-academy-for-state-health-policy.txt</x:t>
        </x:is>
      </x:c>
      <x:c r="H131" s="12" t="inlineStr">
        <x:is>
          <x:t xml:space="preserve">text/plain; charset=utf-8</x:t>
        </x:is>
      </x:c>
      <x:c r="I131" s="12" t="n">
        <x:v>2060</x:v>
      </x:c>
      <x:c r="J131" s="13" t="inlineStr">
        <x:is>
          <x:t xml:space="preserve">65ea2b5630466625862bd5d429f22fa833c1592454942091fe595e39f04408fa</x:t>
        </x:is>
      </x:c>
      <x:c r="K131" s="12" t="inlineStr">
        <x:is>
          <x:t xml:space="preserve">2024-01-01 to 2024-12-31</x:t>
        </x:is>
      </x:c>
      <x:c r="L131" s="12" t="inlineStr">
        <x:is>
          <x:t xml:space="preserve">52-1576801</x:t>
        </x:is>
      </x:c>
      <x:c r="M131" s="12" t="inlineStr">
        <x:is>
          <x:t xml:space="preserve">202503179349302775</x:t>
        </x:is>
      </x:c>
      <x:c r="N131" s="12" t="inlineStr">
        <x:is>
          <x:t xml:space="preserve">official filing-derived derivative</x:t>
        </x:is>
      </x:c>
      <x:c r="O131" s="13" t="inlineStr">
        <x:is>
          <x:t xml:space="preserve">Official IRS filing identifier; ProPublica used for navigation/corroboration</x:t>
        </x:is>
      </x:c>
      <x:c r="P131" s="13" t="inlineStr">
        <x:is>
          <x:t xml:space="preserve">ProPublica Nonprofit Explorer rendered Form 990 financial and compensation tables; official IRS object ID captured from filing XML link. ProPublica lines 42-55, 88-111 in turn924991view0.</x:t>
        </x:is>
      </x:c>
      <x:c r="Q131" s="13" t="inlineStr">
        <x:is>
          <x:t xml:space="preserve">Cash proxy arithmetic and total-proxy arithmetic validated; source-native IRS XML could not be archived in this environment.</x:t>
        </x:is>
      </x:c>
    </x:row>
    <x:row r="132">
      <x:c r="A132" s="13" t="inlineStr">
        <x:is>
          <x:t xml:space="preserve">SRC-990-EXT-NATIONAL-COMMITTEE-FOR-RESPONSIVE-PHILANTHROPY</x:t>
        </x:is>
      </x:c>
      <x:c r="B132" s="13" t="inlineStr">
        <x:is>
          <x:t xml:space="preserve">National Committee for Responsive Philanthropy</x:t>
        </x:is>
      </x:c>
      <x:c r="C132" s="12" t="inlineStr">
        <x:is>
          <x:t xml:space="preserve">Form 990 filing-derived snapshot</x:t>
        </x:is>
      </x:c>
      <x:c r="D132" s="16" t="inlineStr">
        <x:is>
          <x:t xml:space="preserve">https://apps.irs.gov/pub/epostcard/990/xml/2026/202610449349300906_public.xml</x:t>
        </x:is>
      </x:c>
      <x:c r="E132" s="16" t="inlineStr">
        <x:is>
          <x:t xml:space="preserve">https://projects.propublica.org/nonprofits/organizations/521072749</x:t>
        </x:is>
      </x:c>
      <x:c r="F132" s="12" t="inlineStr">
        <x:is>
          <x:t xml:space="preserve">2026-08-25</x:t>
        </x:is>
      </x:c>
      <x:c r="G132" s="16" t="inlineStr">
        <x:is>
          <x:t xml:space="preserve">sources/raw/src-990-ext-national-committee-for-responsive-philanthropy.txt</x:t>
        </x:is>
      </x:c>
      <x:c r="H132" s="12" t="inlineStr">
        <x:is>
          <x:t xml:space="preserve">text/plain; charset=utf-8</x:t>
        </x:is>
      </x:c>
      <x:c r="I132" s="12" t="n">
        <x:v>1741</x:v>
      </x:c>
      <x:c r="J132" s="13" t="inlineStr">
        <x:is>
          <x:t xml:space="preserve">257d9e71f9648bb36e712e25c179d0ca288b44e78fed4f7cbc06446a01357e5d</x:t>
        </x:is>
      </x:c>
      <x:c r="K132" s="12" t="inlineStr">
        <x:is>
          <x:t xml:space="preserve">2024-10-01 to 2025-09-30</x:t>
        </x:is>
      </x:c>
      <x:c r="L132" s="12" t="inlineStr">
        <x:is>
          <x:t xml:space="preserve">52-1072749</x:t>
        </x:is>
      </x:c>
      <x:c r="M132" s="12" t="inlineStr">
        <x:is>
          <x:t xml:space="preserve">202610449349300906</x:t>
        </x:is>
      </x:c>
      <x:c r="N132" s="12" t="inlineStr">
        <x:is>
          <x:t xml:space="preserve">official filing-derived derivative</x:t>
        </x:is>
      </x:c>
      <x:c r="O132" s="13" t="inlineStr">
        <x:is>
          <x:t xml:space="preserve">Official IRS filing identifier; ProPublica used for navigation/corroboration</x:t>
        </x:is>
      </x:c>
      <x:c r="P132" s="12" t="inlineStr">
        <x:is>
          <x:t xml:space="preserve">ProPublica latest FY2025 filing table</x:t>
        </x:is>
      </x:c>
      <x:c r="Q132" s="13" t="inlineStr">
        <x:is>
          <x:t xml:space="preserve">Cash proxy arithmetic and total-proxy arithmetic validated; source-native IRS XML could not be archived in this environment.</x:t>
        </x:is>
      </x:c>
    </x:row>
    <x:row r="133">
      <x:c r="A133" s="12" t="inlineStr">
        <x:is>
          <x:t xml:space="preserve">SRC-990-EXT-NATIONAL-EMPLOYMENT-LAW-PROJECT</x:t>
        </x:is>
      </x:c>
      <x:c r="B133" s="12" t="inlineStr">
        <x:is>
          <x:t xml:space="preserve">National Employment Law Project</x:t>
        </x:is>
      </x:c>
      <x:c r="C133" s="12" t="inlineStr">
        <x:is>
          <x:t xml:space="preserve">Form 990 filing-derived snapshot</x:t>
        </x:is>
      </x:c>
      <x:c r="D133" s="16" t="inlineStr">
        <x:is>
          <x:t xml:space="preserve">https://apps.irs.gov/pub/epostcard/990/xml/2025/202523089349302957_public.xml</x:t>
        </x:is>
      </x:c>
      <x:c r="E133" s="16" t="inlineStr">
        <x:is>
          <x:t xml:space="preserve">https://projects.propublica.org/nonprofits/organizations/132758558</x:t>
        </x:is>
      </x:c>
      <x:c r="F133" s="12" t="inlineStr">
        <x:is>
          <x:t xml:space="preserve">2026-08-25</x:t>
        </x:is>
      </x:c>
      <x:c r="G133" s="16" t="inlineStr">
        <x:is>
          <x:t xml:space="preserve">sources/raw/src-990-ext-national-employment-law-project.txt</x:t>
        </x:is>
      </x:c>
      <x:c r="H133" s="12" t="inlineStr">
        <x:is>
          <x:t xml:space="preserve">text/plain; charset=utf-8</x:t>
        </x:is>
      </x:c>
      <x:c r="I133" s="12" t="n">
        <x:v>1841</x:v>
      </x:c>
      <x:c r="J133" s="13" t="inlineStr">
        <x:is>
          <x:t xml:space="preserve">24343c1c287ba574cfc05e1d50bfb8758bc2faf1281e56e588376b09edd16f2d</x:t>
        </x:is>
      </x:c>
      <x:c r="K133" s="12" t="inlineStr">
        <x:is>
          <x:t xml:space="preserve">2024-01-01 to 2024-12-31</x:t>
        </x:is>
      </x:c>
      <x:c r="L133" s="12" t="inlineStr">
        <x:is>
          <x:t xml:space="preserve">13-2758558</x:t>
        </x:is>
      </x:c>
      <x:c r="M133" s="12" t="inlineStr">
        <x:is>
          <x:t xml:space="preserve">202523089349302957</x:t>
        </x:is>
      </x:c>
      <x:c r="N133" s="12" t="inlineStr">
        <x:is>
          <x:t xml:space="preserve">official filing-derived derivative</x:t>
        </x:is>
      </x:c>
      <x:c r="O133" s="13" t="inlineStr">
        <x:is>
          <x:t xml:space="preserve">Official IRS filing identifier; ProPublica used for navigation/corroboration</x:t>
        </x:is>
      </x:c>
      <x:c r="P133" s="13" t="inlineStr">
        <x:is>
          <x:t xml:space="preserve">ProPublica filing-derived table lines 20-88; IRS object ID from XML link</x:t>
        </x:is>
      </x:c>
      <x:c r="Q133" s="13" t="inlineStr">
        <x:is>
          <x:t xml:space="preserve">Cash proxy arithmetic and total-proxy arithmetic validated; source-native IRS XML could not be archived in this environment.</x:t>
        </x:is>
      </x:c>
    </x:row>
    <x:row r="134">
      <x:c r="A134" s="12" t="inlineStr">
        <x:is>
          <x:t xml:space="preserve">SRC-990-EXT-NEW-AMERICA</x:t>
        </x:is>
      </x:c>
      <x:c r="B134" s="12" t="inlineStr">
        <x:is>
          <x:t xml:space="preserve">New America</x:t>
        </x:is>
      </x:c>
      <x:c r="C134" s="12" t="inlineStr">
        <x:is>
          <x:t xml:space="preserve">Form 990 filing-derived snapshot</x:t>
        </x:is>
      </x:c>
      <x:c r="D134" s="16" t="inlineStr">
        <x:is>
          <x:t xml:space="preserve">https://apps.irs.gov/pub/epostcard/990/xml/2025/202513109349304131_public.xml</x:t>
        </x:is>
      </x:c>
      <x:c r="E134" s="16" t="inlineStr">
        <x:is>
          <x:t xml:space="preserve">https://projects.propublica.org/nonprofits/organizations/522096845</x:t>
        </x:is>
      </x:c>
      <x:c r="F134" s="12" t="inlineStr">
        <x:is>
          <x:t xml:space="preserve">2026-08-25</x:t>
        </x:is>
      </x:c>
      <x:c r="G134" s="17" t="inlineStr">
        <x:is>
          <x:t xml:space="preserve">sources/raw/src-990-ext-new-america.txt</x:t>
        </x:is>
      </x:c>
      <x:c r="H134" s="12" t="inlineStr">
        <x:is>
          <x:t xml:space="preserve">text/plain; charset=utf-8</x:t>
        </x:is>
      </x:c>
      <x:c r="I134" s="12" t="n">
        <x:v>1827</x:v>
      </x:c>
      <x:c r="J134" s="13" t="inlineStr">
        <x:is>
          <x:t xml:space="preserve">f5e8e24102cbd026afb87343bf137495875b05c9ca9a31fb943f7c04e55886f9</x:t>
        </x:is>
      </x:c>
      <x:c r="K134" s="12" t="inlineStr">
        <x:is>
          <x:t xml:space="preserve">2024-01-01 to 2024-12-31</x:t>
        </x:is>
      </x:c>
      <x:c r="L134" s="12" t="inlineStr">
        <x:is>
          <x:t xml:space="preserve">52-2096845</x:t>
        </x:is>
      </x:c>
      <x:c r="M134" s="12" t="inlineStr">
        <x:is>
          <x:t xml:space="preserve">202513109349304131</x:t>
        </x:is>
      </x:c>
      <x:c r="N134" s="12" t="inlineStr">
        <x:is>
          <x:t xml:space="preserve">official filing-derived derivative</x:t>
        </x:is>
      </x:c>
      <x:c r="O134" s="13" t="inlineStr">
        <x:is>
          <x:t xml:space="preserve">Official IRS filing identifier; ProPublica used for navigation/corroboration</x:t>
        </x:is>
      </x:c>
      <x:c r="P134" s="13" t="inlineStr">
        <x:is>
          <x:t xml:space="preserve">ProPublica filing-derived table lines 26-100; IRS object ID from XML link</x:t>
        </x:is>
      </x:c>
      <x:c r="Q134" s="13" t="inlineStr">
        <x:is>
          <x:t xml:space="preserve">Cash proxy arithmetic and total-proxy arithmetic validated; source-native IRS XML could not be archived in this environment.</x:t>
        </x:is>
      </x:c>
    </x:row>
    <x:row r="135">
      <x:c r="A135" s="12" t="inlineStr">
        <x:is>
          <x:t xml:space="preserve">SRC-990-EXT-NEW-ROOTS-INSTITUTE</x:t>
        </x:is>
      </x:c>
      <x:c r="B135" s="12" t="inlineStr">
        <x:is>
          <x:t xml:space="preserve">New Roots Institute</x:t>
        </x:is>
      </x:c>
      <x:c r="C135" s="12" t="inlineStr">
        <x:is>
          <x:t xml:space="preserve">Form 990 filing-derived snapshot</x:t>
        </x:is>
      </x:c>
      <x:c r="D135" s="16" t="inlineStr">
        <x:is>
          <x:t xml:space="preserve">https://apps.irs.gov/pub/epostcard/990/xml/2025/202523519349301637_public.xml</x:t>
        </x:is>
      </x:c>
      <x:c r="E135" s="16" t="inlineStr">
        <x:is>
          <x:t xml:space="preserve">https://projects.propublica.org/nonprofits/organizations/824594246</x:t>
        </x:is>
      </x:c>
      <x:c r="F135" s="12" t="inlineStr">
        <x:is>
          <x:t xml:space="preserve">2026-08-25</x:t>
        </x:is>
      </x:c>
      <x:c r="G135" s="16" t="inlineStr">
        <x:is>
          <x:t xml:space="preserve">sources/raw/src-990-ext-new-roots-institute.txt</x:t>
        </x:is>
      </x:c>
      <x:c r="H135" s="12" t="inlineStr">
        <x:is>
          <x:t xml:space="preserve">text/plain; charset=utf-8</x:t>
        </x:is>
      </x:c>
      <x:c r="I135" s="12" t="n">
        <x:v>1825</x:v>
      </x:c>
      <x:c r="J135" s="13" t="inlineStr">
        <x:is>
          <x:t xml:space="preserve">896cd373184e13edad828680d2a2183ee16c948e157e600c2128726c50200954</x:t>
        </x:is>
      </x:c>
      <x:c r="K135" s="12" t="inlineStr">
        <x:is>
          <x:t xml:space="preserve">2024-07-01 to 2025-06-30</x:t>
        </x:is>
      </x:c>
      <x:c r="L135" s="12" t="inlineStr">
        <x:is>
          <x:t xml:space="preserve">82-4594246</x:t>
        </x:is>
      </x:c>
      <x:c r="M135" s="12" t="inlineStr">
        <x:is>
          <x:t xml:space="preserve">202523519349301637</x:t>
        </x:is>
      </x:c>
      <x:c r="N135" s="12" t="inlineStr">
        <x:is>
          <x:t xml:space="preserve">official filing-derived derivative</x:t>
        </x:is>
      </x:c>
      <x:c r="O135" s="13" t="inlineStr">
        <x:is>
          <x:t xml:space="preserve">Official IRS filing identifier; ProPublica used for navigation/corroboration</x:t>
        </x:is>
      </x:c>
      <x:c r="P135" s="13" t="inlineStr">
        <x:is>
          <x:t xml:space="preserve">ProPublica filing-derived table; official IRS object ID identified from XML link</x:t>
        </x:is>
      </x:c>
      <x:c r="Q135" s="13" t="inlineStr">
        <x:is>
          <x:t xml:space="preserve">Cash proxy arithmetic and total-proxy arithmetic validated; source-native IRS XML could not be archived in this environment.</x:t>
        </x:is>
      </x:c>
    </x:row>
    <x:row r="136">
      <x:c r="A136" s="12" t="inlineStr">
        <x:is>
          <x:t xml:space="preserve">SRC-990-EXT-NISKANEN-CENTER</x:t>
        </x:is>
      </x:c>
      <x:c r="B136" s="12" t="inlineStr">
        <x:is>
          <x:t xml:space="preserve">Niskanen Center</x:t>
        </x:is>
      </x:c>
      <x:c r="C136" s="12" t="inlineStr">
        <x:is>
          <x:t xml:space="preserve">Form 990 filing-derived snapshot</x:t>
        </x:is>
      </x:c>
      <x:c r="D136" s="16" t="inlineStr">
        <x:is>
          <x:t xml:space="preserve">https://apps.irs.gov/pub/epostcard/990/xml/2025/202523179349301947_public.xml</x:t>
        </x:is>
      </x:c>
      <x:c r="E136" s="16" t="inlineStr">
        <x:is>
          <x:t xml:space="preserve">https://projects.propublica.org/nonprofits/organizations/455308952</x:t>
        </x:is>
      </x:c>
      <x:c r="F136" s="12" t="inlineStr">
        <x:is>
          <x:t xml:space="preserve">2026-08-25</x:t>
        </x:is>
      </x:c>
      <x:c r="G136" s="17" t="inlineStr">
        <x:is>
          <x:t xml:space="preserve">sources/raw/src-990-ext-niskanen-center.txt</x:t>
        </x:is>
      </x:c>
      <x:c r="H136" s="12" t="inlineStr">
        <x:is>
          <x:t xml:space="preserve">text/plain; charset=utf-8</x:t>
        </x:is>
      </x:c>
      <x:c r="I136" s="12" t="n">
        <x:v>1925</x:v>
      </x:c>
      <x:c r="J136" s="13" t="inlineStr">
        <x:is>
          <x:t xml:space="preserve">a069ba513891fd54420133de5f75ef244f8c5d9a2135598289d6248f05e7aed3</x:t>
        </x:is>
      </x:c>
      <x:c r="K136" s="12" t="inlineStr">
        <x:is>
          <x:t xml:space="preserve">2024-01-01 to 2024-12-31</x:t>
        </x:is>
      </x:c>
      <x:c r="L136" s="12" t="inlineStr">
        <x:is>
          <x:t xml:space="preserve">45-5308952</x:t>
        </x:is>
      </x:c>
      <x:c r="M136" s="12" t="inlineStr">
        <x:is>
          <x:t xml:space="preserve">202523179349301947</x:t>
        </x:is>
      </x:c>
      <x:c r="N136" s="12" t="inlineStr">
        <x:is>
          <x:t xml:space="preserve">official filing-derived derivative</x:t>
        </x:is>
      </x:c>
      <x:c r="O136" s="13" t="inlineStr">
        <x:is>
          <x:t xml:space="preserve">Official IRS filing identifier; ProPublica used for navigation/corroboration</x:t>
        </x:is>
      </x:c>
      <x:c r="P136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36" s="13" t="inlineStr">
        <x:is>
          <x:t xml:space="preserve">Cash proxy arithmetic and total-proxy arithmetic validated; source-native IRS XML could not be archived in this environment.</x:t>
        </x:is>
      </x:c>
    </x:row>
    <x:row r="137">
      <x:c r="A137" s="12" t="inlineStr">
        <x:is>
          <x:t xml:space="preserve">SRC-990-NISK-2024</x:t>
        </x:is>
      </x:c>
      <x:c r="B137" s="12" t="inlineStr">
        <x:is>
          <x:t xml:space="preserve">Niskanen Center</x:t>
        </x:is>
      </x:c>
      <x:c r="C137" s="12" t="inlineStr">
        <x:is>
          <x:t xml:space="preserve">Form 990 filing-derived snapshot</x:t>
        </x:is>
      </x:c>
      <x:c r="D137" s="16" t="inlineStr">
        <x:is>
          <x:t xml:space="preserve">https://apps.irs.gov/pub/epostcard/990/xml/2025/202523179349301947_public.xml</x:t>
        </x:is>
      </x:c>
      <x:c r="E137" s="16" t="inlineStr">
        <x:is>
          <x:t xml:space="preserve">https://projects.propublica.org/nonprofits/organizations/455308952</x:t>
        </x:is>
      </x:c>
      <x:c r="F137" s="12" t="inlineStr">
        <x:is>
          <x:t xml:space="preserve">2026-08-17T18:45:00-07:00</x:t>
        </x:is>
      </x:c>
      <x:c r="G137" s="17" t="inlineStr">
        <x:is>
          <x:t xml:space="preserve">sources/raw/src-990-nisk-2024.txt</x:t>
        </x:is>
      </x:c>
      <x:c r="H137" s="12" t="inlineStr">
        <x:is>
          <x:t xml:space="preserve">text/plain; charset=utf-8</x:t>
        </x:is>
      </x:c>
      <x:c r="I137" s="12" t="n">
        <x:v>1653</x:v>
      </x:c>
      <x:c r="J137" s="13" t="inlineStr">
        <x:is>
          <x:t xml:space="preserve">20b70bc5b331a92e7c3d81effda504c81fa4a707263a267c074d202ae8bd9442</x:t>
        </x:is>
      </x:c>
      <x:c r="K137" s="12" t="inlineStr">
        <x:is>
          <x:t xml:space="preserve">2024-01-01 to 2024-12-31</x:t>
        </x:is>
      </x:c>
      <x:c r="L137" s="12" t="inlineStr">
        <x:is>
          <x:t xml:space="preserve">45-5308952</x:t>
        </x:is>
      </x:c>
      <x:c r="M137" s="12" t="inlineStr">
        <x:is>
          <x:t xml:space="preserve">202523179349301947</x:t>
        </x:is>
      </x:c>
      <x:c r="N137" s="12" t="inlineStr">
        <x:is>
          <x:t xml:space="preserve">derivative</x:t>
        </x:is>
      </x:c>
      <x:c r="O137" s="13" t="inlineStr">
        <x:is>
          <x:t xml:space="preserve">official filing via IRS; browser rendering via ProPublica where available</x:t>
        </x:is>
      </x:c>
      <x:c r="P137" s="12" t="inlineStr">
        <x:is>
          <x:t xml:space="preserve">turn248812view2 L21-L91</x:t>
        </x:is>
      </x:c>
      <x:c r="Q13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38">
      <x:c r="A138" s="12" t="inlineStr">
        <x:is>
          <x:t xml:space="preserve">SRC-990-EXT3-NUCLEAR-INNOVATION-ALLIANCE</x:t>
        </x:is>
      </x:c>
      <x:c r="B138" s="12" t="inlineStr">
        <x:is>
          <x:t xml:space="preserve">Nuclear Innovation Alliance</x:t>
        </x:is>
      </x:c>
      <x:c r="C138" s="12" t="inlineStr">
        <x:is>
          <x:t xml:space="preserve">Form 990 filing-derived snapshot</x:t>
        </x:is>
      </x:c>
      <x:c r="D138" s="16" t="inlineStr">
        <x:is>
          <x:t xml:space="preserve">https://apps.irs.gov/pub/epostcard/990/xml/2026/202621339349301817_public.xml</x:t>
        </x:is>
      </x:c>
      <x:c r="E138" s="16" t="inlineStr">
        <x:is>
          <x:t xml:space="preserve">https://projects.propublica.org/nonprofits/organizations/371859117</x:t>
        </x:is>
      </x:c>
      <x:c r="F138" s="12" t="inlineStr">
        <x:is>
          <x:t xml:space="preserve">2026-08-25T17:45:00-0700</x:t>
        </x:is>
      </x:c>
      <x:c r="G138" s="16" t="inlineStr">
        <x:is>
          <x:t xml:space="preserve">sources/raw/src-990-ext3-nuclear-innovation-alliance.txt</x:t>
        </x:is>
      </x:c>
      <x:c r="H138" s="12" t="inlineStr">
        <x:is>
          <x:t xml:space="preserve">text/plain; charset=utf-8</x:t>
        </x:is>
      </x:c>
      <x:c r="I138" s="12" t="n">
        <x:v>2004</x:v>
      </x:c>
      <x:c r="J138" s="13" t="inlineStr">
        <x:is>
          <x:t xml:space="preserve">1b02431230919c8f5a39a95010acdf9b4785536fa73cd3ccd287dbe54f4ae5ce</x:t>
        </x:is>
      </x:c>
      <x:c r="K138" s="12" t="inlineStr">
        <x:is>
          <x:t xml:space="preserve">2025-01-01 to 2025-12-31</x:t>
        </x:is>
      </x:c>
      <x:c r="L138" s="12" t="inlineStr">
        <x:is>
          <x:t xml:space="preserve">37-1859117</x:t>
        </x:is>
      </x:c>
      <x:c r="M138" s="12" t="inlineStr">
        <x:is>
          <x:t xml:space="preserve">202621339349301817</x:t>
        </x:is>
      </x:c>
      <x:c r="N138" s="12" t="inlineStr">
        <x:is>
          <x:t xml:space="preserve">official filing-derived derivative</x:t>
        </x:is>
      </x:c>
      <x:c r="O138" s="13" t="inlineStr">
        <x:is>
          <x:t xml:space="preserve">Official IRS filing identifier; ProPublica used for navigation/corroboration</x:t>
        </x:is>
      </x:c>
      <x:c r="P138" s="13" t="inlineStr">
        <x:is>
          <x:t xml:space="preserve">ProPublica Nonprofit Explorer rendered Form 990 financial and compensation tables; official IRS object ID captured from filing XML link. ProPublica lines 21-34, 67-89 in turn652640view2.</x:t>
        </x:is>
      </x:c>
      <x:c r="Q138" s="13" t="inlineStr">
        <x:is>
          <x:t xml:space="preserve">Cash proxy arithmetic and total-proxy arithmetic validated; source-native IRS XML could not be archived in this environment.</x:t>
        </x:is>
      </x:c>
    </x:row>
    <x:row r="139">
      <x:c r="A139" s="12" t="inlineStr">
        <x:is>
          <x:t xml:space="preserve">SRC-990-EXT-NUCLEAR-THREAT-INITIATIVE</x:t>
        </x:is>
      </x:c>
      <x:c r="B139" s="12" t="inlineStr">
        <x:is>
          <x:t xml:space="preserve">Nuclear Threat Initiative</x:t>
        </x:is>
      </x:c>
      <x:c r="C139" s="12" t="inlineStr">
        <x:is>
          <x:t xml:space="preserve">Form 990 filing-derived snapshot</x:t>
        </x:is>
      </x:c>
      <x:c r="D139" s="16" t="inlineStr">
        <x:is>
          <x:t xml:space="preserve">https://apps.irs.gov/pub/epostcard/990/xml/2025/202522119349301667_public.xml</x:t>
        </x:is>
      </x:c>
      <x:c r="E139" s="16" t="inlineStr">
        <x:is>
          <x:t xml:space="preserve">https://projects.propublica.org/nonprofits/organizations/522289435</x:t>
        </x:is>
      </x:c>
      <x:c r="F139" s="12" t="inlineStr">
        <x:is>
          <x:t xml:space="preserve">2026-08-25</x:t>
        </x:is>
      </x:c>
      <x:c r="G139" s="16" t="inlineStr">
        <x:is>
          <x:t xml:space="preserve">sources/raw/src-990-ext-nuclear-threat-initiative.txt</x:t>
        </x:is>
      </x:c>
      <x:c r="H139" s="12" t="inlineStr">
        <x:is>
          <x:t xml:space="preserve">text/plain; charset=utf-8</x:t>
        </x:is>
      </x:c>
      <x:c r="I139" s="12" t="n">
        <x:v>1896</x:v>
      </x:c>
      <x:c r="J139" s="13" t="inlineStr">
        <x:is>
          <x:t xml:space="preserve">087c8899170f864c7207b8d1b809b4517bc28a4f5b41bab13cb7ac750d22b3b0</x:t>
        </x:is>
      </x:c>
      <x:c r="K139" s="12" t="inlineStr">
        <x:is>
          <x:t xml:space="preserve">2024-01-01 to 2024-12-31</x:t>
        </x:is>
      </x:c>
      <x:c r="L139" s="12" t="inlineStr">
        <x:is>
          <x:t xml:space="preserve">52-2289435</x:t>
        </x:is>
      </x:c>
      <x:c r="M139" s="12" t="inlineStr">
        <x:is>
          <x:t xml:space="preserve">202522119349301667</x:t>
        </x:is>
      </x:c>
      <x:c r="N139" s="12" t="inlineStr">
        <x:is>
          <x:t xml:space="preserve">official filing-derived derivative</x:t>
        </x:is>
      </x:c>
      <x:c r="O139" s="13" t="inlineStr">
        <x:is>
          <x:t xml:space="preserve">Official IRS filing identifier; ProPublica used for navigation/corroboration</x:t>
        </x:is>
      </x:c>
      <x:c r="P139" s="12" t="inlineStr">
        <x:is>
          <x:t xml:space="preserve">ProPublica latest 2024 filing table</x:t>
        </x:is>
      </x:c>
      <x:c r="Q139" s="13" t="inlineStr">
        <x:is>
          <x:t xml:space="preserve">Cash proxy arithmetic and total-proxy arithmetic validated; source-native IRS XML could not be archived in this environment.</x:t>
        </x:is>
      </x:c>
    </x:row>
    <x:row r="140">
      <x:c r="A140" s="12" t="inlineStr">
        <x:is>
          <x:t xml:space="preserve">SRC-990-EXT-NUMFOCUS</x:t>
        </x:is>
      </x:c>
      <x:c r="B140" s="12" t="inlineStr">
        <x:is>
          <x:t xml:space="preserve">NumFOCUS</x:t>
        </x:is>
      </x:c>
      <x:c r="C140" s="12" t="inlineStr">
        <x:is>
          <x:t xml:space="preserve">Form 990 filing-derived snapshot</x:t>
        </x:is>
      </x:c>
      <x:c r="D140" s="16" t="inlineStr">
        <x:is>
          <x:t xml:space="preserve">https://apps.irs.gov/pub/epostcard/990/xml/2025/202512979349301136_public.xml</x:t>
        </x:is>
      </x:c>
      <x:c r="E140" s="16" t="inlineStr">
        <x:is>
          <x:t xml:space="preserve">https://projects.propublica.org/nonprofits/organizations/454547709</x:t>
        </x:is>
      </x:c>
      <x:c r="F140" s="12" t="inlineStr">
        <x:is>
          <x:t xml:space="preserve">2026-08-25</x:t>
        </x:is>
      </x:c>
      <x:c r="G140" s="17" t="inlineStr">
        <x:is>
          <x:t xml:space="preserve">sources/raw/src-990-ext-numfocus.txt</x:t>
        </x:is>
      </x:c>
      <x:c r="H140" s="12" t="inlineStr">
        <x:is>
          <x:t xml:space="preserve">text/plain; charset=utf-8</x:t>
        </x:is>
      </x:c>
      <x:c r="I140" s="12" t="n">
        <x:v>1953</x:v>
      </x:c>
      <x:c r="J140" s="13" t="inlineStr">
        <x:is>
          <x:t xml:space="preserve">f42092efab8cce6d011504f9c537b653e998f6bd4658f3ec6fb354e063744738</x:t>
        </x:is>
      </x:c>
      <x:c r="K140" s="12" t="inlineStr">
        <x:is>
          <x:t xml:space="preserve">2024-01-01 to 2024-12-31</x:t>
        </x:is>
      </x:c>
      <x:c r="L140" s="12" t="inlineStr">
        <x:is>
          <x:t xml:space="preserve">45-4547709</x:t>
        </x:is>
      </x:c>
      <x:c r="M140" s="12" t="inlineStr">
        <x:is>
          <x:t xml:space="preserve">202512979349301136</x:t>
        </x:is>
      </x:c>
      <x:c r="N140" s="12" t="inlineStr">
        <x:is>
          <x:t xml:space="preserve">official filing-derived derivative</x:t>
        </x:is>
      </x:c>
      <x:c r="O140" s="13" t="inlineStr">
        <x:is>
          <x:t xml:space="preserve">Official IRS filing identifier; ProPublica used for navigation/corroboration</x:t>
        </x:is>
      </x:c>
      <x:c r="P140" s="13" t="inlineStr">
        <x:is>
          <x:t xml:space="preserve">ProPublica filing-derived table and XML link; browser source turn509907view0 lines 23-91.</x:t>
        </x:is>
      </x:c>
      <x:c r="Q140" s="13" t="inlineStr">
        <x:is>
          <x:t xml:space="preserve">Cash proxy arithmetic and total-proxy arithmetic validated; source-native IRS XML could not be archived in this environment.</x:t>
        </x:is>
      </x:c>
    </x:row>
    <x:row r="141">
      <x:c r="A141" s="12" t="inlineStr">
        <x:is>
          <x:t xml:space="preserve">SRC-990-EXT-ORCID</x:t>
        </x:is>
      </x:c>
      <x:c r="B141" s="12" t="inlineStr">
        <x:is>
          <x:t xml:space="preserve">ORCID</x:t>
        </x:is>
      </x:c>
      <x:c r="C141" s="12" t="inlineStr">
        <x:is>
          <x:t xml:space="preserve">Form 990 filing-derived snapshot</x:t>
        </x:is>
      </x:c>
      <x:c r="D141" s="16" t="inlineStr">
        <x:is>
          <x:t xml:space="preserve">https://apps.irs.gov/pub/epostcard/990/xml/2025/202501769349301020_public.xml</x:t>
        </x:is>
      </x:c>
      <x:c r="E141" s="16" t="inlineStr">
        <x:is>
          <x:t xml:space="preserve">https://projects.propublica.org/nonprofits/organizations/275142743</x:t>
        </x:is>
      </x:c>
      <x:c r="F141" s="12" t="inlineStr">
        <x:is>
          <x:t xml:space="preserve">2026-08-25</x:t>
        </x:is>
      </x:c>
      <x:c r="G141" s="17" t="inlineStr">
        <x:is>
          <x:t xml:space="preserve">sources/raw/src-990-ext-orcid.txt</x:t>
        </x:is>
      </x:c>
      <x:c r="H141" s="12" t="inlineStr">
        <x:is>
          <x:t xml:space="preserve">text/plain; charset=utf-8</x:t>
        </x:is>
      </x:c>
      <x:c r="I141" s="12" t="n">
        <x:v>1834</x:v>
      </x:c>
      <x:c r="J141" s="13" t="inlineStr">
        <x:is>
          <x:t xml:space="preserve">76817ef8d9d052cc9b26b22f79808d29d7b7389c07edbe4106edb0c4b74d63b9</x:t>
        </x:is>
      </x:c>
      <x:c r="K141" s="12" t="inlineStr">
        <x:is>
          <x:t xml:space="preserve">2024-01-01 to 2024-12-31</x:t>
        </x:is>
      </x:c>
      <x:c r="L141" s="12" t="inlineStr">
        <x:is>
          <x:t xml:space="preserve">27-5142743</x:t>
        </x:is>
      </x:c>
      <x:c r="M141" s="12" t="inlineStr">
        <x:is>
          <x:t xml:space="preserve">202501769349301020</x:t>
        </x:is>
      </x:c>
      <x:c r="N141" s="12" t="inlineStr">
        <x:is>
          <x:t xml:space="preserve">official filing-derived derivative</x:t>
        </x:is>
      </x:c>
      <x:c r="O141" s="13" t="inlineStr">
        <x:is>
          <x:t xml:space="preserve">Official IRS filing identifier; ProPublica used for navigation/corroboration</x:t>
        </x:is>
      </x:c>
      <x:c r="P141" s="13" t="inlineStr">
        <x:is>
          <x:t xml:space="preserve">ProPublica filing-derived table and XML link; browser source turn933533view1 lines 22-90.</x:t>
        </x:is>
      </x:c>
      <x:c r="Q141" s="13" t="inlineStr">
        <x:is>
          <x:t xml:space="preserve">Cash proxy arithmetic and total-proxy arithmetic validated; source-native IRS XML could not be archived in this environment.</x:t>
        </x:is>
      </x:c>
    </x:row>
    <x:row r="142">
      <x:c r="A142" s="12" t="inlineStr">
        <x:is>
          <x:t xml:space="preserve">SRC-990-EXT-OPEN-MARKETS-INSTITUTE</x:t>
        </x:is>
      </x:c>
      <x:c r="B142" s="12" t="inlineStr">
        <x:is>
          <x:t xml:space="preserve">Open Markets Institute</x:t>
        </x:is>
      </x:c>
      <x:c r="C142" s="12" t="inlineStr">
        <x:is>
          <x:t xml:space="preserve">Form 990 filing-derived snapshot</x:t>
        </x:is>
      </x:c>
      <x:c r="D142" s="16" t="inlineStr">
        <x:is>
          <x:t xml:space="preserve">https://apps.irs.gov/pub/epostcard/990/xml/2025/202533209349300548_public.xml</x:t>
        </x:is>
      </x:c>
      <x:c r="E142" s="16" t="inlineStr">
        <x:is>
          <x:t xml:space="preserve">https://projects.propublica.org/nonprofits/organizations/822529375</x:t>
        </x:is>
      </x:c>
      <x:c r="F142" s="12" t="inlineStr">
        <x:is>
          <x:t xml:space="preserve">2026-08-25</x:t>
        </x:is>
      </x:c>
      <x:c r="G142" s="16" t="inlineStr">
        <x:is>
          <x:t xml:space="preserve">sources/raw/src-990-ext-open-markets-institute.txt</x:t>
        </x:is>
      </x:c>
      <x:c r="H142" s="12" t="inlineStr">
        <x:is>
          <x:t xml:space="preserve">text/plain; charset=utf-8</x:t>
        </x:is>
      </x:c>
      <x:c r="I142" s="12" t="n">
        <x:v>1821</x:v>
      </x:c>
      <x:c r="J142" s="13" t="inlineStr">
        <x:is>
          <x:t xml:space="preserve">49cc43ddeb5aede450d3474a28f0989c50dc7a02fd2396a021d354b10973c6d6</x:t>
        </x:is>
      </x:c>
      <x:c r="K142" s="12" t="inlineStr">
        <x:is>
          <x:t xml:space="preserve">2024-01-01 to 2024-12-31</x:t>
        </x:is>
      </x:c>
      <x:c r="L142" s="12" t="inlineStr">
        <x:is>
          <x:t xml:space="preserve">82-2529375</x:t>
        </x:is>
      </x:c>
      <x:c r="M142" s="12" t="inlineStr">
        <x:is>
          <x:t xml:space="preserve">202533209349300548</x:t>
        </x:is>
      </x:c>
      <x:c r="N142" s="12" t="inlineStr">
        <x:is>
          <x:t xml:space="preserve">official filing-derived derivative</x:t>
        </x:is>
      </x:c>
      <x:c r="O142" s="13" t="inlineStr">
        <x:is>
          <x:t xml:space="preserve">Official IRS filing identifier; ProPublica used for navigation/corroboration</x:t>
        </x:is>
      </x:c>
      <x:c r="P142" s="13" t="inlineStr">
        <x:is>
          <x:t xml:space="preserve">ProPublica filing-derived table lines 21-90; IRS object ID from XML link</x:t>
        </x:is>
      </x:c>
      <x:c r="Q142" s="13" t="inlineStr">
        <x:is>
          <x:t xml:space="preserve">Cash proxy arithmetic and total-proxy arithmetic validated; source-native IRS XML could not be archived in this environment.</x:t>
        </x:is>
      </x:c>
    </x:row>
    <x:row r="143">
      <x:c r="A143" s="12" t="inlineStr">
        <x:is>
          <x:t xml:space="preserve">SRC-990-EXT-OPEN-SOURCE-INITIATIVE</x:t>
        </x:is>
      </x:c>
      <x:c r="B143" s="12" t="inlineStr">
        <x:is>
          <x:t xml:space="preserve">Open Source Initiative</x:t>
        </x:is>
      </x:c>
      <x:c r="C143" s="12" t="inlineStr">
        <x:is>
          <x:t xml:space="preserve">Form 990 filing-derived snapshot</x:t>
        </x:is>
      </x:c>
      <x:c r="D143" s="16" t="inlineStr">
        <x:is>
          <x:t xml:space="preserve">https://apps.irs.gov/pub/epostcard/990/xml/2025/202533079349301473_public.xml</x:t>
        </x:is>
      </x:c>
      <x:c r="E143" s="16" t="inlineStr">
        <x:is>
          <x:t xml:space="preserve">https://projects.propublica.org/nonprofits/organizations/912037395</x:t>
        </x:is>
      </x:c>
      <x:c r="F143" s="12" t="inlineStr">
        <x:is>
          <x:t xml:space="preserve">2026-08-25</x:t>
        </x:is>
      </x:c>
      <x:c r="G143" s="16" t="inlineStr">
        <x:is>
          <x:t xml:space="preserve">sources/raw/src-990-ext-open-source-initiative.txt</x:t>
        </x:is>
      </x:c>
      <x:c r="H143" s="12" t="inlineStr">
        <x:is>
          <x:t xml:space="preserve">text/plain; charset=utf-8</x:t>
        </x:is>
      </x:c>
      <x:c r="I143" s="12" t="n">
        <x:v>1890</x:v>
      </x:c>
      <x:c r="J143" s="13" t="inlineStr">
        <x:is>
          <x:t xml:space="preserve">1f369506150d329d48566b078a0eec542f27fdd1146daef3bcae2c7cbc838f94</x:t>
        </x:is>
      </x:c>
      <x:c r="K143" s="12" t="inlineStr">
        <x:is>
          <x:t xml:space="preserve">2024-01-01 to 2024-12-31</x:t>
        </x:is>
      </x:c>
      <x:c r="L143" s="12" t="inlineStr">
        <x:is>
          <x:t xml:space="preserve">91-2037395</x:t>
        </x:is>
      </x:c>
      <x:c r="M143" s="12" t="inlineStr">
        <x:is>
          <x:t xml:space="preserve">202533079349301473</x:t>
        </x:is>
      </x:c>
      <x:c r="N143" s="12" t="inlineStr">
        <x:is>
          <x:t xml:space="preserve">official filing-derived derivative</x:t>
        </x:is>
      </x:c>
      <x:c r="O143" s="13" t="inlineStr">
        <x:is>
          <x:t xml:space="preserve">Official IRS filing identifier; ProPublica used for navigation/corroboration</x:t>
        </x:is>
      </x:c>
      <x:c r="P143" s="13" t="inlineStr">
        <x:is>
          <x:t xml:space="preserve">ProPublica filing-derived table and XML link; browser source turn509907view2 lines 21-89.</x:t>
        </x:is>
      </x:c>
      <x:c r="Q143" s="13" t="inlineStr">
        <x:is>
          <x:t xml:space="preserve">Cash proxy arithmetic and total-proxy arithmetic validated; source-native IRS XML could not be archived in this environment.</x:t>
        </x:is>
      </x:c>
    </x:row>
    <x:row r="144">
      <x:c r="A144" s="12" t="inlineStr">
        <x:is>
          <x:t xml:space="preserve">SRC-990-EXT-OPEN-TECHNOLOGY-FUND</x:t>
        </x:is>
      </x:c>
      <x:c r="B144" s="12" t="inlineStr">
        <x:is>
          <x:t xml:space="preserve">Open Technology Fund</x:t>
        </x:is>
      </x:c>
      <x:c r="C144" s="12" t="inlineStr">
        <x:is>
          <x:t xml:space="preserve">Form 990 filing-derived snapshot</x:t>
        </x:is>
      </x:c>
      <x:c r="D144" s="16" t="inlineStr">
        <x:is>
          <x:t xml:space="preserve">https://apps.irs.gov/pub/epostcard/990/xml/2025/202502249349302770_public.xml</x:t>
        </x:is>
      </x:c>
      <x:c r="E144" s="16" t="inlineStr">
        <x:is>
          <x:t xml:space="preserve">https://projects.propublica.org/nonprofits/organizations/843126447</x:t>
        </x:is>
      </x:c>
      <x:c r="F144" s="12" t="inlineStr">
        <x:is>
          <x:t xml:space="preserve">2026-08-25</x:t>
        </x:is>
      </x:c>
      <x:c r="G144" s="16" t="inlineStr">
        <x:is>
          <x:t xml:space="preserve">sources/raw/src-990-ext-open-technology-fund.txt</x:t>
        </x:is>
      </x:c>
      <x:c r="H144" s="12" t="inlineStr">
        <x:is>
          <x:t xml:space="preserve">text/plain; charset=utf-8</x:t>
        </x:is>
      </x:c>
      <x:c r="I144" s="12" t="n">
        <x:v>1965</x:v>
      </x:c>
      <x:c r="J144" s="13" t="inlineStr">
        <x:is>
          <x:t xml:space="preserve">bbb4ab8219a830c44340bda3f669a8fd54dc8e5e9d5ffc8ca371513d79a079cc</x:t>
        </x:is>
      </x:c>
      <x:c r="K144" s="12" t="inlineStr">
        <x:is>
          <x:t xml:space="preserve">2023-10-01 to 2024-09-30</x:t>
        </x:is>
      </x:c>
      <x:c r="L144" s="12" t="inlineStr">
        <x:is>
          <x:t xml:space="preserve">84-3126447</x:t>
        </x:is>
      </x:c>
      <x:c r="M144" s="12" t="inlineStr">
        <x:is>
          <x:t xml:space="preserve">202502249349302770</x:t>
        </x:is>
      </x:c>
      <x:c r="N144" s="12" t="inlineStr">
        <x:is>
          <x:t xml:space="preserve">official filing-derived derivative</x:t>
        </x:is>
      </x:c>
      <x:c r="O144" s="13" t="inlineStr">
        <x:is>
          <x:t xml:space="preserve">Official IRS filing identifier; ProPublica used for navigation/corroboration</x:t>
        </x:is>
      </x:c>
      <x:c r="P144" s="13" t="inlineStr">
        <x:is>
          <x:t xml:space="preserve">ProPublica filing-derived table; official IRS object ID identified from XML link; browser source turn906101view0.</x:t>
        </x:is>
      </x:c>
      <x:c r="Q144" s="13" t="inlineStr">
        <x:is>
          <x:t xml:space="preserve">Cash proxy arithmetic and total-proxy arithmetic validated; source-native IRS XML could not be archived in this environment.</x:t>
        </x:is>
      </x:c>
    </x:row>
    <x:row r="145">
      <x:c r="A145" s="12" t="inlineStr">
        <x:is>
          <x:t xml:space="preserve">SRC-990-EXT-OPENSECRETS</x:t>
        </x:is>
      </x:c>
      <x:c r="B145" s="12" t="inlineStr">
        <x:is>
          <x:t xml:space="preserve">OpenSecrets</x:t>
        </x:is>
      </x:c>
      <x:c r="C145" s="12" t="inlineStr">
        <x:is>
          <x:t xml:space="preserve">Form 990 filing-derived snapshot</x:t>
        </x:is>
      </x:c>
      <x:c r="D145" s="16" t="inlineStr">
        <x:is>
          <x:t xml:space="preserve">https://apps.irs.gov/pub/epostcard/990/xml/2026/202631979349301803_public.xml</x:t>
        </x:is>
      </x:c>
      <x:c r="E145" s="16" t="inlineStr">
        <x:is>
          <x:t xml:space="preserve">https://projects.propublica.org/nonprofits/organizations/521275227</x:t>
        </x:is>
      </x:c>
      <x:c r="F145" s="12" t="inlineStr">
        <x:is>
          <x:t xml:space="preserve">2026-08-25</x:t>
        </x:is>
      </x:c>
      <x:c r="G145" s="17" t="inlineStr">
        <x:is>
          <x:t xml:space="preserve">sources/raw/src-990-ext-opensecrets.txt</x:t>
        </x:is>
      </x:c>
      <x:c r="H145" s="12" t="inlineStr">
        <x:is>
          <x:t xml:space="preserve">text/plain; charset=utf-8</x:t>
        </x:is>
      </x:c>
      <x:c r="I145" s="12" t="n">
        <x:v>1865</x:v>
      </x:c>
      <x:c r="J145" s="13" t="inlineStr">
        <x:is>
          <x:t xml:space="preserve">c9fe6e5bfc634b2101675784ba8ded0b6d63e574b6efcb66acea445ed87032f2</x:t>
        </x:is>
      </x:c>
      <x:c r="K145" s="12" t="inlineStr">
        <x:is>
          <x:t xml:space="preserve">2025-01-01 to 2025-12-31</x:t>
        </x:is>
      </x:c>
      <x:c r="L145" s="12" t="inlineStr">
        <x:is>
          <x:t xml:space="preserve">52-1275227</x:t>
        </x:is>
      </x:c>
      <x:c r="M145" s="12" t="inlineStr">
        <x:is>
          <x:t xml:space="preserve">202631979349301803</x:t>
        </x:is>
      </x:c>
      <x:c r="N145" s="12" t="inlineStr">
        <x:is>
          <x:t xml:space="preserve">official filing-derived derivative</x:t>
        </x:is>
      </x:c>
      <x:c r="O145" s="13" t="inlineStr">
        <x:is>
          <x:t xml:space="preserve">Official IRS filing identifier; ProPublica used for navigation/corroboration</x:t>
        </x:is>
      </x:c>
      <x:c r="P145" s="13" t="inlineStr">
        <x:is>
          <x:t xml:space="preserve">ProPublica filing-derived table and XML link; browser source turn933533view2 lines 21-89.</x:t>
        </x:is>
      </x:c>
      <x:c r="Q145" s="13" t="inlineStr">
        <x:is>
          <x:t xml:space="preserve">Cash proxy arithmetic and total-proxy arithmetic validated; source-native IRS XML could not be archived in this environment.</x:t>
        </x:is>
      </x:c>
    </x:row>
    <x:row r="146">
      <x:c r="A146" s="12" t="inlineStr">
        <x:is>
          <x:t xml:space="preserve">SRC-990-EXT-PEAK-GRANTMAKING</x:t>
        </x:is>
      </x:c>
      <x:c r="B146" s="12" t="inlineStr">
        <x:is>
          <x:t xml:space="preserve">PEAK Grantmaking</x:t>
        </x:is>
      </x:c>
      <x:c r="C146" s="12" t="inlineStr">
        <x:is>
          <x:t xml:space="preserve">Form 990 filing-derived snapshot</x:t>
        </x:is>
      </x:c>
      <x:c r="D146" s="16" t="inlineStr">
        <x:is>
          <x:t xml:space="preserve">https://apps.irs.gov/pub/epostcard/990/xml/2025/202511219349301641_public.xml</x:t>
        </x:is>
      </x:c>
      <x:c r="E146" s="16" t="inlineStr">
        <x:is>
          <x:t xml:space="preserve">https://projects.propublica.org/nonprofits/organizations/743158155</x:t>
        </x:is>
      </x:c>
      <x:c r="F146" s="12" t="inlineStr">
        <x:is>
          <x:t xml:space="preserve">2026-08-25</x:t>
        </x:is>
      </x:c>
      <x:c r="G146" s="17" t="inlineStr">
        <x:is>
          <x:t xml:space="preserve">sources/raw/src-990-ext-peak-grantmaking.txt</x:t>
        </x:is>
      </x:c>
      <x:c r="H146" s="12" t="inlineStr">
        <x:is>
          <x:t xml:space="preserve">text/plain; charset=utf-8</x:t>
        </x:is>
      </x:c>
      <x:c r="I146" s="12" t="n">
        <x:v>1685</x:v>
      </x:c>
      <x:c r="J146" s="13" t="inlineStr">
        <x:is>
          <x:t xml:space="preserve">edd1b52f404247104eec5add7faebcd5db28f2e07f34e40a04c4da692874ed24</x:t>
        </x:is>
      </x:c>
      <x:c r="K146" s="12" t="inlineStr">
        <x:is>
          <x:t xml:space="preserve">2024-01-01 to 2024-12-31</x:t>
        </x:is>
      </x:c>
      <x:c r="L146" s="12" t="inlineStr">
        <x:is>
          <x:t xml:space="preserve">74-3158155</x:t>
        </x:is>
      </x:c>
      <x:c r="M146" s="12" t="inlineStr">
        <x:is>
          <x:t xml:space="preserve">202511219349301641</x:t>
        </x:is>
      </x:c>
      <x:c r="N146" s="12" t="inlineStr">
        <x:is>
          <x:t xml:space="preserve">official filing-derived derivative</x:t>
        </x:is>
      </x:c>
      <x:c r="O146" s="13" t="inlineStr">
        <x:is>
          <x:t xml:space="preserve">Official IRS filing identifier; ProPublica used for navigation/corroboration</x:t>
        </x:is>
      </x:c>
      <x:c r="P146" s="12" t="inlineStr">
        <x:is>
          <x:t xml:space="preserve">ProPublica latest 2024 filing table</x:t>
        </x:is>
      </x:c>
      <x:c r="Q146" s="13" t="inlineStr">
        <x:is>
          <x:t xml:space="preserve">Cash proxy arithmetic and total-proxy arithmetic validated; source-native IRS XML could not be archived in this environment.</x:t>
        </x:is>
      </x:c>
    </x:row>
    <x:row r="147">
      <x:c r="A147" s="12" t="inlineStr">
        <x:is>
          <x:t xml:space="preserve">SRC-990-EXT-PARTNERSHIP-ON-AI</x:t>
        </x:is>
      </x:c>
      <x:c r="B147" s="12" t="inlineStr">
        <x:is>
          <x:t xml:space="preserve">Partnership on AI</x:t>
        </x:is>
      </x:c>
      <x:c r="C147" s="12" t="inlineStr">
        <x:is>
          <x:t xml:space="preserve">Form 990 filing-derived snapshot</x:t>
        </x:is>
      </x:c>
      <x:c r="D147" s="16" t="inlineStr">
        <x:is>
          <x:t xml:space="preserve">https://apps.irs.gov/pub/epostcard/990/xml/2025/202543219349322709_public.xml</x:t>
        </x:is>
      </x:c>
      <x:c r="E147" s="16" t="inlineStr">
        <x:is>
          <x:t xml:space="preserve">https://projects.propublica.org/nonprofits/organizations/320518917</x:t>
        </x:is>
      </x:c>
      <x:c r="F147" s="12" t="inlineStr">
        <x:is>
          <x:t xml:space="preserve">2026-08-25</x:t>
        </x:is>
      </x:c>
      <x:c r="G147" s="17" t="inlineStr">
        <x:is>
          <x:t xml:space="preserve">sources/raw/src-990-ext-partnership-on-ai.txt</x:t>
        </x:is>
      </x:c>
      <x:c r="H147" s="12" t="inlineStr">
        <x:is>
          <x:t xml:space="preserve">text/plain; charset=utf-8</x:t>
        </x:is>
      </x:c>
      <x:c r="I147" s="12" t="n">
        <x:v>1886</x:v>
      </x:c>
      <x:c r="J147" s="13" t="inlineStr">
        <x:is>
          <x:t xml:space="preserve">d6579d468831b2a8e0d8caeae04aeb3ea95cb0c9de72748c5d1c4a97e04d04ff</x:t>
        </x:is>
      </x:c>
      <x:c r="K147" s="12" t="inlineStr">
        <x:is>
          <x:t xml:space="preserve">2024-01-01 to 2024-12-31</x:t>
        </x:is>
      </x:c>
      <x:c r="L147" s="12" t="inlineStr">
        <x:is>
          <x:t xml:space="preserve">32-0518917</x:t>
        </x:is>
      </x:c>
      <x:c r="M147" s="12" t="inlineStr">
        <x:is>
          <x:t xml:space="preserve">202543219349322709</x:t>
        </x:is>
      </x:c>
      <x:c r="N147" s="12" t="inlineStr">
        <x:is>
          <x:t xml:space="preserve">official filing-derived derivative</x:t>
        </x:is>
      </x:c>
      <x:c r="O147" s="13" t="inlineStr">
        <x:is>
          <x:t xml:space="preserve">Official IRS filing identifier; ProPublica used for navigation/corroboration</x:t>
        </x:is>
      </x:c>
      <x:c r="P147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47" s="13" t="inlineStr">
        <x:is>
          <x:t xml:space="preserve">Cash proxy arithmetic and total-proxy arithmetic validated; source-native IRS XML could not be archived in this environment.</x:t>
        </x:is>
      </x:c>
    </x:row>
    <x:row r="148">
      <x:c r="A148" s="12" t="inlineStr">
        <x:is>
          <x:t xml:space="preserve">SRC-990-PAI-2024</x:t>
        </x:is>
      </x:c>
      <x:c r="B148" s="12" t="inlineStr">
        <x:is>
          <x:t xml:space="preserve">Partnership on AI</x:t>
        </x:is>
      </x:c>
      <x:c r="C148" s="12" t="inlineStr">
        <x:is>
          <x:t xml:space="preserve">Form 990 filing-derived snapshot</x:t>
        </x:is>
      </x:c>
      <x:c r="D148" s="16" t="inlineStr">
        <x:is>
          <x:t xml:space="preserve">https://apps.irs.gov/pub/epostcard/990/xml/2025/202543219349322709_public.xml</x:t>
        </x:is>
      </x:c>
      <x:c r="E148" s="16" t="inlineStr">
        <x:is>
          <x:t xml:space="preserve">https://projects.propublica.org/nonprofits/organizations/320518917</x:t>
        </x:is>
      </x:c>
      <x:c r="F148" s="12" t="inlineStr">
        <x:is>
          <x:t xml:space="preserve">2026-08-17T18:45:00-07:00</x:t>
        </x:is>
      </x:c>
      <x:c r="G148" s="17" t="inlineStr">
        <x:is>
          <x:t xml:space="preserve">sources/raw/src-990-pai-2024.txt</x:t>
        </x:is>
      </x:c>
      <x:c r="H148" s="12" t="inlineStr">
        <x:is>
          <x:t xml:space="preserve">text/plain; charset=utf-8</x:t>
        </x:is>
      </x:c>
      <x:c r="I148" s="12" t="n">
        <x:v>1662</x:v>
      </x:c>
      <x:c r="J148" s="13" t="inlineStr">
        <x:is>
          <x:t xml:space="preserve">2794250ff343ecdd7bc042d724a30f018b78efef6e438db44b5e7ca19d9da801</x:t>
        </x:is>
      </x:c>
      <x:c r="K148" s="12" t="inlineStr">
        <x:is>
          <x:t xml:space="preserve">2024-01-01 to 2024-12-31</x:t>
        </x:is>
      </x:c>
      <x:c r="L148" s="12" t="inlineStr">
        <x:is>
          <x:t xml:space="preserve">32-0518917</x:t>
        </x:is>
      </x:c>
      <x:c r="M148" s="12" t="inlineStr">
        <x:is>
          <x:t xml:space="preserve">202543219349322709</x:t>
        </x:is>
      </x:c>
      <x:c r="N148" s="12" t="inlineStr">
        <x:is>
          <x:t xml:space="preserve">derivative</x:t>
        </x:is>
      </x:c>
      <x:c r="O148" s="13" t="inlineStr">
        <x:is>
          <x:t xml:space="preserve">official filing via IRS; browser rendering via ProPublica where available</x:t>
        </x:is>
      </x:c>
      <x:c r="P148" s="12" t="inlineStr">
        <x:is>
          <x:t xml:space="preserve">turn787259view2 L21-L96</x:t>
        </x:is>
      </x:c>
      <x:c r="Q148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49">
      <x:c r="A149" s="13" t="inlineStr">
        <x:is>
          <x:t xml:space="preserve">SRC-990-EXT-PETERSON-INSTITUTE-FOR-INTERNATIONAL-ECONOMICS</x:t>
        </x:is>
      </x:c>
      <x:c r="B149" s="13" t="inlineStr">
        <x:is>
          <x:t xml:space="preserve">Peterson Institute for International Economics</x:t>
        </x:is>
      </x:c>
      <x:c r="C149" s="12" t="inlineStr">
        <x:is>
          <x:t xml:space="preserve">Form 990 filing-derived snapshot</x:t>
        </x:is>
      </x:c>
      <x:c r="D149" s="16" t="inlineStr">
        <x:is>
          <x:t xml:space="preserve">https://apps.irs.gov/pub/epostcard/990/xml/2026/202611189349300636_public.xml</x:t>
        </x:is>
      </x:c>
      <x:c r="E149" s="16" t="inlineStr">
        <x:is>
          <x:t xml:space="preserve">https://projects.propublica.org/nonprofits/organizations/521226967</x:t>
        </x:is>
      </x:c>
      <x:c r="F149" s="12" t="inlineStr">
        <x:is>
          <x:t xml:space="preserve">2026-08-25</x:t>
        </x:is>
      </x:c>
      <x:c r="G149" s="16" t="inlineStr">
        <x:is>
          <x:t xml:space="preserve">sources/raw/src-990-ext-peterson-institute-for-international-economics.txt</x:t>
        </x:is>
      </x:c>
      <x:c r="H149" s="12" t="inlineStr">
        <x:is>
          <x:t xml:space="preserve">text/plain; charset=utf-8</x:t>
        </x:is>
      </x:c>
      <x:c r="I149" s="12" t="n">
        <x:v>1759</x:v>
      </x:c>
      <x:c r="J149" s="13" t="inlineStr">
        <x:is>
          <x:t xml:space="preserve">f548fe6d6b78fad50b355c9dc9a9a58382400eef95c190abcd78056610e30bc8</x:t>
        </x:is>
      </x:c>
      <x:c r="K149" s="12" t="inlineStr">
        <x:is>
          <x:t xml:space="preserve">2024-07-01 to 2025-06-30</x:t>
        </x:is>
      </x:c>
      <x:c r="L149" s="12" t="inlineStr">
        <x:is>
          <x:t xml:space="preserve">52-1226967</x:t>
        </x:is>
      </x:c>
      <x:c r="M149" s="12" t="inlineStr">
        <x:is>
          <x:t xml:space="preserve">202611189349300636</x:t>
        </x:is>
      </x:c>
      <x:c r="N149" s="12" t="inlineStr">
        <x:is>
          <x:t xml:space="preserve">official filing-derived derivative</x:t>
        </x:is>
      </x:c>
      <x:c r="O149" s="13" t="inlineStr">
        <x:is>
          <x:t xml:space="preserve">Official IRS filing identifier; ProPublica used for navigation/corroboration</x:t>
        </x:is>
      </x:c>
      <x:c r="P149" s="12" t="inlineStr">
        <x:is>
          <x:t xml:space="preserve">ProPublica latest FY2025 filing table</x:t>
        </x:is>
      </x:c>
      <x:c r="Q149" s="13" t="inlineStr">
        <x:is>
          <x:t xml:space="preserve">Cash proxy arithmetic and total-proxy arithmetic validated; source-native IRS XML could not be archived in this environment.</x:t>
        </x:is>
      </x:c>
    </x:row>
    <x:row r="150">
      <x:c r="A150" s="13" t="inlineStr">
        <x:is>
          <x:t xml:space="preserve">SRC-990-EXT-PHYSICIANS-COMMITTEE-FOR-RESPONSIBLE-MEDICINE</x:t>
        </x:is>
      </x:c>
      <x:c r="B150" s="12" t="inlineStr">
        <x:is>
          <x:t xml:space="preserve">Physicians Committee for Responsible Medicine</x:t>
        </x:is>
      </x:c>
      <x:c r="C150" s="12" t="inlineStr">
        <x:is>
          <x:t xml:space="preserve">Form 990 filing-derived snapshot</x:t>
        </x:is>
      </x:c>
      <x:c r="D150" s="16" t="inlineStr">
        <x:is>
          <x:t xml:space="preserve">https://apps.irs.gov/pub/epostcard/990/xml/2026/202630169349300803_public.xml</x:t>
        </x:is>
      </x:c>
      <x:c r="E150" s="16" t="inlineStr">
        <x:is>
          <x:t xml:space="preserve">https://projects.propublica.org/nonprofits/organizations/521394893</x:t>
        </x:is>
      </x:c>
      <x:c r="F150" s="12" t="inlineStr">
        <x:is>
          <x:t xml:space="preserve">2026-08-25</x:t>
        </x:is>
      </x:c>
      <x:c r="G150" s="16" t="inlineStr">
        <x:is>
          <x:t xml:space="preserve">sources/raw/src-990-ext-physicians-committee-for-responsible-medicine.txt</x:t>
        </x:is>
      </x:c>
      <x:c r="H150" s="12" t="inlineStr">
        <x:is>
          <x:t xml:space="preserve">text/plain; charset=utf-8</x:t>
        </x:is>
      </x:c>
      <x:c r="I150" s="12" t="n">
        <x:v>1853</x:v>
      </x:c>
      <x:c r="J150" s="13" t="inlineStr">
        <x:is>
          <x:t xml:space="preserve">dd5f6aeadb61e40e42274f9b8438f961ba0fe0bfcd87483ae646cc5398d324f9</x:t>
        </x:is>
      </x:c>
      <x:c r="K150" s="12" t="inlineStr">
        <x:is>
          <x:t xml:space="preserve">2024-08-01 to 2025-07-31</x:t>
        </x:is>
      </x:c>
      <x:c r="L150" s="12" t="inlineStr">
        <x:is>
          <x:t xml:space="preserve">52-1394893</x:t>
        </x:is>
      </x:c>
      <x:c r="M150" s="12" t="inlineStr">
        <x:is>
          <x:t xml:space="preserve">202630169349300803</x:t>
        </x:is>
      </x:c>
      <x:c r="N150" s="12" t="inlineStr">
        <x:is>
          <x:t xml:space="preserve">official filing-derived derivative</x:t>
        </x:is>
      </x:c>
      <x:c r="O150" s="13" t="inlineStr">
        <x:is>
          <x:t xml:space="preserve">Official IRS filing identifier; ProPublica used for navigation/corroboration</x:t>
        </x:is>
      </x:c>
      <x:c r="P150" s="12" t="inlineStr">
        <x:is>
          <x:t xml:space="preserve">ProPublica latest FY2025 filing table</x:t>
        </x:is>
      </x:c>
      <x:c r="Q150" s="13" t="inlineStr">
        <x:is>
          <x:t xml:space="preserve">Cash proxy arithmetic and total-proxy arithmetic validated; source-native IRS XML could not be archived in this environment.</x:t>
        </x:is>
      </x:c>
    </x:row>
    <x:row r="151">
      <x:c r="A151" s="13" t="inlineStr">
        <x:is>
          <x:t xml:space="preserve">SRC-990-EXT-PHYSICIANS-FOR-SOCIAL-RESPONSIBILITY</x:t>
        </x:is>
      </x:c>
      <x:c r="B151" s="12" t="inlineStr">
        <x:is>
          <x:t xml:space="preserve">Physicians for Social Responsibility</x:t>
        </x:is>
      </x:c>
      <x:c r="C151" s="12" t="inlineStr">
        <x:is>
          <x:t xml:space="preserve">Form 990 filing-derived snapshot</x:t>
        </x:is>
      </x:c>
      <x:c r="D151" s="16" t="inlineStr">
        <x:is>
          <x:t xml:space="preserve">https://apps.irs.gov/pub/epostcard/990/xml/2025/202512749349301461_public.xml</x:t>
        </x:is>
      </x:c>
      <x:c r="E151" s="16" t="inlineStr">
        <x:is>
          <x:t xml:space="preserve">https://projects.propublica.org/nonprofits/organizations/237059731</x:t>
        </x:is>
      </x:c>
      <x:c r="F151" s="12" t="inlineStr">
        <x:is>
          <x:t xml:space="preserve">2026-08-25</x:t>
        </x:is>
      </x:c>
      <x:c r="G151" s="16" t="inlineStr">
        <x:is>
          <x:t xml:space="preserve">sources/raw/src-990-ext-physicians-for-social-responsibility.txt</x:t>
        </x:is>
      </x:c>
      <x:c r="H151" s="12" t="inlineStr">
        <x:is>
          <x:t xml:space="preserve">text/plain; charset=utf-8</x:t>
        </x:is>
      </x:c>
      <x:c r="I151" s="12" t="n">
        <x:v>1966</x:v>
      </x:c>
      <x:c r="J151" s="13" t="inlineStr">
        <x:is>
          <x:t xml:space="preserve">7f0cbf87a247c56f51ed8f4cf084361f7616ac184510e94c477dc00ecda75deb</x:t>
        </x:is>
      </x:c>
      <x:c r="K151" s="12" t="inlineStr">
        <x:is>
          <x:t xml:space="preserve">2024-01-01 to 2024-12-31</x:t>
        </x:is>
      </x:c>
      <x:c r="L151" s="12" t="inlineStr">
        <x:is>
          <x:t xml:space="preserve">23-7059731</x:t>
        </x:is>
      </x:c>
      <x:c r="M151" s="12" t="inlineStr">
        <x:is>
          <x:t xml:space="preserve">202512749349301461</x:t>
        </x:is>
      </x:c>
      <x:c r="N151" s="12" t="inlineStr">
        <x:is>
          <x:t xml:space="preserve">official filing-derived derivative</x:t>
        </x:is>
      </x:c>
      <x:c r="O151" s="13" t="inlineStr">
        <x:is>
          <x:t xml:space="preserve">Official IRS filing identifier; ProPublica used for navigation/corroboration</x:t>
        </x:is>
      </x:c>
      <x:c r="P151" s="13" t="inlineStr">
        <x:is>
          <x:t xml:space="preserve">ProPublica filing-derived table; official IRS object ID identified from XML link; browser source turn682727view1.</x:t>
        </x:is>
      </x:c>
      <x:c r="Q151" s="13" t="inlineStr">
        <x:is>
          <x:t xml:space="preserve">Cash proxy arithmetic and total-proxy arithmetic validated; source-native IRS XML could not be archived in this environment.</x:t>
        </x:is>
      </x:c>
    </x:row>
    <x:row r="152">
      <x:c r="A152" s="12" t="inlineStr">
        <x:is>
          <x:t xml:space="preserve">SRC-990-EXT-PLOUGHSHARES-FUND</x:t>
        </x:is>
      </x:c>
      <x:c r="B152" s="12" t="inlineStr">
        <x:is>
          <x:t xml:space="preserve">Ploughshares Fund</x:t>
        </x:is>
      </x:c>
      <x:c r="C152" s="12" t="inlineStr">
        <x:is>
          <x:t xml:space="preserve">Form 990 filing-derived snapshot</x:t>
        </x:is>
      </x:c>
      <x:c r="D152" s="16" t="inlineStr">
        <x:is>
          <x:t xml:space="preserve">https://apps.irs.gov/pub/epostcard/990/xml/2026/202620979349300102_public.xml</x:t>
        </x:is>
      </x:c>
      <x:c r="E152" s="16" t="inlineStr">
        <x:is>
          <x:t xml:space="preserve">https://projects.propublica.org/nonprofits/organizations/942764520</x:t>
        </x:is>
      </x:c>
      <x:c r="F152" s="12" t="inlineStr">
        <x:is>
          <x:t xml:space="preserve">2026-08-25</x:t>
        </x:is>
      </x:c>
      <x:c r="G152" s="17" t="inlineStr">
        <x:is>
          <x:t xml:space="preserve">sources/raw/src-990-ext-ploughshares-fund.txt</x:t>
        </x:is>
      </x:c>
      <x:c r="H152" s="12" t="inlineStr">
        <x:is>
          <x:t xml:space="preserve">text/plain; charset=utf-8</x:t>
        </x:is>
      </x:c>
      <x:c r="I152" s="12" t="n">
        <x:v>1973</x:v>
      </x:c>
      <x:c r="J152" s="13" t="inlineStr">
        <x:is>
          <x:t xml:space="preserve">4358ec3a28e4c477f6cec6dfb41d2ef76cd68d7b686f453a940578e8190e82a1</x:t>
        </x:is>
      </x:c>
      <x:c r="K152" s="12" t="inlineStr">
        <x:is>
          <x:t xml:space="preserve">2024-07-01 to 2025-06-30</x:t>
        </x:is>
      </x:c>
      <x:c r="L152" s="12" t="inlineStr">
        <x:is>
          <x:t xml:space="preserve">94-2764520</x:t>
        </x:is>
      </x:c>
      <x:c r="M152" s="12" t="inlineStr">
        <x:is>
          <x:t xml:space="preserve">202620979349300102</x:t>
        </x:is>
      </x:c>
      <x:c r="N152" s="12" t="inlineStr">
        <x:is>
          <x:t xml:space="preserve">official filing-derived derivative</x:t>
        </x:is>
      </x:c>
      <x:c r="O152" s="13" t="inlineStr">
        <x:is>
          <x:t xml:space="preserve">Official IRS filing identifier; ProPublica used for navigation/corroboration</x:t>
        </x:is>
      </x:c>
      <x:c r="P152" s="13" t="inlineStr">
        <x:is>
          <x:t xml:space="preserve">ProPublica filing-derived table; official IRS object ID identified from XML link; browser source turn798240view0.</x:t>
        </x:is>
      </x:c>
      <x:c r="Q152" s="13" t="inlineStr">
        <x:is>
          <x:t xml:space="preserve">Cash proxy arithmetic and total-proxy arithmetic validated; source-native IRS XML could not be archived in this environment.</x:t>
        </x:is>
      </x:c>
    </x:row>
    <x:row r="153">
      <x:c r="A153" s="12" t="inlineStr">
        <x:is>
          <x:t xml:space="preserve">SRC-990-EXT-POPULATION-REFERENCE-BUREAU</x:t>
        </x:is>
      </x:c>
      <x:c r="B153" s="12" t="inlineStr">
        <x:is>
          <x:t xml:space="preserve">Population Reference Bureau</x:t>
        </x:is>
      </x:c>
      <x:c r="C153" s="12" t="inlineStr">
        <x:is>
          <x:t xml:space="preserve">Form 990 filing-derived snapshot</x:t>
        </x:is>
      </x:c>
      <x:c r="D153" s="16" t="inlineStr">
        <x:is>
          <x:t xml:space="preserve">https://apps.irs.gov/pub/epostcard/990/xml/2025/202501789349301305_public.xml</x:t>
        </x:is>
      </x:c>
      <x:c r="E153" s="16" t="inlineStr">
        <x:is>
          <x:t xml:space="preserve">https://projects.propublica.org/nonprofits/organizations/530214030</x:t>
        </x:is>
      </x:c>
      <x:c r="F153" s="12" t="inlineStr">
        <x:is>
          <x:t xml:space="preserve">2026-08-25</x:t>
        </x:is>
      </x:c>
      <x:c r="G153" s="16" t="inlineStr">
        <x:is>
          <x:t xml:space="preserve">sources/raw/src-990-ext-population-reference-bureau.txt</x:t>
        </x:is>
      </x:c>
      <x:c r="H153" s="12" t="inlineStr">
        <x:is>
          <x:t xml:space="preserve">text/plain; charset=utf-8</x:t>
        </x:is>
      </x:c>
      <x:c r="I153" s="12" t="n">
        <x:v>1912</x:v>
      </x:c>
      <x:c r="J153" s="13" t="inlineStr">
        <x:is>
          <x:t xml:space="preserve">8945b0701be49f1ceb446d9b05e9ce1516b2473893d811739e299ef59c6cdb52</x:t>
        </x:is>
      </x:c>
      <x:c r="K153" s="12" t="inlineStr">
        <x:is>
          <x:t xml:space="preserve">2023-10-01 to 2024-09-30</x:t>
        </x:is>
      </x:c>
      <x:c r="L153" s="12" t="inlineStr">
        <x:is>
          <x:t xml:space="preserve">53-0214030</x:t>
        </x:is>
      </x:c>
      <x:c r="M153" s="12" t="inlineStr">
        <x:is>
          <x:t xml:space="preserve">202501789349301305</x:t>
        </x:is>
      </x:c>
      <x:c r="N153" s="12" t="inlineStr">
        <x:is>
          <x:t xml:space="preserve">official filing-derived derivative</x:t>
        </x:is>
      </x:c>
      <x:c r="O153" s="13" t="inlineStr">
        <x:is>
          <x:t xml:space="preserve">Official IRS filing identifier; ProPublica used for navigation/corroboration</x:t>
        </x:is>
      </x:c>
      <x:c r="P153" s="12" t="inlineStr">
        <x:is>
          <x:t xml:space="preserve">ProPublica FY2024 filing table</x:t>
        </x:is>
      </x:c>
      <x:c r="Q153" s="13" t="inlineStr">
        <x:is>
          <x:t xml:space="preserve">Cash proxy arithmetic and total-proxy arithmetic validated; source-native IRS XML could not be archived in this environment.</x:t>
        </x:is>
      </x:c>
    </x:row>
    <x:row r="154">
      <x:c r="A154" s="12" t="inlineStr">
        <x:is>
          <x:t xml:space="preserve">SRC-990-EXT-PRECISION-DEVELOPMENT</x:t>
        </x:is>
      </x:c>
      <x:c r="B154" s="12" t="inlineStr">
        <x:is>
          <x:t xml:space="preserve">Precision Development</x:t>
        </x:is>
      </x:c>
      <x:c r="C154" s="12" t="inlineStr">
        <x:is>
          <x:t xml:space="preserve">Form 990 filing-derived snapshot</x:t>
        </x:is>
      </x:c>
      <x:c r="D154" s="16" t="inlineStr">
        <x:is>
          <x:t xml:space="preserve">https://apps.irs.gov/pub/epostcard/990/xml/2024/202433199349302193_public.xml</x:t>
        </x:is>
      </x:c>
      <x:c r="E154" s="16" t="inlineStr">
        <x:is>
          <x:t xml:space="preserve">https://projects.propublica.org/nonprofits/organizations/810779400</x:t>
        </x:is>
      </x:c>
      <x:c r="F154" s="12" t="inlineStr">
        <x:is>
          <x:t xml:space="preserve">2026-08-25</x:t>
        </x:is>
      </x:c>
      <x:c r="G154" s="16" t="inlineStr">
        <x:is>
          <x:t xml:space="preserve">sources/raw/src-990-ext-precision-development.txt</x:t>
        </x:is>
      </x:c>
      <x:c r="H154" s="12" t="inlineStr">
        <x:is>
          <x:t xml:space="preserve">text/plain; charset=utf-8</x:t>
        </x:is>
      </x:c>
      <x:c r="I154" s="12" t="n">
        <x:v>1925</x:v>
      </x:c>
      <x:c r="J154" s="13" t="inlineStr">
        <x:is>
          <x:t xml:space="preserve">10c7d8d597b1e6edb5cf7ed8443f6ff413a78bf00b535ebdbe6ccf51bf022736</x:t>
        </x:is>
      </x:c>
      <x:c r="K154" s="12" t="inlineStr">
        <x:is>
          <x:t xml:space="preserve">2023-01-01 to 2023-12-31</x:t>
        </x:is>
      </x:c>
      <x:c r="L154" s="12" t="inlineStr">
        <x:is>
          <x:t xml:space="preserve">81-0779400</x:t>
        </x:is>
      </x:c>
      <x:c r="M154" s="12" t="inlineStr">
        <x:is>
          <x:t xml:space="preserve">202433199349302193</x:t>
        </x:is>
      </x:c>
      <x:c r="N154" s="12" t="inlineStr">
        <x:is>
          <x:t xml:space="preserve">official filing-derived derivative</x:t>
        </x:is>
      </x:c>
      <x:c r="O154" s="13" t="inlineStr">
        <x:is>
          <x:t xml:space="preserve">Official IRS filing identifier; ProPublica used for navigation/corroboration</x:t>
        </x:is>
      </x:c>
      <x:c r="P154" s="13" t="inlineStr">
        <x:is>
          <x:t xml:space="preserve">ProPublica filing-derived table; official IRS object ID identified from XML link</x:t>
        </x:is>
      </x:c>
      <x:c r="Q154" s="13" t="inlineStr">
        <x:is>
          <x:t xml:space="preserve">Cash proxy arithmetic and total-proxy arithmetic validated; source-native IRS XML could not be archived in this environment.</x:t>
        </x:is>
      </x:c>
    </x:row>
    <x:row r="155">
      <x:c r="A155" s="12" t="inlineStr">
        <x:is>
          <x:t xml:space="preserve">SRC-990-EXT-PROJECT-DRAWDOWN</x:t>
        </x:is>
      </x:c>
      <x:c r="B155" s="12" t="inlineStr">
        <x:is>
          <x:t xml:space="preserve">Project Drawdown</x:t>
        </x:is>
      </x:c>
      <x:c r="C155" s="12" t="inlineStr">
        <x:is>
          <x:t xml:space="preserve">Form 990 filing-derived snapshot</x:t>
        </x:is>
      </x:c>
      <x:c r="D155" s="16" t="inlineStr">
        <x:is>
          <x:t xml:space="preserve">https://apps.irs.gov/pub/epostcard/990/xml/2025/202512529349301621_public.xml</x:t>
        </x:is>
      </x:c>
      <x:c r="E155" s="16" t="inlineStr">
        <x:is>
          <x:t xml:space="preserve">https://projects.propublica.org/nonprofits/organizations/383705448</x:t>
        </x:is>
      </x:c>
      <x:c r="F155" s="12" t="inlineStr">
        <x:is>
          <x:t xml:space="preserve">2026-08-25</x:t>
        </x:is>
      </x:c>
      <x:c r="G155" s="17" t="inlineStr">
        <x:is>
          <x:t xml:space="preserve">sources/raw/src-990-ext-project-drawdown.txt</x:t>
        </x:is>
      </x:c>
      <x:c r="H155" s="12" t="inlineStr">
        <x:is>
          <x:t xml:space="preserve">text/plain; charset=utf-8</x:t>
        </x:is>
      </x:c>
      <x:c r="I155" s="12" t="n">
        <x:v>1906</x:v>
      </x:c>
      <x:c r="J155" s="13" t="inlineStr">
        <x:is>
          <x:t xml:space="preserve">95f9eeb5921bb6f59f7db93c0a1f147c83e49db5b3098effa0223dbb7075382c</x:t>
        </x:is>
      </x:c>
      <x:c r="K155" s="12" t="inlineStr">
        <x:is>
          <x:t xml:space="preserve">2024-01-01 to 2024-12-31</x:t>
        </x:is>
      </x:c>
      <x:c r="L155" s="12" t="inlineStr">
        <x:is>
          <x:t xml:space="preserve">38-3705448</x:t>
        </x:is>
      </x:c>
      <x:c r="M155" s="12" t="inlineStr">
        <x:is>
          <x:t xml:space="preserve">202512529349301621</x:t>
        </x:is>
      </x:c>
      <x:c r="N155" s="12" t="inlineStr">
        <x:is>
          <x:t xml:space="preserve">official filing-derived derivative</x:t>
        </x:is>
      </x:c>
      <x:c r="O155" s="13" t="inlineStr">
        <x:is>
          <x:t xml:space="preserve">Official IRS filing identifier; ProPublica used for navigation/corroboration</x:t>
        </x:is>
      </x:c>
      <x:c r="P155" s="13" t="inlineStr">
        <x:is>
          <x:t xml:space="preserve">ProPublica filing-derived table and XML link; browser source turn692537view1 lines 22-90.</x:t>
        </x:is>
      </x:c>
      <x:c r="Q155" s="13" t="inlineStr">
        <x:is>
          <x:t xml:space="preserve">Cash proxy arithmetic and total-proxy arithmetic validated; source-native IRS XML could not be archived in this environment.</x:t>
        </x:is>
      </x:c>
    </x:row>
    <x:row r="156">
      <x:c r="A156" s="12" t="inlineStr">
        <x:is>
          <x:t xml:space="preserve">SRC-990-EXT-PROJECT-HEALTHY-CHILDREN</x:t>
        </x:is>
      </x:c>
      <x:c r="B156" s="12" t="inlineStr">
        <x:is>
          <x:t xml:space="preserve">Project Healthy Children</x:t>
        </x:is>
      </x:c>
      <x:c r="C156" s="12" t="inlineStr">
        <x:is>
          <x:t xml:space="preserve">Form 990 filing-derived snapshot</x:t>
        </x:is>
      </x:c>
      <x:c r="D156" s="16" t="inlineStr">
        <x:is>
          <x:t xml:space="preserve">https://apps.irs.gov/pub/epostcard/990/xml/2024/202422259349302007_public.xml</x:t>
        </x:is>
      </x:c>
      <x:c r="E156" s="16" t="inlineStr">
        <x:is>
          <x:t xml:space="preserve">https://projects.propublica.org/nonprofits/organizations/830396815</x:t>
        </x:is>
      </x:c>
      <x:c r="F156" s="12" t="inlineStr">
        <x:is>
          <x:t xml:space="preserve">2026-08-25</x:t>
        </x:is>
      </x:c>
      <x:c r="G156" s="16" t="inlineStr">
        <x:is>
          <x:t xml:space="preserve">sources/raw/src-990-ext-project-healthy-children.txt</x:t>
        </x:is>
      </x:c>
      <x:c r="H156" s="12" t="inlineStr">
        <x:is>
          <x:t xml:space="preserve">text/plain; charset=utf-8</x:t>
        </x:is>
      </x:c>
      <x:c r="I156" s="12" t="n">
        <x:v>2058</x:v>
      </x:c>
      <x:c r="J156" s="13" t="inlineStr">
        <x:is>
          <x:t xml:space="preserve">94b35f9c745f0ebc74dd33f4a0c2ed18b0865342e69f88b4444cbd06647908c9</x:t>
        </x:is>
      </x:c>
      <x:c r="K156" s="12" t="inlineStr">
        <x:is>
          <x:t xml:space="preserve">2022-10-01 to 2023-09-30</x:t>
        </x:is>
      </x:c>
      <x:c r="L156" s="12" t="inlineStr">
        <x:is>
          <x:t xml:space="preserve">83-0396815</x:t>
        </x:is>
      </x:c>
      <x:c r="M156" s="12" t="inlineStr">
        <x:is>
          <x:t xml:space="preserve">202422259349302007</x:t>
        </x:is>
      </x:c>
      <x:c r="N156" s="12" t="inlineStr">
        <x:is>
          <x:t xml:space="preserve">official filing-derived derivative</x:t>
        </x:is>
      </x:c>
      <x:c r="O156" s="13" t="inlineStr">
        <x:is>
          <x:t xml:space="preserve">Official IRS filing identifier; ProPublica used for navigation/corroboration</x:t>
        </x:is>
      </x:c>
      <x:c r="P156" s="13" t="inlineStr">
        <x:is>
          <x:t xml:space="preserve">ProPublica filing-derived table; official IRS object ID identified from XML link; browser source turn805570view3.</x:t>
        </x:is>
      </x:c>
      <x:c r="Q156" s="13" t="inlineStr">
        <x:is>
          <x:t xml:space="preserve">Cash proxy arithmetic and total-proxy arithmetic validated; source-native IRS XML could not be archived in this environment.</x:t>
        </x:is>
      </x:c>
    </x:row>
    <x:row r="157">
      <x:c r="A157" s="12" t="inlineStr">
        <x:is>
          <x:t xml:space="preserve">SRC-990-EXT-PUBLIC-AGENDA</x:t>
        </x:is>
      </x:c>
      <x:c r="B157" s="12" t="inlineStr">
        <x:is>
          <x:t xml:space="preserve">Public Agenda</x:t>
        </x:is>
      </x:c>
      <x:c r="C157" s="12" t="inlineStr">
        <x:is>
          <x:t xml:space="preserve">Form 990 filing-derived snapshot</x:t>
        </x:is>
      </x:c>
      <x:c r="D157" s="16" t="inlineStr">
        <x:is>
          <x:t xml:space="preserve">https://apps.irs.gov/pub/epostcard/990/xml/2026/202631029349300503_public.xml</x:t>
        </x:is>
      </x:c>
      <x:c r="E157" s="16" t="inlineStr">
        <x:is>
          <x:t xml:space="preserve">https://projects.propublica.org/nonprofits/organizations/132847587</x:t>
        </x:is>
      </x:c>
      <x:c r="F157" s="12" t="inlineStr">
        <x:is>
          <x:t xml:space="preserve">2026-08-25</x:t>
        </x:is>
      </x:c>
      <x:c r="G157" s="17" t="inlineStr">
        <x:is>
          <x:t xml:space="preserve">sources/raw/src-990-ext-public-agenda.txt</x:t>
        </x:is>
      </x:c>
      <x:c r="H157" s="12" t="inlineStr">
        <x:is>
          <x:t xml:space="preserve">text/plain; charset=utf-8</x:t>
        </x:is>
      </x:c>
      <x:c r="I157" s="12" t="n">
        <x:v>1844</x:v>
      </x:c>
      <x:c r="J157" s="13" t="inlineStr">
        <x:is>
          <x:t xml:space="preserve">4fc7ee5dde0eaf07b84837b50c1b0956f8dcc6f058e16e52ba5953ac6feb20be</x:t>
        </x:is>
      </x:c>
      <x:c r="K157" s="12" t="inlineStr">
        <x:is>
          <x:t xml:space="preserve">2024-07-01 to 2025-06-30</x:t>
        </x:is>
      </x:c>
      <x:c r="L157" s="12" t="inlineStr">
        <x:is>
          <x:t xml:space="preserve">13-2847587</x:t>
        </x:is>
      </x:c>
      <x:c r="M157" s="12" t="inlineStr">
        <x:is>
          <x:t xml:space="preserve">202631029349300503</x:t>
        </x:is>
      </x:c>
      <x:c r="N157" s="12" t="inlineStr">
        <x:is>
          <x:t xml:space="preserve">official filing-derived derivative</x:t>
        </x:is>
      </x:c>
      <x:c r="O157" s="13" t="inlineStr">
        <x:is>
          <x:t xml:space="preserve">Official IRS filing identifier; ProPublica used for navigation/corroboration</x:t>
        </x:is>
      </x:c>
      <x:c r="P157" s="13" t="inlineStr">
        <x:is>
          <x:t xml:space="preserve">ProPublica filing-derived table lines 20-89; IRS object ID from XML link</x:t>
        </x:is>
      </x:c>
      <x:c r="Q157" s="13" t="inlineStr">
        <x:is>
          <x:t xml:space="preserve">Cash proxy arithmetic and total-proxy arithmetic validated; source-native IRS XML could not be archived in this environment.</x:t>
        </x:is>
      </x:c>
    </x:row>
    <x:row r="158">
      <x:c r="A158" s="12" t="inlineStr">
        <x:is>
          <x:t xml:space="preserve">SRC-990-EXT-PUBLIC-KNOWLEDGE</x:t>
        </x:is>
      </x:c>
      <x:c r="B158" s="12" t="inlineStr">
        <x:is>
          <x:t xml:space="preserve">Public Knowledge</x:t>
        </x:is>
      </x:c>
      <x:c r="C158" s="12" t="inlineStr">
        <x:is>
          <x:t xml:space="preserve">Form 990 filing-derived snapshot</x:t>
        </x:is>
      </x:c>
      <x:c r="D158" s="16" t="inlineStr">
        <x:is>
          <x:t xml:space="preserve">https://apps.irs.gov/pub/epostcard/990/xml/2025/202533149349301903_public.xml</x:t>
        </x:is>
      </x:c>
      <x:c r="E158" s="16" t="inlineStr">
        <x:is>
          <x:t xml:space="preserve">https://projects.propublica.org/nonprofits/organizations/522336690</x:t>
        </x:is>
      </x:c>
      <x:c r="F158" s="12" t="inlineStr">
        <x:is>
          <x:t xml:space="preserve">2026-08-25</x:t>
        </x:is>
      </x:c>
      <x:c r="G158" s="17" t="inlineStr">
        <x:is>
          <x:t xml:space="preserve">sources/raw/src-990-ext-public-knowledge.txt</x:t>
        </x:is>
      </x:c>
      <x:c r="H158" s="12" t="inlineStr">
        <x:is>
          <x:t xml:space="preserve">text/plain; charset=utf-8</x:t>
        </x:is>
      </x:c>
      <x:c r="I158" s="12" t="n">
        <x:v>1733</x:v>
      </x:c>
      <x:c r="J158" s="13" t="inlineStr">
        <x:is>
          <x:t xml:space="preserve">3e4f0f79acee790c93770750119769cd840ef4f483deb38b6a5cfceb16d9880d</x:t>
        </x:is>
      </x:c>
      <x:c r="K158" s="12" t="inlineStr">
        <x:is>
          <x:t xml:space="preserve">2024-01-01 to 2024-12-31</x:t>
        </x:is>
      </x:c>
      <x:c r="L158" s="12" t="inlineStr">
        <x:is>
          <x:t xml:space="preserve">52-2336690</x:t>
        </x:is>
      </x:c>
      <x:c r="M158" s="12" t="inlineStr">
        <x:is>
          <x:t xml:space="preserve">202533149349301903</x:t>
        </x:is>
      </x:c>
      <x:c r="N158" s="12" t="inlineStr">
        <x:is>
          <x:t xml:space="preserve">official filing-derived derivative</x:t>
        </x:is>
      </x:c>
      <x:c r="O158" s="13" t="inlineStr">
        <x:is>
          <x:t xml:space="preserve">Official IRS filing identifier; ProPublica used for navigation/corroboration</x:t>
        </x:is>
      </x:c>
      <x:c r="P158" s="12" t="inlineStr">
        <x:is>
          <x:t xml:space="preserve">ProPublica latest 2024 filing table</x:t>
        </x:is>
      </x:c>
      <x:c r="Q158" s="13" t="inlineStr">
        <x:is>
          <x:t xml:space="preserve">Cash proxy arithmetic and total-proxy arithmetic validated; source-native IRS XML could not be archived in this environment.</x:t>
        </x:is>
      </x:c>
    </x:row>
    <x:row r="159">
      <x:c r="A159" s="13" t="inlineStr">
        <x:is>
          <x:t xml:space="preserve">SRC-990-EXT-PUBLIC-RELIGION-RESEARCH-INSTITUTE</x:t>
        </x:is>
      </x:c>
      <x:c r="B159" s="12" t="inlineStr">
        <x:is>
          <x:t xml:space="preserve">Public Religion Research Institute</x:t>
        </x:is>
      </x:c>
      <x:c r="C159" s="12" t="inlineStr">
        <x:is>
          <x:t xml:space="preserve">Form 990 filing-derived snapshot</x:t>
        </x:is>
      </x:c>
      <x:c r="D159" s="16" t="inlineStr">
        <x:is>
          <x:t xml:space="preserve">https://apps.irs.gov/pub/epostcard/990/xml/2025/202533189349309763_public.xml</x:t>
        </x:is>
      </x:c>
      <x:c r="E159" s="16" t="inlineStr">
        <x:is>
          <x:t xml:space="preserve">https://projects.propublica.org/nonprofits/organizations/270586980</x:t>
        </x:is>
      </x:c>
      <x:c r="F159" s="12" t="inlineStr">
        <x:is>
          <x:t xml:space="preserve">2026-08-25</x:t>
        </x:is>
      </x:c>
      <x:c r="G159" s="16" t="inlineStr">
        <x:is>
          <x:t xml:space="preserve">sources/raw/src-990-ext-public-religion-research-institute.txt</x:t>
        </x:is>
      </x:c>
      <x:c r="H159" s="12" t="inlineStr">
        <x:is>
          <x:t xml:space="preserve">text/plain; charset=utf-8</x:t>
        </x:is>
      </x:c>
      <x:c r="I159" s="12" t="n">
        <x:v>1971</x:v>
      </x:c>
      <x:c r="J159" s="13" t="inlineStr">
        <x:is>
          <x:t xml:space="preserve">032baf01bb120db30ae0586f2e50f6c7563746ff77139b07c29bbde35bcd901c</x:t>
        </x:is>
      </x:c>
      <x:c r="K159" s="12" t="inlineStr">
        <x:is>
          <x:t xml:space="preserve">2024-01-01 to 2024-12-31</x:t>
        </x:is>
      </x:c>
      <x:c r="L159" s="12" t="inlineStr">
        <x:is>
          <x:t xml:space="preserve">27-0586980</x:t>
        </x:is>
      </x:c>
      <x:c r="M159" s="12" t="inlineStr">
        <x:is>
          <x:t xml:space="preserve">202533189349309763</x:t>
        </x:is>
      </x:c>
      <x:c r="N159" s="12" t="inlineStr">
        <x:is>
          <x:t xml:space="preserve">official filing-derived derivative</x:t>
        </x:is>
      </x:c>
      <x:c r="O159" s="13" t="inlineStr">
        <x:is>
          <x:t xml:space="preserve">Official IRS filing identifier; ProPublica used for navigation/corroboration</x:t>
        </x:is>
      </x:c>
      <x:c r="P159" s="13" t="inlineStr">
        <x:is>
          <x:t xml:space="preserve">ProPublica filing-derived table lines 21-89; IRS object ID from XML link</x:t>
        </x:is>
      </x:c>
      <x:c r="Q159" s="13" t="inlineStr">
        <x:is>
          <x:t xml:space="preserve">Cash proxy arithmetic and total-proxy arithmetic validated; source-native IRS XML could not be archived in this environment.</x:t>
        </x:is>
      </x:c>
    </x:row>
    <x:row r="160">
      <x:c r="A160" s="12" t="inlineStr">
        <x:is>
          <x:t xml:space="preserve">SRC-990-EXT-PURE-EARTH</x:t>
        </x:is>
      </x:c>
      <x:c r="B160" s="12" t="inlineStr">
        <x:is>
          <x:t xml:space="preserve">Pure Earth</x:t>
        </x:is>
      </x:c>
      <x:c r="C160" s="12" t="inlineStr">
        <x:is>
          <x:t xml:space="preserve">Form 990 filing-derived snapshot</x:t>
        </x:is>
      </x:c>
      <x:c r="D160" s="16" t="inlineStr">
        <x:is>
          <x:t xml:space="preserve">https://apps.irs.gov/pub/epostcard/990/xml/2025/202532809349302073_public.xml</x:t>
        </x:is>
      </x:c>
      <x:c r="E160" s="16" t="inlineStr">
        <x:is>
          <x:t xml:space="preserve">https://projects.propublica.org/nonprofits/organizations/134075779</x:t>
        </x:is>
      </x:c>
      <x:c r="F160" s="12" t="inlineStr">
        <x:is>
          <x:t xml:space="preserve">2026-08-25</x:t>
        </x:is>
      </x:c>
      <x:c r="G160" s="17" t="inlineStr">
        <x:is>
          <x:t xml:space="preserve">sources/raw/src-990-ext-pure-earth.txt</x:t>
        </x:is>
      </x:c>
      <x:c r="H160" s="12" t="inlineStr">
        <x:is>
          <x:t xml:space="preserve">text/plain; charset=utf-8</x:t>
        </x:is>
      </x:c>
      <x:c r="I160" s="12" t="n">
        <x:v>1782</x:v>
      </x:c>
      <x:c r="J160" s="13" t="inlineStr">
        <x:is>
          <x:t xml:space="preserve">df87a9167062f8f05c074469495e9473e37d9a54be3598046fb39c6c984c3e0c</x:t>
        </x:is>
      </x:c>
      <x:c r="K160" s="12" t="inlineStr">
        <x:is>
          <x:t xml:space="preserve">2024-01-01 to 2024-12-31</x:t>
        </x:is>
      </x:c>
      <x:c r="L160" s="12" t="inlineStr">
        <x:is>
          <x:t xml:space="preserve">13-4075779</x:t>
        </x:is>
      </x:c>
      <x:c r="M160" s="12" t="inlineStr">
        <x:is>
          <x:t xml:space="preserve">202532809349302073</x:t>
        </x:is>
      </x:c>
      <x:c r="N160" s="12" t="inlineStr">
        <x:is>
          <x:t xml:space="preserve">official filing-derived derivative</x:t>
        </x:is>
      </x:c>
      <x:c r="O160" s="13" t="inlineStr">
        <x:is>
          <x:t xml:space="preserve">Official IRS filing identifier; ProPublica used for navigation/corroboration</x:t>
        </x:is>
      </x:c>
      <x:c r="P160" s="12" t="inlineStr">
        <x:is>
          <x:t xml:space="preserve">ProPublica latest 2024 filing table</x:t>
        </x:is>
      </x:c>
      <x:c r="Q160" s="13" t="inlineStr">
        <x:is>
          <x:t xml:space="preserve">Cash proxy arithmetic and total-proxy arithmetic validated; source-native IRS XML could not be archived in this environment.</x:t>
        </x:is>
      </x:c>
    </x:row>
    <x:row r="161">
      <x:c r="A161" s="13" t="inlineStr">
        <x:is>
          <x:t xml:space="preserve">SRC-990-EXT-QUINCY-INSTITUTE-FOR-RESPONSIBLE-STATECRAFT</x:t>
        </x:is>
      </x:c>
      <x:c r="B161" s="12" t="inlineStr">
        <x:is>
          <x:t xml:space="preserve">Quincy Institute for Responsible Statecraft</x:t>
        </x:is>
      </x:c>
      <x:c r="C161" s="12" t="inlineStr">
        <x:is>
          <x:t xml:space="preserve">Form 990 filing-derived snapshot</x:t>
        </x:is>
      </x:c>
      <x:c r="D161" s="16" t="inlineStr">
        <x:is>
          <x:t xml:space="preserve">https://apps.irs.gov/pub/epostcard/990/xml/2025/202523169349300137_public.xml</x:t>
        </x:is>
      </x:c>
      <x:c r="E161" s="16" t="inlineStr">
        <x:is>
          <x:t xml:space="preserve">https://projects.propublica.org/nonprofits/organizations/842285143</x:t>
        </x:is>
      </x:c>
      <x:c r="F161" s="12" t="inlineStr">
        <x:is>
          <x:t xml:space="preserve">2026-08-25</x:t>
        </x:is>
      </x:c>
      <x:c r="G161" s="16" t="inlineStr">
        <x:is>
          <x:t xml:space="preserve">sources/raw/src-990-ext-quincy-institute-for-responsible-statecraft.txt</x:t>
        </x:is>
      </x:c>
      <x:c r="H161" s="12" t="inlineStr">
        <x:is>
          <x:t xml:space="preserve">text/plain; charset=utf-8</x:t>
        </x:is>
      </x:c>
      <x:c r="I161" s="12" t="n">
        <x:v>1859</x:v>
      </x:c>
      <x:c r="J161" s="13" t="inlineStr">
        <x:is>
          <x:t xml:space="preserve">26adeadf96289c148b2c34414412fc165aef05a586f2d325b1011345959e3bd7</x:t>
        </x:is>
      </x:c>
      <x:c r="K161" s="12" t="inlineStr">
        <x:is>
          <x:t xml:space="preserve">2024-01-01 to 2024-12-31</x:t>
        </x:is>
      </x:c>
      <x:c r="L161" s="12" t="inlineStr">
        <x:is>
          <x:t xml:space="preserve">84-2285143</x:t>
        </x:is>
      </x:c>
      <x:c r="M161" s="12" t="inlineStr">
        <x:is>
          <x:t xml:space="preserve">202523169349300137</x:t>
        </x:is>
      </x:c>
      <x:c r="N161" s="12" t="inlineStr">
        <x:is>
          <x:t xml:space="preserve">official filing-derived derivative</x:t>
        </x:is>
      </x:c>
      <x:c r="O161" s="13" t="inlineStr">
        <x:is>
          <x:t xml:space="preserve">Official IRS filing identifier; ProPublica used for navigation/corroboration</x:t>
        </x:is>
      </x:c>
      <x:c r="P161" s="13" t="inlineStr">
        <x:is>
          <x:t xml:space="preserve">ProPublica filing-derived table lines 21-89; IRS object ID from XML link</x:t>
        </x:is>
      </x:c>
      <x:c r="Q161" s="13" t="inlineStr">
        <x:is>
          <x:t xml:space="preserve">Cash proxy arithmetic and total-proxy arithmetic validated; source-native IRS XML could not be archived in this environment.</x:t>
        </x:is>
      </x:c>
    </x:row>
    <x:row r="162">
      <x:c r="A162" s="12" t="inlineStr">
        <x:is>
          <x:t xml:space="preserve">SRC-990-EXT-R-STREET-INSTITUTE</x:t>
        </x:is>
      </x:c>
      <x:c r="B162" s="12" t="inlineStr">
        <x:is>
          <x:t xml:space="preserve">R Street Institute</x:t>
        </x:is>
      </x:c>
      <x:c r="C162" s="12" t="inlineStr">
        <x:is>
          <x:t xml:space="preserve">Form 990 filing-derived snapshot</x:t>
        </x:is>
      </x:c>
      <x:c r="D162" s="16" t="inlineStr">
        <x:is>
          <x:t xml:space="preserve">https://apps.irs.gov/pub/epostcard/990/xml/2025/202503119349301245_public.xml</x:t>
        </x:is>
      </x:c>
      <x:c r="E162" s="16" t="inlineStr">
        <x:is>
          <x:t xml:space="preserve">https://projects.propublica.org/nonprofits/organizations/263477125</x:t>
        </x:is>
      </x:c>
      <x:c r="F162" s="12" t="inlineStr">
        <x:is>
          <x:t xml:space="preserve">2026-08-25</x:t>
        </x:is>
      </x:c>
      <x:c r="G162" s="16" t="inlineStr">
        <x:is>
          <x:t xml:space="preserve">sources/raw/src-990-ext-r-street-institute.txt</x:t>
        </x:is>
      </x:c>
      <x:c r="H162" s="12" t="inlineStr">
        <x:is>
          <x:t xml:space="preserve">text/plain; charset=utf-8</x:t>
        </x:is>
      </x:c>
      <x:c r="I162" s="12" t="n">
        <x:v>2041</x:v>
      </x:c>
      <x:c r="J162" s="13" t="inlineStr">
        <x:is>
          <x:t xml:space="preserve">0e0a851b9e10f76c32f9f0f14e94be8e057d604c19fb9f21d9f54e4776048daf</x:t>
        </x:is>
      </x:c>
      <x:c r="K162" s="12" t="inlineStr">
        <x:is>
          <x:t xml:space="preserve">2024-01-01 to 2024-12-31</x:t>
        </x:is>
      </x:c>
      <x:c r="L162" s="12" t="inlineStr">
        <x:is>
          <x:t xml:space="preserve">26-3477125</x:t>
        </x:is>
      </x:c>
      <x:c r="M162" s="12" t="inlineStr">
        <x:is>
          <x:t xml:space="preserve">202503119349301245</x:t>
        </x:is>
      </x:c>
      <x:c r="N162" s="12" t="inlineStr">
        <x:is>
          <x:t xml:space="preserve">official filing-derived derivative</x:t>
        </x:is>
      </x:c>
      <x:c r="O162" s="13" t="inlineStr">
        <x:is>
          <x:t xml:space="preserve">Official IRS filing identifier; ProPublica used for navigation/corroboration</x:t>
        </x:is>
      </x:c>
      <x:c r="P162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62" s="13" t="inlineStr">
        <x:is>
          <x:t xml:space="preserve">Cash proxy arithmetic and total-proxy arithmetic validated; source-native IRS XML could not be archived in this environment.</x:t>
        </x:is>
      </x:c>
    </x:row>
    <x:row r="163">
      <x:c r="A163" s="12" t="inlineStr">
        <x:is>
          <x:t xml:space="preserve">SRC-990-RSTREET-2024</x:t>
        </x:is>
      </x:c>
      <x:c r="B163" s="12" t="inlineStr">
        <x:is>
          <x:t xml:space="preserve">R Street Institute</x:t>
        </x:is>
      </x:c>
      <x:c r="C163" s="12" t="inlineStr">
        <x:is>
          <x:t xml:space="preserve">Form 990 filing-derived snapshot</x:t>
        </x:is>
      </x:c>
      <x:c r="D163" s="16" t="inlineStr">
        <x:is>
          <x:t xml:space="preserve">https://apps.irs.gov/pub/epostcard/990/xml/2025/202503119349301245_public.xml</x:t>
        </x:is>
      </x:c>
      <x:c r="E163" s="16" t="inlineStr">
        <x:is>
          <x:t xml:space="preserve">https://projects.propublica.org/nonprofits/organizations/263477125</x:t>
        </x:is>
      </x:c>
      <x:c r="F163" s="12" t="inlineStr">
        <x:is>
          <x:t xml:space="preserve">2026-08-17T18:45:00-07:00</x:t>
        </x:is>
      </x:c>
      <x:c r="G163" s="17" t="inlineStr">
        <x:is>
          <x:t xml:space="preserve">sources/raw/src-990-rstreet-2024.txt</x:t>
        </x:is>
      </x:c>
      <x:c r="H163" s="12" t="inlineStr">
        <x:is>
          <x:t xml:space="preserve">text/plain; charset=utf-8</x:t>
        </x:is>
      </x:c>
      <x:c r="I163" s="12" t="n">
        <x:v>1814</x:v>
      </x:c>
      <x:c r="J163" s="13" t="inlineStr">
        <x:is>
          <x:t xml:space="preserve">2f8fed79588ac3b8b9349f68dec4f9301c9b0810f7b35e86f334414bfa8dfc9d</x:t>
        </x:is>
      </x:c>
      <x:c r="K163" s="12" t="inlineStr">
        <x:is>
          <x:t xml:space="preserve">2024-01-01 to 2024-12-31</x:t>
        </x:is>
      </x:c>
      <x:c r="L163" s="12" t="inlineStr">
        <x:is>
          <x:t xml:space="preserve">26-3477125</x:t>
        </x:is>
      </x:c>
      <x:c r="M163" s="12" t="inlineStr">
        <x:is>
          <x:t xml:space="preserve">202503119349301245</x:t>
        </x:is>
      </x:c>
      <x:c r="N163" s="12" t="inlineStr">
        <x:is>
          <x:t xml:space="preserve">derivative</x:t>
        </x:is>
      </x:c>
      <x:c r="O163" s="13" t="inlineStr">
        <x:is>
          <x:t xml:space="preserve">official filing via IRS; browser rendering via ProPublica where available</x:t>
        </x:is>
      </x:c>
      <x:c r="P163" s="12" t="inlineStr">
        <x:is>
          <x:t xml:space="preserve">turn263277view7 L21-L74</x:t>
        </x:is>
      </x:c>
      <x:c r="Q163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64">
      <x:c r="A164" s="12" t="inlineStr">
        <x:is>
          <x:t xml:space="preserve">SRC-990-EXT-REDWOOD-RESEARCH</x:t>
        </x:is>
      </x:c>
      <x:c r="B164" s="12" t="inlineStr">
        <x:is>
          <x:t xml:space="preserve">Redwood Research</x:t>
        </x:is>
      </x:c>
      <x:c r="C164" s="12" t="inlineStr">
        <x:is>
          <x:t xml:space="preserve">Form 990 filing-derived snapshot</x:t>
        </x:is>
      </x:c>
      <x:c r="D164" s="16" t="inlineStr">
        <x:is>
          <x:t xml:space="preserve">https://apps.irs.gov/pub/epostcard/990/xml/2025/202503199349302920_public.xml</x:t>
        </x:is>
      </x:c>
      <x:c r="E164" s="16" t="inlineStr">
        <x:is>
          <x:t xml:space="preserve">https://projects.propublica.org/nonprofits/organizations/871702255</x:t>
        </x:is>
      </x:c>
      <x:c r="F164" s="12" t="inlineStr">
        <x:is>
          <x:t xml:space="preserve">2026-08-25</x:t>
        </x:is>
      </x:c>
      <x:c r="G164" s="17" t="inlineStr">
        <x:is>
          <x:t xml:space="preserve">sources/raw/src-990-ext-redwood-research.txt</x:t>
        </x:is>
      </x:c>
      <x:c r="H164" s="12" t="inlineStr">
        <x:is>
          <x:t xml:space="preserve">text/plain; charset=utf-8</x:t>
        </x:is>
      </x:c>
      <x:c r="I164" s="12" t="n">
        <x:v>1856</x:v>
      </x:c>
      <x:c r="J164" s="13" t="inlineStr">
        <x:is>
          <x:t xml:space="preserve">d09cfadeb43fb3f6775cff42a2267690232bb389a8b2be454656dbce0bfb4719</x:t>
        </x:is>
      </x:c>
      <x:c r="K164" s="12" t="inlineStr">
        <x:is>
          <x:t xml:space="preserve">2024-01-01 to 2024-12-31</x:t>
        </x:is>
      </x:c>
      <x:c r="L164" s="12" t="inlineStr">
        <x:is>
          <x:t xml:space="preserve">87-1702255</x:t>
        </x:is>
      </x:c>
      <x:c r="M164" s="12" t="inlineStr">
        <x:is>
          <x:t xml:space="preserve">202503199349302920</x:t>
        </x:is>
      </x:c>
      <x:c r="N164" s="12" t="inlineStr">
        <x:is>
          <x:t xml:space="preserve">official filing-derived derivative</x:t>
        </x:is>
      </x:c>
      <x:c r="O164" s="13" t="inlineStr">
        <x:is>
          <x:t xml:space="preserve">Official IRS filing identifier; ProPublica used for navigation/corroboration</x:t>
        </x:is>
      </x:c>
      <x:c r="P164" s="13" t="inlineStr">
        <x:is>
          <x:t xml:space="preserve">ProPublica filing-derived table; official IRS object ID identified from XML link</x:t>
        </x:is>
      </x:c>
      <x:c r="Q164" s="13" t="inlineStr">
        <x:is>
          <x:t xml:space="preserve">Cash proxy arithmetic and total-proxy arithmetic validated; source-native IRS XML could not be archived in this environment.</x:t>
        </x:is>
      </x:c>
    </x:row>
    <x:row r="165">
      <x:c r="A165" s="12" t="inlineStr">
        <x:is>
          <x:t xml:space="preserve">SRC-990-EXT-RESEARCH-AMERICA</x:t>
        </x:is>
      </x:c>
      <x:c r="B165" s="12" t="inlineStr">
        <x:is>
          <x:t xml:space="preserve">Research!America</x:t>
        </x:is>
      </x:c>
      <x:c r="C165" s="12" t="inlineStr">
        <x:is>
          <x:t xml:space="preserve">Form 990 filing-derived snapshot</x:t>
        </x:is>
      </x:c>
      <x:c r="D165" s="16" t="inlineStr">
        <x:is>
          <x:t xml:space="preserve">https://apps.irs.gov/pub/epostcard/990/xml/2026/202601319349302140_public.xml</x:t>
        </x:is>
      </x:c>
      <x:c r="E165" s="16" t="inlineStr">
        <x:is>
          <x:t xml:space="preserve">https://projects.propublica.org/nonprofits/organizations/521609875</x:t>
        </x:is>
      </x:c>
      <x:c r="F165" s="12" t="inlineStr">
        <x:is>
          <x:t xml:space="preserve">2026-08-25</x:t>
        </x:is>
      </x:c>
      <x:c r="G165" s="17" t="inlineStr">
        <x:is>
          <x:t xml:space="preserve">sources/raw/src-990-ext-research-america.txt</x:t>
        </x:is>
      </x:c>
      <x:c r="H165" s="12" t="inlineStr">
        <x:is>
          <x:t xml:space="preserve">text/plain; charset=utf-8</x:t>
        </x:is>
      </x:c>
      <x:c r="I165" s="12" t="n">
        <x:v>1711</x:v>
      </x:c>
      <x:c r="J165" s="13" t="inlineStr">
        <x:is>
          <x:t xml:space="preserve">38bed50d76699686f599ef4467cdbe930b4b6a94c19d0a945085c07dc3464629</x:t>
        </x:is>
      </x:c>
      <x:c r="K165" s="12" t="inlineStr">
        <x:is>
          <x:t xml:space="preserve">2025-01-01 to 2025-12-31</x:t>
        </x:is>
      </x:c>
      <x:c r="L165" s="12" t="inlineStr">
        <x:is>
          <x:t xml:space="preserve">52-1609875</x:t>
        </x:is>
      </x:c>
      <x:c r="M165" s="12" t="inlineStr">
        <x:is>
          <x:t xml:space="preserve">202601319349302140</x:t>
        </x:is>
      </x:c>
      <x:c r="N165" s="12" t="inlineStr">
        <x:is>
          <x:t xml:space="preserve">official filing-derived derivative</x:t>
        </x:is>
      </x:c>
      <x:c r="O165" s="13" t="inlineStr">
        <x:is>
          <x:t xml:space="preserve">Official IRS filing identifier; ProPublica used for navigation/corroboration</x:t>
        </x:is>
      </x:c>
      <x:c r="P165" s="12" t="inlineStr">
        <x:is>
          <x:t xml:space="preserve">ProPublica latest 2025 filing table</x:t>
        </x:is>
      </x:c>
      <x:c r="Q165" s="13" t="inlineStr">
        <x:is>
          <x:t xml:space="preserve">Cash proxy arithmetic and total-proxy arithmetic validated; source-native IRS XML could not be archived in this environment.</x:t>
        </x:is>
      </x:c>
    </x:row>
    <x:row r="166">
      <x:c r="A166" s="12" t="inlineStr">
        <x:is>
          <x:t xml:space="preserve">SRC-990-RFF-2024</x:t>
        </x:is>
      </x:c>
      <x:c r="B166" s="12" t="inlineStr">
        <x:is>
          <x:t xml:space="preserve">Resources for the Future</x:t>
        </x:is>
      </x:c>
      <x:c r="C166" s="12" t="inlineStr">
        <x:is>
          <x:t xml:space="preserve">Form 990 filing-derived snapshot</x:t>
        </x:is>
      </x:c>
      <x:c r="D166" s="16" t="inlineStr">
        <x:is>
          <x:t xml:space="preserve">https://apps.irs.gov/pub/epostcard/990/xml/2025/202511929349300821_public.xml</x:t>
        </x:is>
      </x:c>
      <x:c r="E166" s="16" t="inlineStr">
        <x:is>
          <x:t xml:space="preserve">https://projects.propublica.org/nonprofits/organizations/530220900</x:t>
        </x:is>
      </x:c>
      <x:c r="F166" s="12" t="inlineStr">
        <x:is>
          <x:t xml:space="preserve">2026-08-17T18:45:00-07:00</x:t>
        </x:is>
      </x:c>
      <x:c r="G166" s="17" t="inlineStr">
        <x:is>
          <x:t xml:space="preserve">sources/raw/src-990-rff-2024.txt</x:t>
        </x:is>
      </x:c>
      <x:c r="H166" s="12" t="inlineStr">
        <x:is>
          <x:t xml:space="preserve">text/plain; charset=utf-8</x:t>
        </x:is>
      </x:c>
      <x:c r="I166" s="12" t="n">
        <x:v>1889</x:v>
      </x:c>
      <x:c r="J166" s="13" t="inlineStr">
        <x:is>
          <x:t xml:space="preserve">cb2104a7f75872660dd7124231be6cd9de651ee5ff52f60ab8f286e87bccfcb1</x:t>
        </x:is>
      </x:c>
      <x:c r="K166" s="12" t="inlineStr">
        <x:is>
          <x:t xml:space="preserve">2023-10-01 to 2024-09-30</x:t>
        </x:is>
      </x:c>
      <x:c r="L166" s="12" t="inlineStr">
        <x:is>
          <x:t xml:space="preserve">53-0220900</x:t>
        </x:is>
      </x:c>
      <x:c r="M166" s="12" t="inlineStr">
        <x:is>
          <x:t xml:space="preserve">202511929349300821</x:t>
        </x:is>
      </x:c>
      <x:c r="N166" s="12" t="inlineStr">
        <x:is>
          <x:t xml:space="preserve">derivative</x:t>
        </x:is>
      </x:c>
      <x:c r="O166" s="13" t="inlineStr">
        <x:is>
          <x:t xml:space="preserve">official filing via IRS; browser rendering via ProPublica where available</x:t>
        </x:is>
      </x:c>
      <x:c r="P166" s="13" t="inlineStr">
        <x:is>
          <x:t xml:space="preserve">turn579724view3 L48-L119; turn579724view5 L127-L199</x:t>
        </x:is>
      </x:c>
      <x:c r="Q16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67">
      <x:c r="A167" s="12" t="inlineStr">
        <x:is>
          <x:t xml:space="preserve">SRC-990-EXT-RESULTS-FOR-AMERICA</x:t>
        </x:is>
      </x:c>
      <x:c r="B167" s="12" t="inlineStr">
        <x:is>
          <x:t xml:space="preserve">Results for America</x:t>
        </x:is>
      </x:c>
      <x:c r="C167" s="12" t="inlineStr">
        <x:is>
          <x:t xml:space="preserve">Form 990 filing-derived snapshot</x:t>
        </x:is>
      </x:c>
      <x:c r="D167" s="16" t="inlineStr">
        <x:is>
          <x:t xml:space="preserve">https://apps.irs.gov/pub/epostcard/990/xml/2025/202513179349309376_public.xml</x:t>
        </x:is>
      </x:c>
      <x:c r="E167" s="16" t="inlineStr">
        <x:is>
          <x:t xml:space="preserve">https://projects.propublica.org/nonprofits/organizations/812709681</x:t>
        </x:is>
      </x:c>
      <x:c r="F167" s="12" t="inlineStr">
        <x:is>
          <x:t xml:space="preserve">2026-08-25</x:t>
        </x:is>
      </x:c>
      <x:c r="G167" s="16" t="inlineStr">
        <x:is>
          <x:t xml:space="preserve">sources/raw/src-990-ext-results-for-america.txt</x:t>
        </x:is>
      </x:c>
      <x:c r="H167" s="12" t="inlineStr">
        <x:is>
          <x:t xml:space="preserve">text/plain; charset=utf-8</x:t>
        </x:is>
      </x:c>
      <x:c r="I167" s="12" t="n">
        <x:v>1965</x:v>
      </x:c>
      <x:c r="J167" s="13" t="inlineStr">
        <x:is>
          <x:t xml:space="preserve">b6f2de62679b0d34ed3f528d673719a49145f8abe123a6bc17aef6d19554238f</x:t>
        </x:is>
      </x:c>
      <x:c r="K167" s="12" t="inlineStr">
        <x:is>
          <x:t xml:space="preserve">2024-01-01 to 2024-12-31</x:t>
        </x:is>
      </x:c>
      <x:c r="L167" s="12" t="inlineStr">
        <x:is>
          <x:t xml:space="preserve">81-2709681</x:t>
        </x:is>
      </x:c>
      <x:c r="M167" s="12" t="inlineStr">
        <x:is>
          <x:t xml:space="preserve">202513179349309376</x:t>
        </x:is>
      </x:c>
      <x:c r="N167" s="12" t="inlineStr">
        <x:is>
          <x:t xml:space="preserve">official filing-derived derivative</x:t>
        </x:is>
      </x:c>
      <x:c r="O167" s="13" t="inlineStr">
        <x:is>
          <x:t xml:space="preserve">Official IRS filing identifier; ProPublica used for navigation/corroboration</x:t>
        </x:is>
      </x:c>
      <x:c r="P167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67" s="13" t="inlineStr">
        <x:is>
          <x:t xml:space="preserve">Cash proxy arithmetic and total-proxy arithmetic validated; source-native IRS XML could not be archived in this environment.</x:t>
        </x:is>
      </x:c>
    </x:row>
    <x:row r="168">
      <x:c r="A168" s="12" t="inlineStr">
        <x:is>
          <x:t xml:space="preserve">SRC-990-RFA-2024</x:t>
        </x:is>
      </x:c>
      <x:c r="B168" s="12" t="inlineStr">
        <x:is>
          <x:t xml:space="preserve">Results for America</x:t>
        </x:is>
      </x:c>
      <x:c r="C168" s="12" t="inlineStr">
        <x:is>
          <x:t xml:space="preserve">Form 990 filing-derived snapshot</x:t>
        </x:is>
      </x:c>
      <x:c r="D168" s="16" t="inlineStr">
        <x:is>
          <x:t xml:space="preserve">https://apps.irs.gov/pub/epostcard/990/xml/2025/202513179349309376_public.xml</x:t>
        </x:is>
      </x:c>
      <x:c r="E168" s="16" t="inlineStr">
        <x:is>
          <x:t xml:space="preserve">https://projects.propublica.org/nonprofits/organizations/812709681</x:t>
        </x:is>
      </x:c>
      <x:c r="F168" s="12" t="inlineStr">
        <x:is>
          <x:t xml:space="preserve">2026-08-17T18:45:00-07:00</x:t>
        </x:is>
      </x:c>
      <x:c r="G168" s="17" t="inlineStr">
        <x:is>
          <x:t xml:space="preserve">sources/raw/src-990-rfa-2024.txt</x:t>
        </x:is>
      </x:c>
      <x:c r="H168" s="12" t="inlineStr">
        <x:is>
          <x:t xml:space="preserve">text/plain; charset=utf-8</x:t>
        </x:is>
      </x:c>
      <x:c r="I168" s="12" t="n">
        <x:v>1700</x:v>
      </x:c>
      <x:c r="J168" s="13" t="inlineStr">
        <x:is>
          <x:t xml:space="preserve">083f72206f16bd1d9f9af8c25391c0c3f87eb7504bb1af184375767f90d3235f</x:t>
        </x:is>
      </x:c>
      <x:c r="K168" s="12" t="inlineStr">
        <x:is>
          <x:t xml:space="preserve">2024-01-01 to 2024-12-31</x:t>
        </x:is>
      </x:c>
      <x:c r="L168" s="12" t="inlineStr">
        <x:is>
          <x:t xml:space="preserve">81-2709681</x:t>
        </x:is>
      </x:c>
      <x:c r="M168" s="12" t="inlineStr">
        <x:is>
          <x:t xml:space="preserve">202513179349309376</x:t>
        </x:is>
      </x:c>
      <x:c r="N168" s="12" t="inlineStr">
        <x:is>
          <x:t xml:space="preserve">derivative</x:t>
        </x:is>
      </x:c>
      <x:c r="O168" s="13" t="inlineStr">
        <x:is>
          <x:t xml:space="preserve">official filing via IRS; browser rendering via ProPublica where available</x:t>
        </x:is>
      </x:c>
      <x:c r="P168" s="12" t="inlineStr">
        <x:is>
          <x:t xml:space="preserve">turn579724view1 L28-L100</x:t>
        </x:is>
      </x:c>
      <x:c r="Q168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69">
      <x:c r="A169" s="12" t="inlineStr">
        <x:is>
          <x:t xml:space="preserve">SRC-990-EXT-RESULTS-FOR-DEVELOPMENT</x:t>
        </x:is>
      </x:c>
      <x:c r="B169" s="12" t="inlineStr">
        <x:is>
          <x:t xml:space="preserve">Results for Development</x:t>
        </x:is>
      </x:c>
      <x:c r="C169" s="12" t="inlineStr">
        <x:is>
          <x:t xml:space="preserve">Form 990 filing-derived snapshot</x:t>
        </x:is>
      </x:c>
      <x:c r="D169" s="16" t="inlineStr">
        <x:is>
          <x:t xml:space="preserve">https://apps.irs.gov/pub/epostcard/990/xml/2025/202512739349302306_public.xml</x:t>
        </x:is>
      </x:c>
      <x:c r="E169" s="16" t="inlineStr">
        <x:is>
          <x:t xml:space="preserve">https://projects.propublica.org/nonprofits/organizations/208530747</x:t>
        </x:is>
      </x:c>
      <x:c r="F169" s="12" t="inlineStr">
        <x:is>
          <x:t xml:space="preserve">2026-08-25</x:t>
        </x:is>
      </x:c>
      <x:c r="G169" s="16" t="inlineStr">
        <x:is>
          <x:t xml:space="preserve">sources/raw/src-990-ext-results-for-development.txt</x:t>
        </x:is>
      </x:c>
      <x:c r="H169" s="12" t="inlineStr">
        <x:is>
          <x:t xml:space="preserve">text/plain; charset=utf-8</x:t>
        </x:is>
      </x:c>
      <x:c r="I169" s="12" t="n">
        <x:v>1854</x:v>
      </x:c>
      <x:c r="J169" s="13" t="inlineStr">
        <x:is>
          <x:t xml:space="preserve">b1b4511364cd8152b756eccaf35504093c87c16dfef5f7d12af3cf425f6dd05a</x:t>
        </x:is>
      </x:c>
      <x:c r="K169" s="12" t="inlineStr">
        <x:is>
          <x:t xml:space="preserve">2024-01-01 to 2024-12-31</x:t>
        </x:is>
      </x:c>
      <x:c r="L169" s="12" t="inlineStr">
        <x:is>
          <x:t xml:space="preserve">20-8530747</x:t>
        </x:is>
      </x:c>
      <x:c r="M169" s="12" t="inlineStr">
        <x:is>
          <x:t xml:space="preserve">202512739349302306</x:t>
        </x:is>
      </x:c>
      <x:c r="N169" s="12" t="inlineStr">
        <x:is>
          <x:t xml:space="preserve">official filing-derived derivative</x:t>
        </x:is>
      </x:c>
      <x:c r="O169" s="13" t="inlineStr">
        <x:is>
          <x:t xml:space="preserve">Official IRS filing identifier; ProPublica used for navigation/corroboration</x:t>
        </x:is>
      </x:c>
      <x:c r="P169" s="13" t="inlineStr">
        <x:is>
          <x:t xml:space="preserve">ProPublica filing-derived table; official IRS object ID identified from XML link</x:t>
        </x:is>
      </x:c>
      <x:c r="Q169" s="13" t="inlineStr">
        <x:is>
          <x:t xml:space="preserve">Cash proxy arithmetic and total-proxy arithmetic validated; source-native IRS XML could not be archived in this environment.</x:t>
        </x:is>
      </x:c>
    </x:row>
    <x:row r="170">
      <x:c r="A170" s="12" t="inlineStr">
        <x:is>
          <x:t xml:space="preserve">SRC-990-EXT-ROOSEVELT-INSTITUTE</x:t>
        </x:is>
      </x:c>
      <x:c r="B170" s="12" t="inlineStr">
        <x:is>
          <x:t xml:space="preserve">Roosevelt Institute</x:t>
        </x:is>
      </x:c>
      <x:c r="C170" s="12" t="inlineStr">
        <x:is>
          <x:t xml:space="preserve">Form 990 filing-derived snapshot</x:t>
        </x:is>
      </x:c>
      <x:c r="D170" s="16" t="inlineStr">
        <x:is>
          <x:t xml:space="preserve">https://apps.irs.gov/pub/epostcard/990/xml/2025/202532729349301978_public.xml</x:t>
        </x:is>
      </x:c>
      <x:c r="E170" s="16" t="inlineStr">
        <x:is>
          <x:t xml:space="preserve">https://projects.propublica.org/nonprofits/organizations/237213592</x:t>
        </x:is>
      </x:c>
      <x:c r="F170" s="12" t="inlineStr">
        <x:is>
          <x:t xml:space="preserve">2026-08-25</x:t>
        </x:is>
      </x:c>
      <x:c r="G170" s="16" t="inlineStr">
        <x:is>
          <x:t xml:space="preserve">sources/raw/src-990-ext-roosevelt-institute.txt</x:t>
        </x:is>
      </x:c>
      <x:c r="H170" s="12" t="inlineStr">
        <x:is>
          <x:t xml:space="preserve">text/plain; charset=utf-8</x:t>
        </x:is>
      </x:c>
      <x:c r="I170" s="12" t="n">
        <x:v>1800</x:v>
      </x:c>
      <x:c r="J170" s="13" t="inlineStr">
        <x:is>
          <x:t xml:space="preserve">f52a9d4e8d9ec46f6df8129da3f9fa099e5a0f1591f6f9a39c9fad12d0e49ef2</x:t>
        </x:is>
      </x:c>
      <x:c r="K170" s="12" t="inlineStr">
        <x:is>
          <x:t xml:space="preserve">2024-01-01 to 2024-12-31</x:t>
        </x:is>
      </x:c>
      <x:c r="L170" s="12" t="inlineStr">
        <x:is>
          <x:t xml:space="preserve">23-7213592</x:t>
        </x:is>
      </x:c>
      <x:c r="M170" s="12" t="inlineStr">
        <x:is>
          <x:t xml:space="preserve">202532729349301978</x:t>
        </x:is>
      </x:c>
      <x:c r="N170" s="12" t="inlineStr">
        <x:is>
          <x:t xml:space="preserve">official filing-derived derivative</x:t>
        </x:is>
      </x:c>
      <x:c r="O170" s="13" t="inlineStr">
        <x:is>
          <x:t xml:space="preserve">Official IRS filing identifier; ProPublica used for navigation/corroboration</x:t>
        </x:is>
      </x:c>
      <x:c r="P170" s="13" t="inlineStr">
        <x:is>
          <x:t xml:space="preserve">ProPublica filing-derived table lines 21-90; IRS object ID from XML link</x:t>
        </x:is>
      </x:c>
      <x:c r="Q170" s="13" t="inlineStr">
        <x:is>
          <x:t xml:space="preserve">Cash proxy arithmetic and total-proxy arithmetic validated; source-native IRS XML could not be archived in this environment.</x:t>
        </x:is>
      </x:c>
    </x:row>
    <x:row r="171">
      <x:c r="A171" s="12" t="inlineStr">
        <x:is>
          <x:t xml:space="preserve">SRC-990-EXT-SAN-FRANCISCO-ESTUARY-INSTITUTE</x:t>
        </x:is>
      </x:c>
      <x:c r="B171" s="12" t="inlineStr">
        <x:is>
          <x:t xml:space="preserve">San Francisco Estuary Institute</x:t>
        </x:is>
      </x:c>
      <x:c r="C171" s="12" t="inlineStr">
        <x:is>
          <x:t xml:space="preserve">Form 990 filing-derived snapshot</x:t>
        </x:is>
      </x:c>
      <x:c r="D171" s="16" t="inlineStr">
        <x:is>
          <x:t xml:space="preserve">https://apps.irs.gov/pub/epostcard/990/xml/2026/202631319349304238_public.xml</x:t>
        </x:is>
      </x:c>
      <x:c r="E171" s="16" t="inlineStr">
        <x:is>
          <x:t xml:space="preserve">https://projects.propublica.org/nonprofits/organizations/942951373</x:t>
        </x:is>
      </x:c>
      <x:c r="F171" s="12" t="inlineStr">
        <x:is>
          <x:t xml:space="preserve">2026-08-25</x:t>
        </x:is>
      </x:c>
      <x:c r="G171" s="16" t="inlineStr">
        <x:is>
          <x:t xml:space="preserve">sources/raw/src-990-ext-san-francisco-estuary-institute.txt</x:t>
        </x:is>
      </x:c>
      <x:c r="H171" s="12" t="inlineStr">
        <x:is>
          <x:t xml:space="preserve">text/plain; charset=utf-8</x:t>
        </x:is>
      </x:c>
      <x:c r="I171" s="12" t="n">
        <x:v>1702</x:v>
      </x:c>
      <x:c r="J171" s="13" t="inlineStr">
        <x:is>
          <x:t xml:space="preserve">b9d44d786b55a31ac6b8cb760d6d3e56814a5d3ea063d18b6e67d58fa1869ea8</x:t>
        </x:is>
      </x:c>
      <x:c r="K171" s="12" t="inlineStr">
        <x:is>
          <x:t xml:space="preserve">2024-07-01 to 2025-06-30</x:t>
        </x:is>
      </x:c>
      <x:c r="L171" s="12" t="inlineStr">
        <x:is>
          <x:t xml:space="preserve">94-2951373</x:t>
        </x:is>
      </x:c>
      <x:c r="M171" s="12" t="inlineStr">
        <x:is>
          <x:t xml:space="preserve">202631319349304238</x:t>
        </x:is>
      </x:c>
      <x:c r="N171" s="12" t="inlineStr">
        <x:is>
          <x:t xml:space="preserve">official filing-derived derivative</x:t>
        </x:is>
      </x:c>
      <x:c r="O171" s="13" t="inlineStr">
        <x:is>
          <x:t xml:space="preserve">Official IRS filing identifier; ProPublica used for navigation/corroboration</x:t>
        </x:is>
      </x:c>
      <x:c r="P171" s="12" t="inlineStr">
        <x:is>
          <x:t xml:space="preserve">ProPublica latest FY2025 filing table</x:t>
        </x:is>
      </x:c>
      <x:c r="Q171" s="13" t="inlineStr">
        <x:is>
          <x:t xml:space="preserve">Cash proxy arithmetic and total-proxy arithmetic validated; source-native IRS XML could not be archived in this environment.</x:t>
        </x:is>
      </x:c>
    </x:row>
    <x:row r="172">
      <x:c r="A172" s="12" t="inlineStr">
        <x:is>
          <x:t xml:space="preserve">SRC-990-EXT-SENTIENT-MEDIA</x:t>
        </x:is>
      </x:c>
      <x:c r="B172" s="12" t="inlineStr">
        <x:is>
          <x:t xml:space="preserve">Sentient Media</x:t>
        </x:is>
      </x:c>
      <x:c r="C172" s="12" t="inlineStr">
        <x:is>
          <x:t xml:space="preserve">Form 990 filing-derived snapshot</x:t>
        </x:is>
      </x:c>
      <x:c r="D172" s="16" t="inlineStr">
        <x:is>
          <x:t xml:space="preserve">https://apps.irs.gov/pub/epostcard/990/xml/2025/202512829349301726_public.xml</x:t>
        </x:is>
      </x:c>
      <x:c r="E172" s="16" t="inlineStr">
        <x:is>
          <x:t xml:space="preserve">https://projects.propublica.org/nonprofits/organizations/830804345</x:t>
        </x:is>
      </x:c>
      <x:c r="F172" s="12" t="inlineStr">
        <x:is>
          <x:t xml:space="preserve">2026-08-25</x:t>
        </x:is>
      </x:c>
      <x:c r="G172" s="17" t="inlineStr">
        <x:is>
          <x:t xml:space="preserve">sources/raw/src-990-ext-sentient-media.txt</x:t>
        </x:is>
      </x:c>
      <x:c r="H172" s="12" t="inlineStr">
        <x:is>
          <x:t xml:space="preserve">text/plain; charset=utf-8</x:t>
        </x:is>
      </x:c>
      <x:c r="I172" s="12" t="n">
        <x:v>1901</x:v>
      </x:c>
      <x:c r="J172" s="13" t="inlineStr">
        <x:is>
          <x:t xml:space="preserve">27d8278c761ea9ca56353c24f399bb0b4e68e05d7123de332107095ae7dd7204</x:t>
        </x:is>
      </x:c>
      <x:c r="K172" s="12" t="inlineStr">
        <x:is>
          <x:t xml:space="preserve">2024-01-01 to 2024-12-31</x:t>
        </x:is>
      </x:c>
      <x:c r="L172" s="12" t="inlineStr">
        <x:is>
          <x:t xml:space="preserve">83-0804345</x:t>
        </x:is>
      </x:c>
      <x:c r="M172" s="12" t="inlineStr">
        <x:is>
          <x:t xml:space="preserve">202512829349301726</x:t>
        </x:is>
      </x:c>
      <x:c r="N172" s="12" t="inlineStr">
        <x:is>
          <x:t xml:space="preserve">official filing-derived derivative</x:t>
        </x:is>
      </x:c>
      <x:c r="O172" s="13" t="inlineStr">
        <x:is>
          <x:t xml:space="preserve">Official IRS filing identifier; ProPublica used for navigation/corroboration</x:t>
        </x:is>
      </x:c>
      <x:c r="P172" s="13" t="inlineStr">
        <x:is>
          <x:t xml:space="preserve">ProPublica filing-derived table; official IRS object ID identified from XML link; browser source turn805570view2.</x:t>
        </x:is>
      </x:c>
      <x:c r="Q172" s="13" t="inlineStr">
        <x:is>
          <x:t xml:space="preserve">Cash proxy arithmetic and total-proxy arithmetic validated; source-native IRS XML could not be archived in this environment.</x:t>
        </x:is>
      </x:c>
    </x:row>
    <x:row r="173">
      <x:c r="A173" s="12" t="inlineStr">
        <x:is>
          <x:t xml:space="preserve">SRC-990-EXT-SIGHTLINE-INSTITUTE</x:t>
        </x:is>
      </x:c>
      <x:c r="B173" s="12" t="inlineStr">
        <x:is>
          <x:t xml:space="preserve">Sightline Institute</x:t>
        </x:is>
      </x:c>
      <x:c r="C173" s="12" t="inlineStr">
        <x:is>
          <x:t xml:space="preserve">Form 990 filing-derived snapshot</x:t>
        </x:is>
      </x:c>
      <x:c r="D173" s="16" t="inlineStr">
        <x:is>
          <x:t xml:space="preserve">https://apps.irs.gov/pub/epostcard/990/xml/2025/202522249349300332_public.xml</x:t>
        </x:is>
      </x:c>
      <x:c r="E173" s="16" t="inlineStr">
        <x:is>
          <x:t xml:space="preserve">https://projects.propublica.org/nonprofits/organizations/521833599</x:t>
        </x:is>
      </x:c>
      <x:c r="F173" s="12" t="inlineStr">
        <x:is>
          <x:t xml:space="preserve">2026-08-25</x:t>
        </x:is>
      </x:c>
      <x:c r="G173" s="16" t="inlineStr">
        <x:is>
          <x:t xml:space="preserve">sources/raw/src-990-ext-sightline-institute.txt</x:t>
        </x:is>
      </x:c>
      <x:c r="H173" s="12" t="inlineStr">
        <x:is>
          <x:t xml:space="preserve">text/plain; charset=utf-8</x:t>
        </x:is>
      </x:c>
      <x:c r="I173" s="12" t="n">
        <x:v>1905</x:v>
      </x:c>
      <x:c r="J173" s="13" t="inlineStr">
        <x:is>
          <x:t xml:space="preserve">dc9d4b236b22d8e3a8f564a2b848c2b3db89f329d7080e72c377479e775f0088</x:t>
        </x:is>
      </x:c>
      <x:c r="K173" s="12" t="inlineStr">
        <x:is>
          <x:t xml:space="preserve">2024-01-01 to 2024-12-31</x:t>
        </x:is>
      </x:c>
      <x:c r="L173" s="12" t="inlineStr">
        <x:is>
          <x:t xml:space="preserve">52-1833599</x:t>
        </x:is>
      </x:c>
      <x:c r="M173" s="12" t="inlineStr">
        <x:is>
          <x:t xml:space="preserve">202522249349300332</x:t>
        </x:is>
      </x:c>
      <x:c r="N173" s="12" t="inlineStr">
        <x:is>
          <x:t xml:space="preserve">official filing-derived derivative</x:t>
        </x:is>
      </x:c>
      <x:c r="O173" s="13" t="inlineStr">
        <x:is>
          <x:t xml:space="preserve">Official IRS filing identifier; ProPublica used for navigation/corroboration</x:t>
        </x:is>
      </x:c>
      <x:c r="P173" s="13" t="inlineStr">
        <x:is>
          <x:t xml:space="preserve">ProPublica filing-derived table; official IRS object ID identified from XML link; browser source turn805570view0.</x:t>
        </x:is>
      </x:c>
      <x:c r="Q173" s="13" t="inlineStr">
        <x:is>
          <x:t xml:space="preserve">Cash proxy arithmetic and total-proxy arithmetic validated; source-native IRS XML could not be archived in this environment.</x:t>
        </x:is>
      </x:c>
    </x:row>
    <x:row r="174">
      <x:c r="A174" s="12" t="inlineStr">
        <x:is>
          <x:t xml:space="preserve">SRC-990-EXT-SOCIAL-SCIENCE-RESEARCH-COUNCIL</x:t>
        </x:is>
      </x:c>
      <x:c r="B174" s="12" t="inlineStr">
        <x:is>
          <x:t xml:space="preserve">Social Science Research Council</x:t>
        </x:is>
      </x:c>
      <x:c r="C174" s="12" t="inlineStr">
        <x:is>
          <x:t xml:space="preserve">Form 990 filing-derived snapshot</x:t>
        </x:is>
      </x:c>
      <x:c r="D174" s="16" t="inlineStr">
        <x:is>
          <x:t xml:space="preserve">https://apps.irs.gov/pub/epostcard/990/xml/2026/202641339349307834_public.xml</x:t>
        </x:is>
      </x:c>
      <x:c r="E174" s="16" t="inlineStr">
        <x:is>
          <x:t xml:space="preserve">https://projects.propublica.org/nonprofits/organizations/131325070</x:t>
        </x:is>
      </x:c>
      <x:c r="F174" s="12" t="inlineStr">
        <x:is>
          <x:t xml:space="preserve">2026-08-25</x:t>
        </x:is>
      </x:c>
      <x:c r="G174" s="16" t="inlineStr">
        <x:is>
          <x:t xml:space="preserve">sources/raw/src-990-ext-social-science-research-council.txt</x:t>
        </x:is>
      </x:c>
      <x:c r="H174" s="12" t="inlineStr">
        <x:is>
          <x:t xml:space="preserve">text/plain; charset=utf-8</x:t>
        </x:is>
      </x:c>
      <x:c r="I174" s="12" t="n">
        <x:v>1959</x:v>
      </x:c>
      <x:c r="J174" s="13" t="inlineStr">
        <x:is>
          <x:t xml:space="preserve">97ab47f0f6f0bc1e2b95dac3fe4797ced05418b8f7dbe8b2b25a491abb9e68bc</x:t>
        </x:is>
      </x:c>
      <x:c r="K174" s="12" t="inlineStr">
        <x:is>
          <x:t xml:space="preserve">2024-07-01 to 2025-06-30</x:t>
        </x:is>
      </x:c>
      <x:c r="L174" s="12" t="inlineStr">
        <x:is>
          <x:t xml:space="preserve">13-1325070</x:t>
        </x:is>
      </x:c>
      <x:c r="M174" s="12" t="inlineStr">
        <x:is>
          <x:t xml:space="preserve">202641339349307834</x:t>
        </x:is>
      </x:c>
      <x:c r="N174" s="12" t="inlineStr">
        <x:is>
          <x:t xml:space="preserve">official filing-derived derivative</x:t>
        </x:is>
      </x:c>
      <x:c r="O174" s="13" t="inlineStr">
        <x:is>
          <x:t xml:space="preserve">Official IRS filing identifier; ProPublica used for navigation/corroboration</x:t>
        </x:is>
      </x:c>
      <x:c r="P174" s="13" t="inlineStr">
        <x:is>
          <x:t xml:space="preserve">Form 990 Part VII Section A, columns D/E/F; rendered ProPublica Compensation table. Revenue/expenses from rendered Extracted Financial Data. Exact XML element names unavailable without raw XML.</x:t>
        </x:is>
      </x:c>
      <x:c r="Q174" s="13" t="inlineStr">
        <x:is>
          <x:t xml:space="preserve">Cash proxy arithmetic and total-proxy arithmetic validated; source-native IRS XML could not be archived in this environment.</x:t>
        </x:is>
      </x:c>
    </x:row>
    <x:row r="175">
      <x:c r="A175" s="12" t="inlineStr">
        <x:is>
          <x:t xml:space="preserve">SRC-990-SSRC-2024</x:t>
        </x:is>
      </x:c>
      <x:c r="B175" s="12" t="inlineStr">
        <x:is>
          <x:t xml:space="preserve">Social Science Research Council</x:t>
        </x:is>
      </x:c>
      <x:c r="C175" s="12" t="inlineStr">
        <x:is>
          <x:t xml:space="preserve">Form 990 filing-derived snapshot</x:t>
        </x:is>
      </x:c>
      <x:c r="D175" s="16" t="inlineStr">
        <x:is>
          <x:t xml:space="preserve">https://apps.irs.gov/pub/epostcard/990/xml/2026/202641339349307834_public.xml</x:t>
        </x:is>
      </x:c>
      <x:c r="E175" s="16" t="inlineStr">
        <x:is>
          <x:t xml:space="preserve">https://projects.propublica.org/nonprofits/organizations/131325070</x:t>
        </x:is>
      </x:c>
      <x:c r="F175" s="12" t="inlineStr">
        <x:is>
          <x:t xml:space="preserve">2026-08-17T18:45:00-07:00</x:t>
        </x:is>
      </x:c>
      <x:c r="G175" s="17" t="inlineStr">
        <x:is>
          <x:t xml:space="preserve">sources/raw/src-990-ssrc-2024.txt</x:t>
        </x:is>
      </x:c>
      <x:c r="H175" s="12" t="inlineStr">
        <x:is>
          <x:t xml:space="preserve">text/plain; charset=utf-8</x:t>
        </x:is>
      </x:c>
      <x:c r="I175" s="12" t="n">
        <x:v>1708</x:v>
      </x:c>
      <x:c r="J175" s="13" t="inlineStr">
        <x:is>
          <x:t xml:space="preserve">470fd81cec6ba4e4f70402ddc6d401b3558c4887ff5cf44ae03940337a1bd289</x:t>
        </x:is>
      </x:c>
      <x:c r="K175" s="12" t="inlineStr">
        <x:is>
          <x:t xml:space="preserve">2024-07-01 to 2025-06-30</x:t>
        </x:is>
      </x:c>
      <x:c r="L175" s="12" t="inlineStr">
        <x:is>
          <x:t xml:space="preserve">13-1325070</x:t>
        </x:is>
      </x:c>
      <x:c r="M175" s="12" t="inlineStr">
        <x:is>
          <x:t xml:space="preserve">202641339349307834</x:t>
        </x:is>
      </x:c>
      <x:c r="N175" s="12" t="inlineStr">
        <x:is>
          <x:t xml:space="preserve">derivative</x:t>
        </x:is>
      </x:c>
      <x:c r="O175" s="13" t="inlineStr">
        <x:is>
          <x:t xml:space="preserve">official filing via IRS; browser rendering via ProPublica where available</x:t>
        </x:is>
      </x:c>
      <x:c r="P175" s="12" t="inlineStr">
        <x:is>
          <x:t xml:space="preserve">turn579724view2 L25-L93</x:t>
        </x:is>
      </x:c>
      <x:c r="Q175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76">
      <x:c r="A176" s="12" t="inlineStr">
        <x:is>
          <x:t xml:space="preserve">SRC-990-EXT-SOFTWARE-FREEDOM-CONSERVANCY</x:t>
        </x:is>
      </x:c>
      <x:c r="B176" s="12" t="inlineStr">
        <x:is>
          <x:t xml:space="preserve">Software Freedom Conservancy</x:t>
        </x:is>
      </x:c>
      <x:c r="C176" s="12" t="inlineStr">
        <x:is>
          <x:t xml:space="preserve">Form 990 filing-derived snapshot</x:t>
        </x:is>
      </x:c>
      <x:c r="D176" s="16" t="inlineStr">
        <x:is>
          <x:t xml:space="preserve">https://apps.irs.gov/pub/epostcard/990/xml/2026/202640169349300604_public.xml</x:t>
        </x:is>
      </x:c>
      <x:c r="E176" s="16" t="inlineStr">
        <x:is>
          <x:t xml:space="preserve">https://projects.propublica.org/nonprofits/organizations/412203632</x:t>
        </x:is>
      </x:c>
      <x:c r="F176" s="12" t="inlineStr">
        <x:is>
          <x:t xml:space="preserve">2026-08-25</x:t>
        </x:is>
      </x:c>
      <x:c r="G176" s="16" t="inlineStr">
        <x:is>
          <x:t xml:space="preserve">sources/raw/src-990-ext-software-freedom-conservancy.txt</x:t>
        </x:is>
      </x:c>
      <x:c r="H176" s="12" t="inlineStr">
        <x:is>
          <x:t xml:space="preserve">text/plain; charset=utf-8</x:t>
        </x:is>
      </x:c>
      <x:c r="I176" s="12" t="n">
        <x:v>2013</x:v>
      </x:c>
      <x:c r="J176" s="13" t="inlineStr">
        <x:is>
          <x:t xml:space="preserve">6f50793bbf8662759831bb889222e889435223c12f53b21e20fe05aca414458c</x:t>
        </x:is>
      </x:c>
      <x:c r="K176" s="12" t="inlineStr">
        <x:is>
          <x:t xml:space="preserve">2024-03-01 to 2025-02-28</x:t>
        </x:is>
      </x:c>
      <x:c r="L176" s="12" t="inlineStr">
        <x:is>
          <x:t xml:space="preserve">41-2203632</x:t>
        </x:is>
      </x:c>
      <x:c r="M176" s="12" t="inlineStr">
        <x:is>
          <x:t xml:space="preserve">202640169349300604</x:t>
        </x:is>
      </x:c>
      <x:c r="N176" s="12" t="inlineStr">
        <x:is>
          <x:t xml:space="preserve">official filing-derived derivative</x:t>
        </x:is>
      </x:c>
      <x:c r="O176" s="13" t="inlineStr">
        <x:is>
          <x:t xml:space="preserve">Official IRS filing identifier; ProPublica used for navigation/corroboration</x:t>
        </x:is>
      </x:c>
      <x:c r="P176" s="13" t="inlineStr">
        <x:is>
          <x:t xml:space="preserve">ProPublica filing-derived table and XML link; browser source turn509907view1 lines 21-89.</x:t>
        </x:is>
      </x:c>
      <x:c r="Q176" s="13" t="inlineStr">
        <x:is>
          <x:t xml:space="preserve">Cash proxy arithmetic and total-proxy arithmetic validated; source-native IRS XML could not be archived in this environment.</x:t>
        </x:is>
      </x:c>
    </x:row>
    <x:row r="177">
      <x:c r="A177" s="12" t="inlineStr">
        <x:is>
          <x:t xml:space="preserve">SRC-990-EXT-STIMSON-CENTER</x:t>
        </x:is>
      </x:c>
      <x:c r="B177" s="12" t="inlineStr">
        <x:is>
          <x:t xml:space="preserve">Stimson Center</x:t>
        </x:is>
      </x:c>
      <x:c r="C177" s="12" t="inlineStr">
        <x:is>
          <x:t xml:space="preserve">Form 990 filing-derived snapshot</x:t>
        </x:is>
      </x:c>
      <x:c r="D177" s="16" t="inlineStr">
        <x:is>
          <x:t xml:space="preserve">https://apps.irs.gov/pub/epostcard/990/xml/2025/202533169349304988_public.xml</x:t>
        </x:is>
      </x:c>
      <x:c r="E177" s="16" t="inlineStr">
        <x:is>
          <x:t xml:space="preserve">https://projects.propublica.org/nonprofits/organizations/521640938</x:t>
        </x:is>
      </x:c>
      <x:c r="F177" s="12" t="inlineStr">
        <x:is>
          <x:t xml:space="preserve">2026-08-25</x:t>
        </x:is>
      </x:c>
      <x:c r="G177" s="17" t="inlineStr">
        <x:is>
          <x:t xml:space="preserve">sources/raw/src-990-ext-stimson-center.txt</x:t>
        </x:is>
      </x:c>
      <x:c r="H177" s="12" t="inlineStr">
        <x:is>
          <x:t xml:space="preserve">text/plain; charset=utf-8</x:t>
        </x:is>
      </x:c>
      <x:c r="I177" s="12" t="n">
        <x:v>1688</x:v>
      </x:c>
      <x:c r="J177" s="13" t="inlineStr">
        <x:is>
          <x:t xml:space="preserve">8f0cb5df3e6b1030ea7bb9d0d7210b2cf80f0a5817266af339e4a77a04734214</x:t>
        </x:is>
      </x:c>
      <x:c r="K177" s="12" t="inlineStr">
        <x:is>
          <x:t xml:space="preserve">2024-01-01 to 2024-12-31</x:t>
        </x:is>
      </x:c>
      <x:c r="L177" s="12" t="inlineStr">
        <x:is>
          <x:t xml:space="preserve">52-1640938</x:t>
        </x:is>
      </x:c>
      <x:c r="M177" s="12" t="inlineStr">
        <x:is>
          <x:t xml:space="preserve">202533169349304988</x:t>
        </x:is>
      </x:c>
      <x:c r="N177" s="12" t="inlineStr">
        <x:is>
          <x:t xml:space="preserve">official filing-derived derivative</x:t>
        </x:is>
      </x:c>
      <x:c r="O177" s="13" t="inlineStr">
        <x:is>
          <x:t xml:space="preserve">Official IRS filing identifier; ProPublica used for navigation/corroboration</x:t>
        </x:is>
      </x:c>
      <x:c r="P177" s="12" t="inlineStr">
        <x:is>
          <x:t xml:space="preserve">ProPublica latest 2024 filing table</x:t>
        </x:is>
      </x:c>
      <x:c r="Q177" s="13" t="inlineStr">
        <x:is>
          <x:t xml:space="preserve">Cash proxy arithmetic and total-proxy arithmetic validated; source-native IRS XML could not be archived in this environment.</x:t>
        </x:is>
      </x:c>
    </x:row>
    <x:row r="178">
      <x:c r="A178" s="12" t="inlineStr">
        <x:is>
          <x:t xml:space="preserve">SRC-990-EXT-STRONGMINDS</x:t>
        </x:is>
      </x:c>
      <x:c r="B178" s="12" t="inlineStr">
        <x:is>
          <x:t xml:space="preserve">StrongMinds</x:t>
        </x:is>
      </x:c>
      <x:c r="C178" s="12" t="inlineStr">
        <x:is>
          <x:t xml:space="preserve">Form 990 filing-derived snapshot</x:t>
        </x:is>
      </x:c>
      <x:c r="D178" s="16" t="inlineStr">
        <x:is>
          <x:t xml:space="preserve">https://apps.irs.gov/pub/epostcard/990/xml/2025/202511719349300036_public.xml</x:t>
        </x:is>
      </x:c>
      <x:c r="E178" s="16" t="inlineStr">
        <x:is>
          <x:t xml:space="preserve">https://projects.propublica.org/nonprofits/organizations/462090059</x:t>
        </x:is>
      </x:c>
      <x:c r="F178" s="12" t="inlineStr">
        <x:is>
          <x:t xml:space="preserve">2026-08-25</x:t>
        </x:is>
      </x:c>
      <x:c r="G178" s="17" t="inlineStr">
        <x:is>
          <x:t xml:space="preserve">sources/raw/src-990-ext-strongminds.txt</x:t>
        </x:is>
      </x:c>
      <x:c r="H178" s="12" t="inlineStr">
        <x:is>
          <x:t xml:space="preserve">text/plain; charset=utf-8</x:t>
        </x:is>
      </x:c>
      <x:c r="I178" s="12" t="n">
        <x:v>1835</x:v>
      </x:c>
      <x:c r="J178" s="13" t="inlineStr">
        <x:is>
          <x:t xml:space="preserve">7e61b3dc56a05e8ae291106ea6e307a5e5f99cdd9baef778728d842157e7cd38</x:t>
        </x:is>
      </x:c>
      <x:c r="K178" s="12" t="inlineStr">
        <x:is>
          <x:t xml:space="preserve">2024-01-01 to 2024-12-31</x:t>
        </x:is>
      </x:c>
      <x:c r="L178" s="12" t="inlineStr">
        <x:is>
          <x:t xml:space="preserve">46-2090059</x:t>
        </x:is>
      </x:c>
      <x:c r="M178" s="12" t="inlineStr">
        <x:is>
          <x:t xml:space="preserve">202511719349300036</x:t>
        </x:is>
      </x:c>
      <x:c r="N178" s="12" t="inlineStr">
        <x:is>
          <x:t xml:space="preserve">official filing-derived derivative</x:t>
        </x:is>
      </x:c>
      <x:c r="O178" s="13" t="inlineStr">
        <x:is>
          <x:t xml:space="preserve">Official IRS filing identifier; ProPublica used for navigation/corroboration</x:t>
        </x:is>
      </x:c>
      <x:c r="P178" s="13" t="inlineStr">
        <x:is>
          <x:t xml:space="preserve">ProPublica filing-derived table; official IRS object ID identified from XML link</x:t>
        </x:is>
      </x:c>
      <x:c r="Q178" s="13" t="inlineStr">
        <x:is>
          <x:t xml:space="preserve">Cash proxy arithmetic and total-proxy arithmetic validated; source-native IRS XML could not be archived in this environment.</x:t>
        </x:is>
      </x:c>
    </x:row>
    <x:row r="179">
      <x:c r="A179" s="12" t="inlineStr">
        <x:is>
          <x:t xml:space="preserve">SRC-990-EXT-TAX-FOUNDATION</x:t>
        </x:is>
      </x:c>
      <x:c r="B179" s="12" t="inlineStr">
        <x:is>
          <x:t xml:space="preserve">Tax Foundation</x:t>
        </x:is>
      </x:c>
      <x:c r="C179" s="12" t="inlineStr">
        <x:is>
          <x:t xml:space="preserve">Form 990 filing-derived snapshot</x:t>
        </x:is>
      </x:c>
      <x:c r="D179" s="16" t="inlineStr">
        <x:is>
          <x:t xml:space="preserve">https://apps.irs.gov/pub/epostcard/990/xml/2026/202631959349301758_public.xml</x:t>
        </x:is>
      </x:c>
      <x:c r="E179" s="16" t="inlineStr">
        <x:is>
          <x:t xml:space="preserve">https://projects.propublica.org/nonprofits/organizations/521703065</x:t>
        </x:is>
      </x:c>
      <x:c r="F179" s="12" t="inlineStr">
        <x:is>
          <x:t xml:space="preserve">2026-08-25</x:t>
        </x:is>
      </x:c>
      <x:c r="G179" s="17" t="inlineStr">
        <x:is>
          <x:t xml:space="preserve">sources/raw/src-990-ext-tax-foundation.txt</x:t>
        </x:is>
      </x:c>
      <x:c r="H179" s="12" t="inlineStr">
        <x:is>
          <x:t xml:space="preserve">text/plain; charset=utf-8</x:t>
        </x:is>
      </x:c>
      <x:c r="I179" s="12" t="n">
        <x:v>1841</x:v>
      </x:c>
      <x:c r="J179" s="13" t="inlineStr">
        <x:is>
          <x:t xml:space="preserve">5720c30bc988b64e084da973728290a7ae1105b96f7410f0a606d778c99e30ad</x:t>
        </x:is>
      </x:c>
      <x:c r="K179" s="12" t="inlineStr">
        <x:is>
          <x:t xml:space="preserve">2025-01-01 to 2025-12-31</x:t>
        </x:is>
      </x:c>
      <x:c r="L179" s="12" t="inlineStr">
        <x:is>
          <x:t xml:space="preserve">52-1703065</x:t>
        </x:is>
      </x:c>
      <x:c r="M179" s="12" t="inlineStr">
        <x:is>
          <x:t xml:space="preserve">202631959349301758</x:t>
        </x:is>
      </x:c>
      <x:c r="N179" s="12" t="inlineStr">
        <x:is>
          <x:t xml:space="preserve">official filing-derived derivative</x:t>
        </x:is>
      </x:c>
      <x:c r="O179" s="13" t="inlineStr">
        <x:is>
          <x:t xml:space="preserve">Official IRS filing identifier; ProPublica used for navigation/corroboration</x:t>
        </x:is>
      </x:c>
      <x:c r="P179" s="13" t="inlineStr">
        <x:is>
          <x:t xml:space="preserve">ProPublica filing-derived table lines 21-89; IRS object ID from XML link</x:t>
        </x:is>
      </x:c>
      <x:c r="Q179" s="13" t="inlineStr">
        <x:is>
          <x:t xml:space="preserve">Cash proxy arithmetic and total-proxy arithmetic validated; source-native IRS XML could not be archived in this environment.</x:t>
        </x:is>
      </x:c>
    </x:row>
    <x:row r="180">
      <x:c r="A180" s="12" t="inlineStr">
        <x:is>
          <x:t xml:space="preserve">SRC-990-EXT-TECHCONGRESS</x:t>
        </x:is>
      </x:c>
      <x:c r="B180" s="12" t="inlineStr">
        <x:is>
          <x:t xml:space="preserve">TechCongress</x:t>
        </x:is>
      </x:c>
      <x:c r="C180" s="12" t="inlineStr">
        <x:is>
          <x:t xml:space="preserve">Form 990 filing-derived snapshot</x:t>
        </x:is>
      </x:c>
      <x:c r="D180" s="16" t="inlineStr">
        <x:is>
          <x:t xml:space="preserve">https://apps.irs.gov/pub/epostcard/990/xml/2026/202621959349301032_public.xml</x:t>
        </x:is>
      </x:c>
      <x:c r="E180" s="16" t="inlineStr">
        <x:is>
          <x:t xml:space="preserve">https://projects.propublica.org/nonprofits/organizations/811839685</x:t>
        </x:is>
      </x:c>
      <x:c r="F180" s="12" t="inlineStr">
        <x:is>
          <x:t xml:space="preserve">2026-08-25</x:t>
        </x:is>
      </x:c>
      <x:c r="G180" s="17" t="inlineStr">
        <x:is>
          <x:t xml:space="preserve">sources/raw/src-990-ext-techcongress.txt</x:t>
        </x:is>
      </x:c>
      <x:c r="H180" s="12" t="inlineStr">
        <x:is>
          <x:t xml:space="preserve">text/plain; charset=utf-8</x:t>
        </x:is>
      </x:c>
      <x:c r="I180" s="12" t="n">
        <x:v>1931</x:v>
      </x:c>
      <x:c r="J180" s="13" t="inlineStr">
        <x:is>
          <x:t xml:space="preserve">1ad9c37b0e6031d43e3e12924d9a676d5b9f1963a12f4a6074559a7cdf2400d0</x:t>
        </x:is>
      </x:c>
      <x:c r="K180" s="12" t="inlineStr">
        <x:is>
          <x:t xml:space="preserve">2025-01-01 to 2025-12-31</x:t>
        </x:is>
      </x:c>
      <x:c r="L180" s="12" t="inlineStr">
        <x:is>
          <x:t xml:space="preserve">81-1839685</x:t>
        </x:is>
      </x:c>
      <x:c r="M180" s="12" t="inlineStr">
        <x:is>
          <x:t xml:space="preserve">202621959349301032</x:t>
        </x:is>
      </x:c>
      <x:c r="N180" s="12" t="inlineStr">
        <x:is>
          <x:t xml:space="preserve">official filing-derived derivative</x:t>
        </x:is>
      </x:c>
      <x:c r="O180" s="13" t="inlineStr">
        <x:is>
          <x:t xml:space="preserve">Official IRS filing identifier; ProPublica used for navigation/corroboration</x:t>
        </x:is>
      </x:c>
      <x:c r="P180" s="13" t="inlineStr">
        <x:is>
          <x:t xml:space="preserve">ProPublica filing-derived table and XML link; browser source turn568961view0 lines 21-89.</x:t>
        </x:is>
      </x:c>
      <x:c r="Q180" s="13" t="inlineStr">
        <x:is>
          <x:t xml:space="preserve">Cash proxy arithmetic and total-proxy arithmetic validated; source-native IRS XML could not be archived in this environment.</x:t>
        </x:is>
      </x:c>
    </x:row>
    <x:row r="181">
      <x:c r="A181" s="13" t="inlineStr">
        <x:is>
          <x:t xml:space="preserve">SRC-990-EXT-TECHNICAL-ASSISTANCE-COLLABORATIVE</x:t>
        </x:is>
      </x:c>
      <x:c r="B181" s="12" t="inlineStr">
        <x:is>
          <x:t xml:space="preserve">Technical Assistance Collaborative</x:t>
        </x:is>
      </x:c>
      <x:c r="C181" s="12" t="inlineStr">
        <x:is>
          <x:t xml:space="preserve">Form 990 filing-derived snapshot</x:t>
        </x:is>
      </x:c>
      <x:c r="D181" s="16" t="inlineStr">
        <x:is>
          <x:t xml:space="preserve">https://apps.irs.gov/pub/epostcard/990/xml/2025/202500629349300740_public.xml</x:t>
        </x:is>
      </x:c>
      <x:c r="E181" s="16" t="inlineStr">
        <x:is>
          <x:t xml:space="preserve">https://projects.propublica.org/nonprofits/organizations/223181028</x:t>
        </x:is>
      </x:c>
      <x:c r="F181" s="12" t="inlineStr">
        <x:is>
          <x:t xml:space="preserve">2026-08-25</x:t>
        </x:is>
      </x:c>
      <x:c r="G181" s="16" t="inlineStr">
        <x:is>
          <x:t xml:space="preserve">sources/raw/src-990-ext-technical-assistance-collaborative.txt</x:t>
        </x:is>
      </x:c>
      <x:c r="H181" s="12" t="inlineStr">
        <x:is>
          <x:t xml:space="preserve">text/plain; charset=utf-8</x:t>
        </x:is>
      </x:c>
      <x:c r="I181" s="12" t="n">
        <x:v>1919</x:v>
      </x:c>
      <x:c r="J181" s="13" t="inlineStr">
        <x:is>
          <x:t xml:space="preserve">33462705318f93b66413653bf91a174087a5e28c88778b22019f63fe5e0bdcda</x:t>
        </x:is>
      </x:c>
      <x:c r="K181" s="12" t="inlineStr">
        <x:is>
          <x:t xml:space="preserve">2023-07-01 to 2024-06-30</x:t>
        </x:is>
      </x:c>
      <x:c r="L181" s="12" t="inlineStr">
        <x:is>
          <x:t xml:space="preserve">22-3181028</x:t>
        </x:is>
      </x:c>
      <x:c r="M181" s="12" t="inlineStr">
        <x:is>
          <x:t xml:space="preserve">202500629349300740</x:t>
        </x:is>
      </x:c>
      <x:c r="N181" s="12" t="inlineStr">
        <x:is>
          <x:t xml:space="preserve">official filing-derived derivative</x:t>
        </x:is>
      </x:c>
      <x:c r="O181" s="13" t="inlineStr">
        <x:is>
          <x:t xml:space="preserve">Official IRS filing identifier; ProPublica used for navigation/corroboration</x:t>
        </x:is>
      </x:c>
      <x:c r="P181" s="12" t="inlineStr">
        <x:is>
          <x:t xml:space="preserve">ProPublica FY2024 filing table</x:t>
        </x:is>
      </x:c>
      <x:c r="Q181" s="13" t="inlineStr">
        <x:is>
          <x:t xml:space="preserve">Cash proxy arithmetic and total-proxy arithmetic validated; source-native IRS XML could not be archived in this environment.</x:t>
        </x:is>
      </x:c>
    </x:row>
    <x:row r="182">
      <x:c r="A182" s="12" t="inlineStr">
        <x:is>
          <x:t xml:space="preserve">SRC-990-EXT-THE-HUMANE-LEAGUE</x:t>
        </x:is>
      </x:c>
      <x:c r="B182" s="12" t="inlineStr">
        <x:is>
          <x:t xml:space="preserve">The Humane League</x:t>
        </x:is>
      </x:c>
      <x:c r="C182" s="12" t="inlineStr">
        <x:is>
          <x:t xml:space="preserve">Form 990 filing-derived snapshot</x:t>
        </x:is>
      </x:c>
      <x:c r="D182" s="16" t="inlineStr">
        <x:is>
          <x:t xml:space="preserve">https://apps.irs.gov/pub/epostcard/990/xml/2025/202512489349301801_public.xml</x:t>
        </x:is>
      </x:c>
      <x:c r="E182" s="16" t="inlineStr">
        <x:is>
          <x:t xml:space="preserve">https://projects.propublica.org/nonprofits/organizations/043817491</x:t>
        </x:is>
      </x:c>
      <x:c r="F182" s="12" t="inlineStr">
        <x:is>
          <x:t xml:space="preserve">2026-08-25</x:t>
        </x:is>
      </x:c>
      <x:c r="G182" s="17" t="inlineStr">
        <x:is>
          <x:t xml:space="preserve">sources/raw/src-990-ext-the-humane-league.txt</x:t>
        </x:is>
      </x:c>
      <x:c r="H182" s="12" t="inlineStr">
        <x:is>
          <x:t xml:space="preserve">text/plain; charset=utf-8</x:t>
        </x:is>
      </x:c>
      <x:c r="I182" s="12" t="n">
        <x:v>1906</x:v>
      </x:c>
      <x:c r="J182" s="13" t="inlineStr">
        <x:is>
          <x:t xml:space="preserve">41fca7b3bd039cba3049269b5603fdcdfb837d46716257efd4436ff39162259d</x:t>
        </x:is>
      </x:c>
      <x:c r="K182" s="12" t="inlineStr">
        <x:is>
          <x:t xml:space="preserve">2024-01-01 to 2024-12-31</x:t>
        </x:is>
      </x:c>
      <x:c r="L182" s="12" t="inlineStr">
        <x:is>
          <x:t xml:space="preserve">04-3817491</x:t>
        </x:is>
      </x:c>
      <x:c r="M182" s="12" t="inlineStr">
        <x:is>
          <x:t xml:space="preserve">202512489349301801</x:t>
        </x:is>
      </x:c>
      <x:c r="N182" s="12" t="inlineStr">
        <x:is>
          <x:t xml:space="preserve">official filing-derived derivative</x:t>
        </x:is>
      </x:c>
      <x:c r="O182" s="13" t="inlineStr">
        <x:is>
          <x:t xml:space="preserve">Official IRS filing identifier; ProPublica used for navigation/corroboration</x:t>
        </x:is>
      </x:c>
      <x:c r="P182" s="13" t="inlineStr">
        <x:is>
          <x:t xml:space="preserve">ProPublica filing-derived table; official IRS object ID identified from XML link</x:t>
        </x:is>
      </x:c>
      <x:c r="Q182" s="13" t="inlineStr">
        <x:is>
          <x:t xml:space="preserve">Cash proxy arithmetic and total-proxy arithmetic validated; source-native IRS XML could not be archived in this environment.</x:t>
        </x:is>
      </x:c>
    </x:row>
    <x:row r="183">
      <x:c r="A183" s="12" t="inlineStr">
        <x:is>
          <x:t xml:space="preserve">SRC-990-EXT-THE-SENTENCING-PROJECT</x:t>
        </x:is>
      </x:c>
      <x:c r="B183" s="12" t="inlineStr">
        <x:is>
          <x:t xml:space="preserve">The Sentencing Project</x:t>
        </x:is>
      </x:c>
      <x:c r="C183" s="12" t="inlineStr">
        <x:is>
          <x:t xml:space="preserve">Form 990 filing-derived snapshot</x:t>
        </x:is>
      </x:c>
      <x:c r="D183" s="16" t="inlineStr">
        <x:is>
          <x:t xml:space="preserve">https://apps.irs.gov/pub/epostcard/990/xml/2025/202522829349301367_public.xml</x:t>
        </x:is>
      </x:c>
      <x:c r="E183" s="16" t="inlineStr">
        <x:is>
          <x:t xml:space="preserve">https://projects.propublica.org/nonprofits/organizations/521472546</x:t>
        </x:is>
      </x:c>
      <x:c r="F183" s="12" t="inlineStr">
        <x:is>
          <x:t xml:space="preserve">2026-08-25</x:t>
        </x:is>
      </x:c>
      <x:c r="G183" s="16" t="inlineStr">
        <x:is>
          <x:t xml:space="preserve">sources/raw/src-990-ext-the-sentencing-project.txt</x:t>
        </x:is>
      </x:c>
      <x:c r="H183" s="12" t="inlineStr">
        <x:is>
          <x:t xml:space="preserve">text/plain; charset=utf-8</x:t>
        </x:is>
      </x:c>
      <x:c r="I183" s="12" t="n">
        <x:v>1825</x:v>
      </x:c>
      <x:c r="J183" s="13" t="inlineStr">
        <x:is>
          <x:t xml:space="preserve">b81c3c7734abfd26cbcf86be9f9785c9c3c3e91f1d1a6285bbe1f95ae1cc3131</x:t>
        </x:is>
      </x:c>
      <x:c r="K183" s="12" t="inlineStr">
        <x:is>
          <x:t xml:space="preserve">2024-01-01 to 2024-12-31</x:t>
        </x:is>
      </x:c>
      <x:c r="L183" s="12" t="inlineStr">
        <x:is>
          <x:t xml:space="preserve">52-1472546</x:t>
        </x:is>
      </x:c>
      <x:c r="M183" s="12" t="inlineStr">
        <x:is>
          <x:t xml:space="preserve">202522829349301367</x:t>
        </x:is>
      </x:c>
      <x:c r="N183" s="12" t="inlineStr">
        <x:is>
          <x:t xml:space="preserve">official filing-derived derivative</x:t>
        </x:is>
      </x:c>
      <x:c r="O183" s="13" t="inlineStr">
        <x:is>
          <x:t xml:space="preserve">Official IRS filing identifier; ProPublica used for navigation/corroboration</x:t>
        </x:is>
      </x:c>
      <x:c r="P183" s="13" t="inlineStr">
        <x:is>
          <x:t xml:space="preserve">ProPublica filing-derived table lines 20-88; IRS object ID from XML link</x:t>
        </x:is>
      </x:c>
      <x:c r="Q183" s="13" t="inlineStr">
        <x:is>
          <x:t xml:space="preserve">Cash proxy arithmetic and total-proxy arithmetic validated; source-native IRS XML could not be archived in this environment.</x:t>
        </x:is>
      </x:c>
    </x:row>
    <x:row r="184">
      <x:c r="A184" s="12" t="inlineStr">
        <x:is>
          <x:t xml:space="preserve">SRC-990-EXT-THIRD-WAY-INSTITUTE</x:t>
        </x:is>
      </x:c>
      <x:c r="B184" s="12" t="inlineStr">
        <x:is>
          <x:t xml:space="preserve">Third Way Institute</x:t>
        </x:is>
      </x:c>
      <x:c r="C184" s="12" t="inlineStr">
        <x:is>
          <x:t xml:space="preserve">Form 990 filing-derived snapshot</x:t>
        </x:is>
      </x:c>
      <x:c r="D184" s="16" t="inlineStr">
        <x:is>
          <x:t xml:space="preserve">https://apps.irs.gov/pub/epostcard/990/xml/2025/202543159349301669_public.xml</x:t>
        </x:is>
      </x:c>
      <x:c r="E184" s="16" t="inlineStr">
        <x:is>
          <x:t xml:space="preserve">https://projects.propublica.org/nonprofits/organizations/260535276</x:t>
        </x:is>
      </x:c>
      <x:c r="F184" s="12" t="inlineStr">
        <x:is>
          <x:t xml:space="preserve">2026-08-25</x:t>
        </x:is>
      </x:c>
      <x:c r="G184" s="16" t="inlineStr">
        <x:is>
          <x:t xml:space="preserve">sources/raw/src-990-ext-third-way-institute.txt</x:t>
        </x:is>
      </x:c>
      <x:c r="H184" s="12" t="inlineStr">
        <x:is>
          <x:t xml:space="preserve">text/plain; charset=utf-8</x:t>
        </x:is>
      </x:c>
      <x:c r="I184" s="12" t="n">
        <x:v>1928</x:v>
      </x:c>
      <x:c r="J184" s="13" t="inlineStr">
        <x:is>
          <x:t xml:space="preserve">04241e42a2bd1693f05123d7b276fe597c5d4659790cce57eb9f5f2fd5267b40</x:t>
        </x:is>
      </x:c>
      <x:c r="K184" s="12" t="inlineStr">
        <x:is>
          <x:t xml:space="preserve">2024-01-01 to 2024-12-31</x:t>
        </x:is>
      </x:c>
      <x:c r="L184" s="12" t="inlineStr">
        <x:is>
          <x:t xml:space="preserve">26-0535276</x:t>
        </x:is>
      </x:c>
      <x:c r="M184" s="12" t="inlineStr">
        <x:is>
          <x:t xml:space="preserve">202543159349301669</x:t>
        </x:is>
      </x:c>
      <x:c r="N184" s="12" t="inlineStr">
        <x:is>
          <x:t xml:space="preserve">official filing-derived derivative</x:t>
        </x:is>
      </x:c>
      <x:c r="O184" s="13" t="inlineStr">
        <x:is>
          <x:t xml:space="preserve">Official IRS filing identifier; ProPublica used for navigation/corroboration</x:t>
        </x:is>
      </x:c>
      <x:c r="P184" s="13" t="inlineStr">
        <x:is>
          <x:t xml:space="preserve">ProPublica filing-derived table lines 21-89; IRS object ID from XML link</x:t>
        </x:is>
      </x:c>
      <x:c r="Q184" s="13" t="inlineStr">
        <x:is>
          <x:t xml:space="preserve">Cash proxy arithmetic and total-proxy arithmetic validated; source-native IRS XML could not be archived in this environment.</x:t>
        </x:is>
      </x:c>
    </x:row>
    <x:row r="185">
      <x:c r="A185" s="12" t="inlineStr">
        <x:is>
          <x:t xml:space="preserve">SRC-990-EXT-VERA-INSTITUTE-OF-JUSTICE</x:t>
        </x:is>
      </x:c>
      <x:c r="B185" s="12" t="inlineStr">
        <x:is>
          <x:t xml:space="preserve">Vera Institute of Justice</x:t>
        </x:is>
      </x:c>
      <x:c r="C185" s="12" t="inlineStr">
        <x:is>
          <x:t xml:space="preserve">Form 990 filing-derived snapshot</x:t>
        </x:is>
      </x:c>
      <x:c r="D185" s="16" t="inlineStr">
        <x:is>
          <x:t xml:space="preserve">https://apps.irs.gov/pub/epostcard/990/xml/2026/202631359349314463_public.xml</x:t>
        </x:is>
      </x:c>
      <x:c r="E185" s="16" t="inlineStr">
        <x:is>
          <x:t xml:space="preserve">https://projects.propublica.org/nonprofits/organizations/131941627</x:t>
        </x:is>
      </x:c>
      <x:c r="F185" s="12" t="inlineStr">
        <x:is>
          <x:t xml:space="preserve">2026-08-25</x:t>
        </x:is>
      </x:c>
      <x:c r="G185" s="16" t="inlineStr">
        <x:is>
          <x:t xml:space="preserve">sources/raw/src-990-ext-vera-institute-of-justice.txt</x:t>
        </x:is>
      </x:c>
      <x:c r="H185" s="12" t="inlineStr">
        <x:is>
          <x:t xml:space="preserve">text/plain; charset=utf-8</x:t>
        </x:is>
      </x:c>
      <x:c r="I185" s="12" t="n">
        <x:v>1968</x:v>
      </x:c>
      <x:c r="J185" s="13" t="inlineStr">
        <x:is>
          <x:t xml:space="preserve">16728dcb2bbfa73ee0a1700881266cb9dfd270773fcd68388609c1b463e638f9</x:t>
        </x:is>
      </x:c>
      <x:c r="K185" s="12" t="inlineStr">
        <x:is>
          <x:t xml:space="preserve">2024-07-01 to 2025-06-30</x:t>
        </x:is>
      </x:c>
      <x:c r="L185" s="12" t="inlineStr">
        <x:is>
          <x:t xml:space="preserve">13-1941627</x:t>
        </x:is>
      </x:c>
      <x:c r="M185" s="12" t="inlineStr">
        <x:is>
          <x:t xml:space="preserve">202631359349314463</x:t>
        </x:is>
      </x:c>
      <x:c r="N185" s="12" t="inlineStr">
        <x:is>
          <x:t xml:space="preserve">official filing-derived derivative</x:t>
        </x:is>
      </x:c>
      <x:c r="O185" s="13" t="inlineStr">
        <x:is>
          <x:t xml:space="preserve">Official IRS filing identifier; ProPublica used for navigation/corroboration</x:t>
        </x:is>
      </x:c>
      <x:c r="P185" s="13" t="inlineStr">
        <x:is>
          <x:t xml:space="preserve">ProPublica filing-derived table; official IRS object ID identified from XML link; browser source turn327197view0.</x:t>
        </x:is>
      </x:c>
      <x:c r="Q185" s="13" t="inlineStr">
        <x:is>
          <x:t xml:space="preserve">Cash proxy arithmetic and total-proxy arithmetic validated; source-native IRS XML could not be archived in this environment.</x:t>
        </x:is>
      </x:c>
    </x:row>
    <x:row r="186">
      <x:c r="A186" s="12" t="inlineStr">
        <x:is>
          <x:t xml:space="preserve">SRC-990-EXT-VILLAGE-ENTERPRISE</x:t>
        </x:is>
      </x:c>
      <x:c r="B186" s="12" t="inlineStr">
        <x:is>
          <x:t xml:space="preserve">Village Enterprise</x:t>
        </x:is>
      </x:c>
      <x:c r="C186" s="12" t="inlineStr">
        <x:is>
          <x:t xml:space="preserve">Form 990 filing-derived snapshot</x:t>
        </x:is>
      </x:c>
      <x:c r="D186" s="16" t="inlineStr">
        <x:is>
          <x:t xml:space="preserve">https://apps.irs.gov/pub/epostcard/990/xml/2026/202631359349301128_public.xml</x:t>
        </x:is>
      </x:c>
      <x:c r="E186" s="16" t="inlineStr">
        <x:is>
          <x:t xml:space="preserve">https://projects.propublica.org/nonprofits/organizations/222852248</x:t>
        </x:is>
      </x:c>
      <x:c r="F186" s="12" t="inlineStr">
        <x:is>
          <x:t xml:space="preserve">2026-08-25</x:t>
        </x:is>
      </x:c>
      <x:c r="G186" s="16" t="inlineStr">
        <x:is>
          <x:t xml:space="preserve">sources/raw/src-990-ext-village-enterprise.txt</x:t>
        </x:is>
      </x:c>
      <x:c r="H186" s="12" t="inlineStr">
        <x:is>
          <x:t xml:space="preserve">text/plain; charset=utf-8</x:t>
        </x:is>
      </x:c>
      <x:c r="I186" s="12" t="n">
        <x:v>1841</x:v>
      </x:c>
      <x:c r="J186" s="13" t="inlineStr">
        <x:is>
          <x:t xml:space="preserve">3eb276d3c8ef89b59d64f6feedac28f7f60d33d56c68841bbfc0361104835ead</x:t>
        </x:is>
      </x:c>
      <x:c r="K186" s="12" t="inlineStr">
        <x:is>
          <x:t xml:space="preserve">2024-07-01 to 2025-06-30</x:t>
        </x:is>
      </x:c>
      <x:c r="L186" s="12" t="inlineStr">
        <x:is>
          <x:t xml:space="preserve">22-2852248</x:t>
        </x:is>
      </x:c>
      <x:c r="M186" s="12" t="inlineStr">
        <x:is>
          <x:t xml:space="preserve">202631359349301128</x:t>
        </x:is>
      </x:c>
      <x:c r="N186" s="12" t="inlineStr">
        <x:is>
          <x:t xml:space="preserve">official filing-derived derivative</x:t>
        </x:is>
      </x:c>
      <x:c r="O186" s="13" t="inlineStr">
        <x:is>
          <x:t xml:space="preserve">Official IRS filing identifier; ProPublica used for navigation/corroboration</x:t>
        </x:is>
      </x:c>
      <x:c r="P186" s="13" t="inlineStr">
        <x:is>
          <x:t xml:space="preserve">ProPublica filing-derived table; official IRS object ID identified from XML link</x:t>
        </x:is>
      </x:c>
      <x:c r="Q186" s="13" t="inlineStr">
        <x:is>
          <x:t xml:space="preserve">Cash proxy arithmetic and total-proxy arithmetic validated; source-native IRS XML could not be archived in this environment.</x:t>
        </x:is>
      </x:c>
    </x:row>
    <x:row r="187">
      <x:c r="A187" s="12" t="inlineStr">
        <x:is>
          <x:t xml:space="preserve">SRC-990-EXT-VILLAGEREACH</x:t>
        </x:is>
      </x:c>
      <x:c r="B187" s="12" t="inlineStr">
        <x:is>
          <x:t xml:space="preserve">VillageReach</x:t>
        </x:is>
      </x:c>
      <x:c r="C187" s="12" t="inlineStr">
        <x:is>
          <x:t xml:space="preserve">Form 990 filing-derived snapshot</x:t>
        </x:is>
      </x:c>
      <x:c r="D187" s="16" t="inlineStr">
        <x:is>
          <x:t xml:space="preserve">https://apps.irs.gov/pub/epostcard/990/xml/2025/202512199349301336_public.xml</x:t>
        </x:is>
      </x:c>
      <x:c r="E187" s="16" t="inlineStr">
        <x:is>
          <x:t xml:space="preserve">https://projects.propublica.org/nonprofits/organizations/912083484</x:t>
        </x:is>
      </x:c>
      <x:c r="F187" s="12" t="inlineStr">
        <x:is>
          <x:t xml:space="preserve">2026-08-25</x:t>
        </x:is>
      </x:c>
      <x:c r="G187" s="17" t="inlineStr">
        <x:is>
          <x:t xml:space="preserve">sources/raw/src-990-ext-villagereach.txt</x:t>
        </x:is>
      </x:c>
      <x:c r="H187" s="12" t="inlineStr">
        <x:is>
          <x:t xml:space="preserve">text/plain; charset=utf-8</x:t>
        </x:is>
      </x:c>
      <x:c r="I187" s="12" t="n">
        <x:v>1810</x:v>
      </x:c>
      <x:c r="J187" s="13" t="inlineStr">
        <x:is>
          <x:t xml:space="preserve">73aa0b9e5992f3d5871436dc33ec4dac2df25a0130371cb9ce4baad14bf821a3</x:t>
        </x:is>
      </x:c>
      <x:c r="K187" s="12" t="inlineStr">
        <x:is>
          <x:t xml:space="preserve">2023-10-01 to 2024-09-30</x:t>
        </x:is>
      </x:c>
      <x:c r="L187" s="12" t="inlineStr">
        <x:is>
          <x:t xml:space="preserve">91-2083484</x:t>
        </x:is>
      </x:c>
      <x:c r="M187" s="12" t="inlineStr">
        <x:is>
          <x:t xml:space="preserve">202512199349301336</x:t>
        </x:is>
      </x:c>
      <x:c r="N187" s="12" t="inlineStr">
        <x:is>
          <x:t xml:space="preserve">official filing-derived derivative</x:t>
        </x:is>
      </x:c>
      <x:c r="O187" s="13" t="inlineStr">
        <x:is>
          <x:t xml:space="preserve">Official IRS filing identifier; ProPublica used for navigation/corroboration</x:t>
        </x:is>
      </x:c>
      <x:c r="P187" s="12" t="inlineStr">
        <x:is>
          <x:t xml:space="preserve">ProPublica FY2024 filing table</x:t>
        </x:is>
      </x:c>
      <x:c r="Q187" s="13" t="inlineStr">
        <x:is>
          <x:t xml:space="preserve">Cash proxy arithmetic and total-proxy arithmetic validated; source-native IRS XML could not be archived in this environment.</x:t>
        </x:is>
      </x:c>
    </x:row>
    <x:row r="188">
      <x:c r="A188" s="12" t="inlineStr">
        <x:is>
          <x:t xml:space="preserve">SRC-990-EXT3-WATTTIME</x:t>
        </x:is>
      </x:c>
      <x:c r="B188" s="12" t="inlineStr">
        <x:is>
          <x:t xml:space="preserve">WattTime</x:t>
        </x:is>
      </x:c>
      <x:c r="C188" s="12" t="inlineStr">
        <x:is>
          <x:t xml:space="preserve">Form 990 filing-derived snapshot</x:t>
        </x:is>
      </x:c>
      <x:c r="D188" s="16" t="inlineStr">
        <x:is>
          <x:t xml:space="preserve">https://apps.irs.gov/pub/epostcard/990/xml/2026/202620979349301707_public.xml</x:t>
        </x:is>
      </x:c>
      <x:c r="E188" s="16" t="inlineStr">
        <x:is>
          <x:t xml:space="preserve">https://projects.propublica.org/nonprofits/organizations/471444637</x:t>
        </x:is>
      </x:c>
      <x:c r="F188" s="12" t="inlineStr">
        <x:is>
          <x:t xml:space="preserve">2026-08-25T17:45:00-0700</x:t>
        </x:is>
      </x:c>
      <x:c r="G188" s="17" t="inlineStr">
        <x:is>
          <x:t xml:space="preserve">sources/raw/src-990-ext3-watttime.txt</x:t>
        </x:is>
      </x:c>
      <x:c r="H188" s="12" t="inlineStr">
        <x:is>
          <x:t xml:space="preserve">text/plain; charset=utf-8</x:t>
        </x:is>
      </x:c>
      <x:c r="I188" s="12" t="n">
        <x:v>2020</x:v>
      </x:c>
      <x:c r="J188" s="13" t="inlineStr">
        <x:is>
          <x:t xml:space="preserve">ac42404c3b6461c72ee81bd83e065c1bd2633a5e1b98f7868a189be8a4bc2d57</x:t>
        </x:is>
      </x:c>
      <x:c r="K188" s="12" t="inlineStr">
        <x:is>
          <x:t xml:space="preserve">2024-07-01 to 2025-06-30</x:t>
        </x:is>
      </x:c>
      <x:c r="L188" s="12" t="inlineStr">
        <x:is>
          <x:t xml:space="preserve">47-1444637</x:t>
        </x:is>
      </x:c>
      <x:c r="M188" s="12" t="inlineStr">
        <x:is>
          <x:t xml:space="preserve">202620979349301707</x:t>
        </x:is>
      </x:c>
      <x:c r="N188" s="12" t="inlineStr">
        <x:is>
          <x:t xml:space="preserve">official filing-derived derivative</x:t>
        </x:is>
      </x:c>
      <x:c r="O188" s="13" t="inlineStr">
        <x:is>
          <x:t xml:space="preserve">Official IRS filing identifier; ProPublica used for navigation/corroboration</x:t>
        </x:is>
      </x:c>
      <x:c r="P188" s="13" t="inlineStr">
        <x:is>
          <x:t xml:space="preserve">ProPublica Nonprofit Explorer rendered Form 990 financial and compensation tables; official IRS object ID captured from filing XML link. ProPublica lines 21-34, 67-89 in turn230180view2.</x:t>
        </x:is>
      </x:c>
      <x:c r="Q188" s="13" t="inlineStr">
        <x:is>
          <x:t xml:space="preserve">Cash proxy arithmetic and total-proxy arithmetic validated; source-native IRS XML could not be archived in this environment.</x:t>
        </x:is>
      </x:c>
    </x:row>
    <x:row r="189">
      <x:c r="A189" s="12" t="inlineStr">
        <x:is>
          <x:t xml:space="preserve">SRC-990-EXT-WILD-ANIMAL-INITIATIVE</x:t>
        </x:is>
      </x:c>
      <x:c r="B189" s="12" t="inlineStr">
        <x:is>
          <x:t xml:space="preserve">Wild Animal Initiative</x:t>
        </x:is>
      </x:c>
      <x:c r="C189" s="12" t="inlineStr">
        <x:is>
          <x:t xml:space="preserve">Form 990 filing-derived snapshot</x:t>
        </x:is>
      </x:c>
      <x:c r="D189" s="16" t="inlineStr">
        <x:is>
          <x:t xml:space="preserve">https://apps.irs.gov/pub/epostcard/990/xml/2025/202532319349300913_public.xml</x:t>
        </x:is>
      </x:c>
      <x:c r="E189" s="16" t="inlineStr">
        <x:is>
          <x:t xml:space="preserve">https://projects.propublica.org/nonprofits/organizations/822281466</x:t>
        </x:is>
      </x:c>
      <x:c r="F189" s="12" t="inlineStr">
        <x:is>
          <x:t xml:space="preserve">2026-08-25</x:t>
        </x:is>
      </x:c>
      <x:c r="G189" s="16" t="inlineStr">
        <x:is>
          <x:t xml:space="preserve">sources/raw/src-990-ext-wild-animal-initiative.txt</x:t>
        </x:is>
      </x:c>
      <x:c r="H189" s="12" t="inlineStr">
        <x:is>
          <x:t xml:space="preserve">text/plain; charset=utf-8</x:t>
        </x:is>
      </x:c>
      <x:c r="I189" s="12" t="n">
        <x:v>1774</x:v>
      </x:c>
      <x:c r="J189" s="13" t="inlineStr">
        <x:is>
          <x:t xml:space="preserve">23e56d14a660e4a24d7fb1c7ba03103401f3cb58e83729f27d6043531f649748</x:t>
        </x:is>
      </x:c>
      <x:c r="K189" s="12" t="inlineStr">
        <x:is>
          <x:t xml:space="preserve">2024-01-01 to 2024-12-31</x:t>
        </x:is>
      </x:c>
      <x:c r="L189" s="12" t="inlineStr">
        <x:is>
          <x:t xml:space="preserve">82-2281466</x:t>
        </x:is>
      </x:c>
      <x:c r="M189" s="12" t="inlineStr">
        <x:is>
          <x:t xml:space="preserve">202532319349300913</x:t>
        </x:is>
      </x:c>
      <x:c r="N189" s="12" t="inlineStr">
        <x:is>
          <x:t xml:space="preserve">official filing-derived derivative</x:t>
        </x:is>
      </x:c>
      <x:c r="O189" s="13" t="inlineStr">
        <x:is>
          <x:t xml:space="preserve">Official IRS filing identifier; ProPublica used for navigation/corroboration</x:t>
        </x:is>
      </x:c>
      <x:c r="P189" s="12" t="inlineStr">
        <x:is>
          <x:t xml:space="preserve">ProPublica latest 2024 filing table</x:t>
        </x:is>
      </x:c>
      <x:c r="Q189" s="13" t="inlineStr">
        <x:is>
          <x:t xml:space="preserve">Cash proxy arithmetic and total-proxy arithmetic validated; source-native IRS XML could not be archived in this environment.</x:t>
        </x:is>
      </x:c>
    </x:row>
    <x:row r="190">
      <x:c r="A190" s="12" t="inlineStr">
        <x:is>
          <x:t xml:space="preserve">SRC-990-EXT-WORLD-JUSTICE-PROJECT</x:t>
        </x:is>
      </x:c>
      <x:c r="B190" s="12" t="inlineStr">
        <x:is>
          <x:t xml:space="preserve">World Justice Project</x:t>
        </x:is>
      </x:c>
      <x:c r="C190" s="12" t="inlineStr">
        <x:is>
          <x:t xml:space="preserve">Form 990 filing-derived snapshot</x:t>
        </x:is>
      </x:c>
      <x:c r="D190" s="16" t="inlineStr">
        <x:is>
          <x:t xml:space="preserve">https://apps.irs.gov/pub/epostcard/990/xml/2025/202543089349302129_public.xml</x:t>
        </x:is>
      </x:c>
      <x:c r="E190" s="16" t="inlineStr">
        <x:is>
          <x:t xml:space="preserve">https://projects.propublica.org/nonprofits/organizations/270359097</x:t>
        </x:is>
      </x:c>
      <x:c r="F190" s="12" t="inlineStr">
        <x:is>
          <x:t xml:space="preserve">2026-08-25</x:t>
        </x:is>
      </x:c>
      <x:c r="G190" s="16" t="inlineStr">
        <x:is>
          <x:t xml:space="preserve">sources/raw/src-990-ext-world-justice-project.txt</x:t>
        </x:is>
      </x:c>
      <x:c r="H190" s="12" t="inlineStr">
        <x:is>
          <x:t xml:space="preserve">text/plain; charset=utf-8</x:t>
        </x:is>
      </x:c>
      <x:c r="I190" s="12" t="n">
        <x:v>1701</x:v>
      </x:c>
      <x:c r="J190" s="13" t="inlineStr">
        <x:is>
          <x:t xml:space="preserve">c1e39bd029c8bbf7854434f10c998adda2231d3a6abe34de9ebbbc659db268f3</x:t>
        </x:is>
      </x:c>
      <x:c r="K190" s="12" t="inlineStr">
        <x:is>
          <x:t xml:space="preserve">2024-01-01 to 2024-12-31</x:t>
        </x:is>
      </x:c>
      <x:c r="L190" s="12" t="inlineStr">
        <x:is>
          <x:t xml:space="preserve">27-0359097</x:t>
        </x:is>
      </x:c>
      <x:c r="M190" s="12" t="inlineStr">
        <x:is>
          <x:t xml:space="preserve">202543089349302129</x:t>
        </x:is>
      </x:c>
      <x:c r="N190" s="12" t="inlineStr">
        <x:is>
          <x:t xml:space="preserve">official filing-derived derivative</x:t>
        </x:is>
      </x:c>
      <x:c r="O190" s="13" t="inlineStr">
        <x:is>
          <x:t xml:space="preserve">Official IRS filing identifier; ProPublica used for navigation/corroboration</x:t>
        </x:is>
      </x:c>
      <x:c r="P190" s="12" t="inlineStr">
        <x:is>
          <x:t xml:space="preserve">ProPublica latest 2024 filing table</x:t>
        </x:is>
      </x:c>
      <x:c r="Q190" s="13" t="inlineStr">
        <x:is>
          <x:t xml:space="preserve">Cash proxy arithmetic and total-proxy arithmetic validated; source-native IRS XML could not be archived in this environment.</x:t>
        </x:is>
      </x:c>
    </x:row>
    <x:row r="191">
      <x:c r="A191" s="12" t="inlineStr">
        <x:is>
          <x:t xml:space="preserve">SRC-990-EXT-IDEAS42</x:t>
        </x:is>
      </x:c>
      <x:c r="B191" s="12" t="inlineStr">
        <x:is>
          <x:t xml:space="preserve">ideas42</x:t>
        </x:is>
      </x:c>
      <x:c r="C191" s="12" t="inlineStr">
        <x:is>
          <x:t xml:space="preserve">Form 990 filing-derived snapshot</x:t>
        </x:is>
      </x:c>
      <x:c r="D191" s="16" t="inlineStr">
        <x:is>
          <x:t xml:space="preserve">https://apps.irs.gov/pub/epostcard/990/xml/2024/202423199349314832_public.xml</x:t>
        </x:is>
      </x:c>
      <x:c r="E191" s="16" t="inlineStr">
        <x:is>
          <x:t xml:space="preserve">https://projects.propublica.org/nonprofits/organizations/271678009</x:t>
        </x:is>
      </x:c>
      <x:c r="F191" s="12" t="inlineStr">
        <x:is>
          <x:t xml:space="preserve">2026-08-25</x:t>
        </x:is>
      </x:c>
      <x:c r="G191" s="17" t="inlineStr">
        <x:is>
          <x:t xml:space="preserve">sources/raw/src-990-ext-ideas42.txt</x:t>
        </x:is>
      </x:c>
      <x:c r="H191" s="12" t="inlineStr">
        <x:is>
          <x:t xml:space="preserve">text/plain; charset=utf-8</x:t>
        </x:is>
      </x:c>
      <x:c r="I191" s="12" t="n">
        <x:v>1824</x:v>
      </x:c>
      <x:c r="J191" s="13" t="inlineStr">
        <x:is>
          <x:t xml:space="preserve">d697d02aed3bb37948a6a8e9be90bb075da2e64c45e004332614a647a04b4a26</x:t>
        </x:is>
      </x:c>
      <x:c r="K191" s="12" t="inlineStr">
        <x:is>
          <x:t xml:space="preserve">2023-01-01 to 2023-12-31</x:t>
        </x:is>
      </x:c>
      <x:c r="L191" s="12" t="inlineStr">
        <x:is>
          <x:t xml:space="preserve">27-1678009</x:t>
        </x:is>
      </x:c>
      <x:c r="M191" s="12" t="inlineStr">
        <x:is>
          <x:t xml:space="preserve">202423199349314832</x:t>
        </x:is>
      </x:c>
      <x:c r="N191" s="12" t="inlineStr">
        <x:is>
          <x:t xml:space="preserve">official filing-derived derivative</x:t>
        </x:is>
      </x:c>
      <x:c r="O191" s="13" t="inlineStr">
        <x:is>
          <x:t xml:space="preserve">Official IRS filing identifier; ProPublica used for navigation/corroboration</x:t>
        </x:is>
      </x:c>
      <x:c r="P191" s="12" t="inlineStr">
        <x:is>
          <x:t xml:space="preserve">ProPublica FY2023 filing table</x:t>
        </x:is>
      </x:c>
      <x:c r="Q191" s="13" t="inlineStr">
        <x:is>
          <x:t xml:space="preserve">Cash proxy arithmetic and total-proxy arithmetic validated; source-native IRS XML could not be archived in this environment.</x:t>
        </x:is>
      </x:c>
    </x:row>
    <x:row r="192">
      <x:c r="A192" s="12" t="inlineStr">
        <x:is>
          <x:t xml:space="preserve">SRC-IRS-990-INSTR</x:t>
        </x:is>
      </x:c>
      <x:c r="B192" s="12" t="inlineStr">
        <x:is>
          <x:t xml:space="preserve">Internal Revenue Service</x:t>
        </x:is>
      </x:c>
      <x:c r="C192" s="12" t="inlineStr">
        <x:is>
          <x:t xml:space="preserve">Form 990 instructions</x:t>
        </x:is>
      </x:c>
      <x:c r="D192" s="17" t="inlineStr">
        <x:is>
          <x:t xml:space="preserve">https://www.irs.gov/instructions/i990</x:t>
        </x:is>
      </x:c>
      <x:c r="E192" s="17" t="inlineStr">
        <x:is>
          <x:t xml:space="preserve">https://www.irs.gov/instructions/i990</x:t>
        </x:is>
      </x:c>
      <x:c r="F192" s="12" t="inlineStr">
        <x:is>
          <x:t xml:space="preserve">2026-08-17T18:45:00-07:00</x:t>
        </x:is>
      </x:c>
      <x:c r="G192" s="17" t="inlineStr">
        <x:is>
          <x:t xml:space="preserve">sources/raw/src-irs-990-instr.txt</x:t>
        </x:is>
      </x:c>
      <x:c r="H192" s="12" t="inlineStr">
        <x:is>
          <x:t xml:space="preserve">text/plain; charset=utf-8</x:t>
        </x:is>
      </x:c>
      <x:c r="I192" s="12" t="n">
        <x:v>1135</x:v>
      </x:c>
      <x:c r="J192" s="13" t="inlineStr">
        <x:is>
          <x:t xml:space="preserve">4538b716fbbba6ef09641bb1ae44c3681c3fffc2a9d0568959a30978b7de5bb7</x:t>
        </x:is>
      </x:c>
      <x:c r="K192" s="12" t="n"/>
      <x:c r="L192" s="12" t="n"/>
      <x:c r="M192" s="12" t="n"/>
      <x:c r="N192" s="12" t="inlineStr">
        <x:is>
          <x:t xml:space="preserve">derivative</x:t>
        </x:is>
      </x:c>
      <x:c r="O192" s="12" t="inlineStr">
        <x:is>
          <x:t xml:space="preserve">original</x:t>
        </x:is>
      </x:c>
      <x:c r="P192" s="12" t="inlineStr">
        <x:is>
          <x:t xml:space="preserve">turn208506search2</x:t>
        </x:is>
      </x:c>
      <x:c r="Q19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193">
      <x:c r="A193" s="12" t="inlineStr">
        <x:is>
          <x:t xml:space="preserve">SRC-PROTOCOL-EXT2</x:t>
        </x:is>
      </x:c>
      <x:c r="B193" s="12" t="inlineStr">
        <x:is>
          <x:t xml:space="preserve">Rethink Priorities benchmark</x:t>
        </x:is>
      </x:c>
      <x:c r="C193" s="12" t="inlineStr">
        <x:is>
          <x:t xml:space="preserve">Frozen method</x:t>
        </x:is>
      </x:c>
      <x:c r="D193" s="17" t="n"/>
      <x:c r="E193" s="17" t="n"/>
      <x:c r="F193" s="12" t="inlineStr">
        <x:is>
          <x:t xml:space="preserve">2026-08-25T16:07:55-0700</x:t>
        </x:is>
      </x:c>
      <x:c r="G193" s="17" t="inlineStr">
        <x:is>
          <x:t xml:space="preserve">frozen/extension2_protocol_amendment.md</x:t>
        </x:is>
      </x:c>
      <x:c r="H193" s="12" t="inlineStr">
        <x:is>
          <x:t xml:space="preserve">text/markdown; charset=utf-8</x:t>
        </x:is>
      </x:c>
      <x:c r="I193" s="12" t="n">
        <x:v>5062</x:v>
      </x:c>
      <x:c r="J193" s="13" t="inlineStr">
        <x:is>
          <x:t xml:space="preserve">bcfa477a761a54ee0ea99c4a8d969ab440f50a247b54f3b144bf4d7226bb81b2</x:t>
        </x:is>
      </x:c>
      <x:c r="K193" s="12" t="n"/>
      <x:c r="L193" s="12" t="n"/>
      <x:c r="M193" s="12" t="n"/>
      <x:c r="N193" s="12" t="inlineStr">
        <x:is>
          <x:t xml:space="preserve">frozen analysis input</x:t>
        </x:is>
      </x:c>
      <x:c r="O193" s="13" t="inlineStr">
        <x:is>
          <x:t xml:space="preserve">Locally frozen before systematic new-peer compensation review</x:t>
        </x:is>
      </x:c>
      <x:c r="P193" s="12" t="inlineStr">
        <x:is>
          <x:t xml:space="preserve">frozen/extension2_protocol_amendment.md</x:t>
        </x:is>
      </x:c>
      <x:c r="Q193" s="12" t="inlineStr">
        <x:is>
          <x:t xml:space="preserve">SHA-256 frozen and checked by validation.</x:t>
        </x:is>
      </x:c>
    </x:row>
    <x:row r="194">
      <x:c r="A194" s="12" t="inlineStr">
        <x:is>
          <x:t xml:space="preserve">SRC-UNIVERSE-EXT2</x:t>
        </x:is>
      </x:c>
      <x:c r="B194" s="12" t="inlineStr">
        <x:is>
          <x:t xml:space="preserve">Rethink Priorities benchmark</x:t>
        </x:is>
      </x:c>
      <x:c r="C194" s="12" t="inlineStr">
        <x:is>
          <x:t xml:space="preserve">Frozen second-wave candidate universe</x:t>
        </x:is>
      </x:c>
      <x:c r="D194" s="17" t="n"/>
      <x:c r="E194" s="17" t="n"/>
      <x:c r="F194" s="12" t="inlineStr">
        <x:is>
          <x:t xml:space="preserve">2026-08-25T16:07:55-0700</x:t>
        </x:is>
      </x:c>
      <x:c r="G194" s="17" t="inlineStr">
        <x:is>
          <x:t xml:space="preserve">frozen/combined_peer_universe_precomp.csv</x:t>
        </x:is>
      </x:c>
      <x:c r="H194" s="12" t="inlineStr">
        <x:is>
          <x:t xml:space="preserve">text/csv; charset=utf-8</x:t>
        </x:is>
      </x:c>
      <x:c r="I194" s="12" t="n">
        <x:v>179799</x:v>
      </x:c>
      <x:c r="J194" s="13" t="inlineStr">
        <x:is>
          <x:t xml:space="preserve">5ab36e39683e2b11f96faabaa39a8994081e13e82425263e45a28bd3f37daeba</x:t>
        </x:is>
      </x:c>
      <x:c r="K194" s="12" t="n"/>
      <x:c r="L194" s="12" t="n"/>
      <x:c r="M194" s="12" t="n"/>
      <x:c r="N194" s="12" t="inlineStr">
        <x:is>
          <x:t xml:space="preserve">frozen analysis input</x:t>
        </x:is>
      </x:c>
      <x:c r="O194" s="13" t="inlineStr">
        <x:is>
          <x:t xml:space="preserve">Locally frozen before systematic new-peer compensation review</x:t>
        </x:is>
      </x:c>
      <x:c r="P194" s="12" t="inlineStr">
        <x:is>
          <x:t xml:space="preserve">frozen/combined_peer_universe_precomp.csv</x:t>
        </x:is>
      </x:c>
      <x:c r="Q194" s="12" t="inlineStr">
        <x:is>
          <x:t xml:space="preserve">SHA-256 frozen and checked by validation.</x:t>
        </x:is>
      </x:c>
    </x:row>
    <x:row r="195">
      <x:c r="A195" s="12" t="inlineStr">
        <x:is>
          <x:t xml:space="preserve">SRC-CANDIDATES-EXT2</x:t>
        </x:is>
      </x:c>
      <x:c r="B195" s="12" t="inlineStr">
        <x:is>
          <x:t xml:space="preserve">Rethink Priorities benchmark</x:t>
        </x:is>
      </x:c>
      <x:c r="C195" s="12" t="inlineStr">
        <x:is>
          <x:t xml:space="preserve">Frozen second-wave new-candidate list</x:t>
        </x:is>
      </x:c>
      <x:c r="D195" s="17" t="n"/>
      <x:c r="E195" s="17" t="n"/>
      <x:c r="F195" s="12" t="inlineStr">
        <x:is>
          <x:t xml:space="preserve">2026-08-25T16:07:55-0700</x:t>
        </x:is>
      </x:c>
      <x:c r="G195" s="17" t="inlineStr">
        <x:is>
          <x:t xml:space="preserve">frozen/extension2_new_candidates_precomp.csv</x:t>
        </x:is>
      </x:c>
      <x:c r="H195" s="12" t="inlineStr">
        <x:is>
          <x:t xml:space="preserve">text/csv; charset=utf-8</x:t>
        </x:is>
      </x:c>
      <x:c r="I195" s="12" t="n">
        <x:v>31510</x:v>
      </x:c>
      <x:c r="J195" s="13" t="inlineStr">
        <x:is>
          <x:t xml:space="preserve">9ed0ee56e13d29ea571124a8373d39e1d5d2b877d599e410f5c27d3b9ede68a8</x:t>
        </x:is>
      </x:c>
      <x:c r="K195" s="12" t="n"/>
      <x:c r="L195" s="12" t="n"/>
      <x:c r="M195" s="12" t="n"/>
      <x:c r="N195" s="12" t="inlineStr">
        <x:is>
          <x:t xml:space="preserve">frozen analysis input</x:t>
        </x:is>
      </x:c>
      <x:c r="O195" s="13" t="inlineStr">
        <x:is>
          <x:t xml:space="preserve">Locally frozen before systematic new-peer compensation review</x:t>
        </x:is>
      </x:c>
      <x:c r="P195" s="12" t="inlineStr">
        <x:is>
          <x:t xml:space="preserve">frozen/extension2_new_candidates_precomp.csv</x:t>
        </x:is>
      </x:c>
      <x:c r="Q195" s="12" t="inlineStr">
        <x:is>
          <x:t xml:space="preserve">SHA-256 frozen and checked by validation.</x:t>
        </x:is>
      </x:c>
    </x:row>
    <x:row r="196">
      <x:c r="A196" s="12" t="inlineStr">
        <x:is>
          <x:t xml:space="preserve">SRC-PROTOCOL-EXT3</x:t>
        </x:is>
      </x:c>
      <x:c r="B196" s="12" t="inlineStr">
        <x:is>
          <x:t xml:space="preserve">Rethink Priorities benchmark</x:t>
        </x:is>
      </x:c>
      <x:c r="C196" s="12" t="inlineStr">
        <x:is>
          <x:t xml:space="preserve">Frozen third-wave method</x:t>
        </x:is>
      </x:c>
      <x:c r="D196" s="17" t="n"/>
      <x:c r="E196" s="17" t="n"/>
      <x:c r="F196" s="12" t="inlineStr">
        <x:is>
          <x:t xml:space="preserve">2026-08-25T16:07:55-0700</x:t>
        </x:is>
      </x:c>
      <x:c r="G196" s="17" t="inlineStr">
        <x:is>
          <x:t xml:space="preserve">frozen/extension3_protocol_amendment.md</x:t>
        </x:is>
      </x:c>
      <x:c r="H196" s="12" t="inlineStr">
        <x:is>
          <x:t xml:space="preserve">text/markdown; charset=utf-8</x:t>
        </x:is>
      </x:c>
      <x:c r="I196" s="12" t="n">
        <x:v>2697</x:v>
      </x:c>
      <x:c r="J196" s="13" t="inlineStr">
        <x:is>
          <x:t xml:space="preserve">c048466b556ea38232fcfbd8ed92745fa9a198706eb2a9a7115041c1b9dea27b</x:t>
        </x:is>
      </x:c>
      <x:c r="K196" s="12" t="n"/>
      <x:c r="L196" s="12" t="n"/>
      <x:c r="M196" s="12" t="n"/>
      <x:c r="N196" s="12" t="inlineStr">
        <x:is>
          <x:t xml:space="preserve">frozen analysis input</x:t>
        </x:is>
      </x:c>
      <x:c r="O196" s="13" t="inlineStr">
        <x:is>
          <x:t xml:space="preserve">Locally frozen before systematic new-peer compensation review</x:t>
        </x:is>
      </x:c>
      <x:c r="P196" s="12" t="inlineStr">
        <x:is>
          <x:t xml:space="preserve">frozen/extension3_protocol_amendment.md</x:t>
        </x:is>
      </x:c>
      <x:c r="Q196" s="12" t="inlineStr">
        <x:is>
          <x:t xml:space="preserve">SHA-256 frozen and checked by validation.</x:t>
        </x:is>
      </x:c>
    </x:row>
    <x:row r="197">
      <x:c r="A197" s="12" t="inlineStr">
        <x:is>
          <x:t xml:space="preserve">SRC-CANDIDATES-EXT3</x:t>
        </x:is>
      </x:c>
      <x:c r="B197" s="12" t="inlineStr">
        <x:is>
          <x:t xml:space="preserve">Rethink Priorities benchmark</x:t>
        </x:is>
      </x:c>
      <x:c r="C197" s="12" t="inlineStr">
        <x:is>
          <x:t xml:space="preserve">Frozen third-wave new-candidate list</x:t>
        </x:is>
      </x:c>
      <x:c r="D197" s="17" t="n"/>
      <x:c r="E197" s="17" t="n"/>
      <x:c r="F197" s="12" t="inlineStr">
        <x:is>
          <x:t xml:space="preserve">2026-08-25T16:07:55-0700</x:t>
        </x:is>
      </x:c>
      <x:c r="G197" s="17" t="inlineStr">
        <x:is>
          <x:t xml:space="preserve">frozen/extension3_new_candidates_precomp.csv</x:t>
        </x:is>
      </x:c>
      <x:c r="H197" s="12" t="inlineStr">
        <x:is>
          <x:t xml:space="preserve">text/csv; charset=utf-8</x:t>
        </x:is>
      </x:c>
      <x:c r="I197" s="12" t="n">
        <x:v>44776</x:v>
      </x:c>
      <x:c r="J197" s="13" t="inlineStr">
        <x:is>
          <x:t xml:space="preserve">b0c04fb1cec71b2496da1d8ade07d74ebf14abc43f11dc7ede81581f3b3316cc</x:t>
        </x:is>
      </x:c>
      <x:c r="K197" s="12" t="n"/>
      <x:c r="L197" s="12" t="n"/>
      <x:c r="M197" s="12" t="n"/>
      <x:c r="N197" s="12" t="inlineStr">
        <x:is>
          <x:t xml:space="preserve">frozen analysis input</x:t>
        </x:is>
      </x:c>
      <x:c r="O197" s="13" t="inlineStr">
        <x:is>
          <x:t xml:space="preserve">Locally frozen before systematic new-peer compensation review</x:t>
        </x:is>
      </x:c>
      <x:c r="P197" s="12" t="inlineStr">
        <x:is>
          <x:t xml:space="preserve">frozen/extension3_new_candidates_precomp.csv</x:t>
        </x:is>
      </x:c>
      <x:c r="Q197" s="12" t="inlineStr">
        <x:is>
          <x:t xml:space="preserve">SHA-256 frozen and checked by validation.</x:t>
        </x:is>
      </x:c>
    </x:row>
    <x:row r="198">
      <x:c r="A198" s="12" t="inlineStr">
        <x:is>
          <x:t xml:space="preserve">SRC-UNIVERSE-EXT3</x:t>
        </x:is>
      </x:c>
      <x:c r="B198" s="12" t="inlineStr">
        <x:is>
          <x:t xml:space="preserve">Rethink Priorities benchmark</x:t>
        </x:is>
      </x:c>
      <x:c r="C198" s="12" t="inlineStr">
        <x:is>
          <x:t xml:space="preserve">Frozen three-wave candidate universe</x:t>
        </x:is>
      </x:c>
      <x:c r="D198" s="17" t="n"/>
      <x:c r="E198" s="17" t="n"/>
      <x:c r="F198" s="12" t="inlineStr">
        <x:is>
          <x:t xml:space="preserve">2026-08-25T16:07:55-0700</x:t>
        </x:is>
      </x:c>
      <x:c r="G198" s="16" t="inlineStr">
        <x:is>
          <x:t xml:space="preserve">frozen/combined_peer_universe_3wave_precomp.csv</x:t>
        </x:is>
      </x:c>
      <x:c r="H198" s="12" t="inlineStr">
        <x:is>
          <x:t xml:space="preserve">text/csv; charset=utf-8</x:t>
        </x:is>
      </x:c>
      <x:c r="I198" s="12" t="n">
        <x:v>138373</x:v>
      </x:c>
      <x:c r="J198" s="13" t="inlineStr">
        <x:is>
          <x:t xml:space="preserve">d84b6c772f8017bd4ddb8a4327012aabe40b6cd25198552558b4018f6c32e4c3</x:t>
        </x:is>
      </x:c>
      <x:c r="K198" s="12" t="n"/>
      <x:c r="L198" s="12" t="n"/>
      <x:c r="M198" s="12" t="n"/>
      <x:c r="N198" s="12" t="inlineStr">
        <x:is>
          <x:t xml:space="preserve">frozen analysis input</x:t>
        </x:is>
      </x:c>
      <x:c r="O198" s="13" t="inlineStr">
        <x:is>
          <x:t xml:space="preserve">Locally frozen before systematic new-peer compensation review</x:t>
        </x:is>
      </x:c>
      <x:c r="P198" s="13" t="inlineStr">
        <x:is>
          <x:t xml:space="preserve">frozen/combined_peer_universe_3wave_precomp.csv</x:t>
        </x:is>
      </x:c>
      <x:c r="Q198" s="12" t="inlineStr">
        <x:is>
          <x:t xml:space="preserve">SHA-256 frozen and checked by validation.</x:t>
        </x:is>
      </x:c>
    </x:row>
    <x:row r="199">
      <x:c r="A199" s="12" t="inlineStr">
        <x:is>
          <x:t xml:space="preserve">SRC-LEGACY-BRIDGE</x:t>
        </x:is>
      </x:c>
      <x:c r="B199" s="12" t="inlineStr">
        <x:is>
          <x:t xml:space="preserve">Rethink Priorities benchmark</x:t>
        </x:is>
      </x:c>
      <x:c r="C199" s="12" t="inlineStr">
        <x:is>
          <x:t xml:space="preserve">Original frozen peer bridge</x:t>
        </x:is>
      </x:c>
      <x:c r="D199" s="17" t="n"/>
      <x:c r="E199" s="17" t="n"/>
      <x:c r="F199" s="12" t="inlineStr">
        <x:is>
          <x:t xml:space="preserve">2026-08-25T16:07:55-0700</x:t>
        </x:is>
      </x:c>
      <x:c r="G199" s="16" t="inlineStr">
        <x:is>
          <x:t xml:space="preserve">frozen/legacy_original_peer_bridge_precomp.csv</x:t>
        </x:is>
      </x:c>
      <x:c r="H199" s="12" t="inlineStr">
        <x:is>
          <x:t xml:space="preserve">text/csv; charset=utf-8</x:t>
        </x:is>
      </x:c>
      <x:c r="I199" s="12" t="n">
        <x:v>5676</x:v>
      </x:c>
      <x:c r="J199" s="13" t="inlineStr">
        <x:is>
          <x:t xml:space="preserve">ec5924cc4586012f2d1d1f902284954958d31a03bf4578807be399729a255c12</x:t>
        </x:is>
      </x:c>
      <x:c r="K199" s="12" t="n"/>
      <x:c r="L199" s="12" t="n"/>
      <x:c r="M199" s="12" t="n"/>
      <x:c r="N199" s="12" t="inlineStr">
        <x:is>
          <x:t xml:space="preserve">frozen analysis input</x:t>
        </x:is>
      </x:c>
      <x:c r="O199" s="13" t="inlineStr">
        <x:is>
          <x:t xml:space="preserve">Locally frozen before systematic new-peer compensation review</x:t>
        </x:is>
      </x:c>
      <x:c r="P199" s="13" t="inlineStr">
        <x:is>
          <x:t xml:space="preserve">frozen/legacy_original_peer_bridge_precomp.csv</x:t>
        </x:is>
      </x:c>
      <x:c r="Q199" s="12" t="inlineStr">
        <x:is>
          <x:t xml:space="preserve">SHA-256 frozen and checked by validation.</x:t>
        </x:is>
      </x:c>
    </x:row>
    <x:row r="200">
      <x:c r="A200" s="12" t="inlineStr">
        <x:is>
          <x:t xml:space="preserve">SRC-PEER-AI-OBJECTIVES-INSTITUTE</x:t>
        </x:is>
      </x:c>
      <x:c r="B200" s="12" t="inlineStr">
        <x:is>
          <x:t xml:space="preserve">AI Objectives Institute</x:t>
        </x:is>
      </x:c>
      <x:c r="C200" s="12" t="inlineStr">
        <x:is>
          <x:t xml:space="preserve">Peer selection and scale profile</x:t>
        </x:is>
      </x:c>
      <x:c r="D200" s="16" t="inlineStr">
        <x:is>
          <x:t xml:space="preserve">https://www.causeiq.com/organizations/ai-objectives-institute%2C873870371/</x:t>
        </x:is>
      </x:c>
      <x:c r="E200" s="16" t="inlineStr">
        <x:is>
          <x:t xml:space="preserve">https://www.causeiq.com/organizations/ai-objectives-institute%2C873870371/</x:t>
        </x:is>
      </x:c>
      <x:c r="F200" s="12" t="inlineStr">
        <x:is>
          <x:t xml:space="preserve">2026-08-25T16:07:55-0700</x:t>
        </x:is>
      </x:c>
      <x:c r="G200" s="16" t="inlineStr">
        <x:is>
          <x:t xml:space="preserve">sources/raw/src-peer-ai-objectives-institute.txt</x:t>
        </x:is>
      </x:c>
      <x:c r="H200" s="12" t="inlineStr">
        <x:is>
          <x:t xml:space="preserve">text/plain; charset=utf-8</x:t>
        </x:is>
      </x:c>
      <x:c r="I200" s="12" t="n">
        <x:v>1301</x:v>
      </x:c>
      <x:c r="J200" s="13" t="inlineStr">
        <x:is>
          <x:t xml:space="preserve">2ab355a84b591f9615bf0fc4ee3bc59008ad2ddd5953db37350d8c5f8bc932be</x:t>
        </x:is>
      </x:c>
      <x:c r="K200" s="12" t="n"/>
      <x:c r="L200" s="12" t="inlineStr">
        <x:is>
          <x:t xml:space="preserve">87-3870371</x:t>
        </x:is>
      </x:c>
      <x:c r="M200" s="12" t="n"/>
      <x:c r="N200" s="12" t="inlineStr">
        <x:is>
          <x:t xml:space="preserve">derivative</x:t>
        </x:is>
      </x:c>
      <x:c r="O200" s="13" t="inlineStr">
        <x:is>
          <x:t xml:space="preserve">Public Form 990 rendering, organization profile, or filing-derived scale record</x:t>
        </x:is>
      </x:c>
      <x:c r="P200" s="13" t="inlineStr">
        <x:is>
          <x:t xml:space="preserve">expanded_reference_set.csv and prior frozen peer profile</x:t>
        </x:is>
      </x:c>
      <x:c r="Q200" s="13" t="inlineStr">
        <x:is>
          <x:t xml:space="preserve">Selection fields frozen without using compensation; full source-native profile page not archived.</x:t>
        </x:is>
      </x:c>
    </x:row>
    <x:row r="201">
      <x:c r="A201" s="13" t="inlineStr">
        <x:is>
          <x:t xml:space="preserve">SRC-PEER-ALLIANCE-TO-FEED-THE-EARTH-IN-DISASTERS</x:t>
        </x:is>
      </x:c>
      <x:c r="B201" s="12" t="inlineStr">
        <x:is>
          <x:t xml:space="preserve">Alliance to Feed the Earth in Disasters</x:t>
        </x:is>
      </x:c>
      <x:c r="C201" s="12" t="inlineStr">
        <x:is>
          <x:t xml:space="preserve">Peer selection and scale profile</x:t>
        </x:is>
      </x:c>
      <x:c r="D201" s="16" t="inlineStr">
        <x:is>
          <x:t xml:space="preserve">https://www.causeiq.com/organizations/allfed-institute%2C831717756/</x:t>
        </x:is>
      </x:c>
      <x:c r="E201" s="16" t="inlineStr">
        <x:is>
          <x:t xml:space="preserve">https://www.causeiq.com/organizations/allfed-institute%2C831717756/</x:t>
        </x:is>
      </x:c>
      <x:c r="F201" s="12" t="inlineStr">
        <x:is>
          <x:t xml:space="preserve">2026-08-25T16:07:55-0700</x:t>
        </x:is>
      </x:c>
      <x:c r="G201" s="16" t="inlineStr">
        <x:is>
          <x:t xml:space="preserve">sources/raw/src-peer-alliance-to-feed-the-earth-in-disasters.txt</x:t>
        </x:is>
      </x:c>
      <x:c r="H201" s="12" t="inlineStr">
        <x:is>
          <x:t xml:space="preserve">text/plain; charset=utf-8</x:t>
        </x:is>
      </x:c>
      <x:c r="I201" s="12" t="n">
        <x:v>1466</x:v>
      </x:c>
      <x:c r="J201" s="13" t="inlineStr">
        <x:is>
          <x:t xml:space="preserve">23594799cbd5e02df64e12aefb785bf71eb5d04d83fa65d98f3a1e708bcdae24</x:t>
        </x:is>
      </x:c>
      <x:c r="K201" s="12" t="n"/>
      <x:c r="L201" s="12" t="inlineStr">
        <x:is>
          <x:t xml:space="preserve">83-1717756</x:t>
        </x:is>
      </x:c>
      <x:c r="M201" s="12" t="n"/>
      <x:c r="N201" s="12" t="inlineStr">
        <x:is>
          <x:t xml:space="preserve">derivative</x:t>
        </x:is>
      </x:c>
      <x:c r="O201" s="13" t="inlineStr">
        <x:is>
          <x:t xml:space="preserve">Public Form 990 rendering, organization profile, or filing-derived scale record</x:t>
        </x:is>
      </x:c>
      <x:c r="P201" s="13" t="inlineStr">
        <x:is>
          <x:t xml:space="preserve">expanded_reference_set.csv and prior frozen peer profile</x:t>
        </x:is>
      </x:c>
      <x:c r="Q201" s="13" t="inlineStr">
        <x:is>
          <x:t xml:space="preserve">Selection fields frozen without using compensation; full source-native profile page not archived.</x:t>
        </x:is>
      </x:c>
    </x:row>
    <x:row r="202">
      <x:c r="A202" s="12" t="inlineStr">
        <x:is>
          <x:t xml:space="preserve">SRC-PEER-AMERICAN-IMMIGRATION-COUNCIL</x:t>
        </x:is>
      </x:c>
      <x:c r="B202" s="12" t="inlineStr">
        <x:is>
          <x:t xml:space="preserve">American Immigration Council</x:t>
        </x:is>
      </x:c>
      <x:c r="C202" s="12" t="inlineStr">
        <x:is>
          <x:t xml:space="preserve">Peer selection and scale profile</x:t>
        </x:is>
      </x:c>
      <x:c r="D202" s="16" t="inlineStr">
        <x:is>
          <x:t xml:space="preserve">https://projects.propublica.org/nonprofits/organizations/521549711</x:t>
        </x:is>
      </x:c>
      <x:c r="E202" s="16" t="inlineStr">
        <x:is>
          <x:t xml:space="preserve">https://projects.propublica.org/nonprofits/organizations/521549711</x:t>
        </x:is>
      </x:c>
      <x:c r="F202" s="12" t="inlineStr">
        <x:is>
          <x:t xml:space="preserve">2026-08-25T16:07:55-0700</x:t>
        </x:is>
      </x:c>
      <x:c r="G202" s="16" t="inlineStr">
        <x:is>
          <x:t xml:space="preserve">sources/raw/src-peer-american-immigration-council.txt</x:t>
        </x:is>
      </x:c>
      <x:c r="H202" s="12" t="inlineStr">
        <x:is>
          <x:t xml:space="preserve">text/plain; charset=utf-8</x:t>
        </x:is>
      </x:c>
      <x:c r="I202" s="12" t="n">
        <x:v>1087</x:v>
      </x:c>
      <x:c r="J202" s="13" t="inlineStr">
        <x:is>
          <x:t xml:space="preserve">3c256ccc15f3222b4d25ab54ea92206c5184bb14f69fae2f2f12b04eddb88d18</x:t>
        </x:is>
      </x:c>
      <x:c r="K202" s="12" t="inlineStr">
        <x:is>
          <x:t xml:space="preserve">2024.0</x:t>
        </x:is>
      </x:c>
      <x:c r="L202" s="12" t="inlineStr">
        <x:is>
          <x:t xml:space="preserve">52-1549711</x:t>
        </x:is>
      </x:c>
      <x:c r="M202" s="12" t="n"/>
      <x:c r="N202" s="12" t="inlineStr">
        <x:is>
          <x:t xml:space="preserve">derivative</x:t>
        </x:is>
      </x:c>
      <x:c r="O202" s="13" t="inlineStr">
        <x:is>
          <x:t xml:space="preserve">Public Form 990 rendering, organization profile, or filing-derived scale record</x:t>
        </x:is>
      </x:c>
      <x:c r="P202" s="13" t="inlineStr">
        <x:is>
          <x:t xml:space="preserve">expanded_reference_set.csv and prior frozen peer profile</x:t>
        </x:is>
      </x:c>
      <x:c r="Q202" s="13" t="inlineStr">
        <x:is>
          <x:t xml:space="preserve">Selection fields frozen without using compensation; full source-native profile page not archived.</x:t>
        </x:is>
      </x:c>
    </x:row>
    <x:row r="203">
      <x:c r="A203" s="12" t="inlineStr">
        <x:is>
          <x:t xml:space="preserve">SRC-PEER-AMERICAN-SECURITY-PROJECT</x:t>
        </x:is>
      </x:c>
      <x:c r="B203" s="12" t="inlineStr">
        <x:is>
          <x:t xml:space="preserve">American Security Project</x:t>
        </x:is>
      </x:c>
      <x:c r="C203" s="12" t="inlineStr">
        <x:is>
          <x:t xml:space="preserve">Peer selection and scale profile</x:t>
        </x:is>
      </x:c>
      <x:c r="D203" s="16" t="inlineStr">
        <x:is>
          <x:t xml:space="preserve">https://projects.propublica.org/nonprofits/organizations/204079553</x:t>
        </x:is>
      </x:c>
      <x:c r="E203" s="16" t="inlineStr">
        <x:is>
          <x:t xml:space="preserve">https://projects.propublica.org/nonprofits/organizations/204079553</x:t>
        </x:is>
      </x:c>
      <x:c r="F203" s="12" t="inlineStr">
        <x:is>
          <x:t xml:space="preserve">2026-08-25T16:07:55-0700</x:t>
        </x:is>
      </x:c>
      <x:c r="G203" s="16" t="inlineStr">
        <x:is>
          <x:t xml:space="preserve">sources/raw/src-peer-american-security-project.txt</x:t>
        </x:is>
      </x:c>
      <x:c r="H203" s="12" t="inlineStr">
        <x:is>
          <x:t xml:space="preserve">text/plain; charset=utf-8</x:t>
        </x:is>
      </x:c>
      <x:c r="I203" s="12" t="n">
        <x:v>1044</x:v>
      </x:c>
      <x:c r="J203" s="13" t="inlineStr">
        <x:is>
          <x:t xml:space="preserve">367f8eccc18adc614b92208544bfa1fbc03c4a8879552f5b769f141f89b11aa6</x:t>
        </x:is>
      </x:c>
      <x:c r="K203" s="12" t="inlineStr">
        <x:is>
          <x:t xml:space="preserve">2024.0</x:t>
        </x:is>
      </x:c>
      <x:c r="L203" s="12" t="inlineStr">
        <x:is>
          <x:t xml:space="preserve">20-4079553</x:t>
        </x:is>
      </x:c>
      <x:c r="M203" s="12" t="n"/>
      <x:c r="N203" s="12" t="inlineStr">
        <x:is>
          <x:t xml:space="preserve">derivative</x:t>
        </x:is>
      </x:c>
      <x:c r="O203" s="13" t="inlineStr">
        <x:is>
          <x:t xml:space="preserve">Public Form 990 rendering, organization profile, or filing-derived scale record</x:t>
        </x:is>
      </x:c>
      <x:c r="P203" s="13" t="inlineStr">
        <x:is>
          <x:t xml:space="preserve">expanded_reference_set.csv and prior frozen peer profile</x:t>
        </x:is>
      </x:c>
      <x:c r="Q203" s="13" t="inlineStr">
        <x:is>
          <x:t xml:space="preserve">Selection fields frozen without using compensation; full source-native profile page not archived.</x:t>
        </x:is>
      </x:c>
    </x:row>
    <x:row r="204">
      <x:c r="A204" s="12" t="inlineStr">
        <x:is>
          <x:t xml:space="preserve">SRC-PEER-ANIMAL-EQUALITY</x:t>
        </x:is>
      </x:c>
      <x:c r="B204" s="12" t="inlineStr">
        <x:is>
          <x:t xml:space="preserve">Animal Equality</x:t>
        </x:is>
      </x:c>
      <x:c r="C204" s="12" t="inlineStr">
        <x:is>
          <x:t xml:space="preserve">Peer selection and scale profile</x:t>
        </x:is>
      </x:c>
      <x:c r="D204" s="16" t="inlineStr">
        <x:is>
          <x:t xml:space="preserve">https://www.causeiq.com/organizations/animal-equality%2C472420444/</x:t>
        </x:is>
      </x:c>
      <x:c r="E204" s="16" t="inlineStr">
        <x:is>
          <x:t xml:space="preserve">https://www.causeiq.com/organizations/animal-equality%2C472420444/</x:t>
        </x:is>
      </x:c>
      <x:c r="F204" s="12" t="inlineStr">
        <x:is>
          <x:t xml:space="preserve">2026-08-25T16:07:55-0700</x:t>
        </x:is>
      </x:c>
      <x:c r="G204" s="17" t="inlineStr">
        <x:is>
          <x:t xml:space="preserve">sources/raw/src-peer-animal-equality.txt</x:t>
        </x:is>
      </x:c>
      <x:c r="H204" s="12" t="inlineStr">
        <x:is>
          <x:t xml:space="preserve">text/plain; charset=utf-8</x:t>
        </x:is>
      </x:c>
      <x:c r="I204" s="12" t="n">
        <x:v>1312</x:v>
      </x:c>
      <x:c r="J204" s="13" t="inlineStr">
        <x:is>
          <x:t xml:space="preserve">d81e27b056bf2fc356c81d1a91659a7b6d18a5ce5466171f503a5db5d54f1d1c</x:t>
        </x:is>
      </x:c>
      <x:c r="K204" s="12" t="n"/>
      <x:c r="L204" s="12" t="inlineStr">
        <x:is>
          <x:t xml:space="preserve">47-2420444</x:t>
        </x:is>
      </x:c>
      <x:c r="M204" s="12" t="n"/>
      <x:c r="N204" s="12" t="inlineStr">
        <x:is>
          <x:t xml:space="preserve">derivative</x:t>
        </x:is>
      </x:c>
      <x:c r="O204" s="13" t="inlineStr">
        <x:is>
          <x:t xml:space="preserve">Public Form 990 rendering, organization profile, or filing-derived scale record</x:t>
        </x:is>
      </x:c>
      <x:c r="P204" s="13" t="inlineStr">
        <x:is>
          <x:t xml:space="preserve">expanded_reference_set.csv and prior frozen peer profile</x:t>
        </x:is>
      </x:c>
      <x:c r="Q204" s="13" t="inlineStr">
        <x:is>
          <x:t xml:space="preserve">Selection fields frozen without using compensation; full source-native profile page not archived.</x:t>
        </x:is>
      </x:c>
    </x:row>
    <x:row r="205">
      <x:c r="A205" s="12" t="inlineStr">
        <x:is>
          <x:t xml:space="preserve">SRC-PEER-ANIMAL-LEGAL-DEFENSE-FUND</x:t>
        </x:is>
      </x:c>
      <x:c r="B205" s="12" t="inlineStr">
        <x:is>
          <x:t xml:space="preserve">Animal Legal Defense Fund</x:t>
        </x:is>
      </x:c>
      <x:c r="C205" s="12" t="inlineStr">
        <x:is>
          <x:t xml:space="preserve">Peer selection and scale profile</x:t>
        </x:is>
      </x:c>
      <x:c r="D205" s="16" t="inlineStr">
        <x:is>
          <x:t xml:space="preserve">https://www.causeiq.com/organizations/animal-legal-defense-fund%2C942681680/</x:t>
        </x:is>
      </x:c>
      <x:c r="E205" s="16" t="inlineStr">
        <x:is>
          <x:t xml:space="preserve">https://www.causeiq.com/organizations/animal-legal-defense-fund%2C942681680/</x:t>
        </x:is>
      </x:c>
      <x:c r="F205" s="12" t="inlineStr">
        <x:is>
          <x:t xml:space="preserve">2026-08-25T16:07:55-0700</x:t>
        </x:is>
      </x:c>
      <x:c r="G205" s="16" t="inlineStr">
        <x:is>
          <x:t xml:space="preserve">sources/raw/src-peer-animal-legal-defense-fund.txt</x:t>
        </x:is>
      </x:c>
      <x:c r="H205" s="12" t="inlineStr">
        <x:is>
          <x:t xml:space="preserve">text/plain; charset=utf-8</x:t>
        </x:is>
      </x:c>
      <x:c r="I205" s="12" t="n">
        <x:v>1464</x:v>
      </x:c>
      <x:c r="J205" s="13" t="inlineStr">
        <x:is>
          <x:t xml:space="preserve">1d3f93bb1456e5e85d424fa89bc4d7a94af7dfe0bddad728bd548ee72be285bd</x:t>
        </x:is>
      </x:c>
      <x:c r="K205" s="12" t="inlineStr">
        <x:is>
          <x:t xml:space="preserve">2024.0</x:t>
        </x:is>
      </x:c>
      <x:c r="L205" s="12" t="inlineStr">
        <x:is>
          <x:t xml:space="preserve">94-2681680</x:t>
        </x:is>
      </x:c>
      <x:c r="M205" s="12" t="n"/>
      <x:c r="N205" s="12" t="inlineStr">
        <x:is>
          <x:t xml:space="preserve">derivative</x:t>
        </x:is>
      </x:c>
      <x:c r="O205" s="13" t="inlineStr">
        <x:is>
          <x:t xml:space="preserve">Public Form 990 rendering, organization profile, or filing-derived scale record</x:t>
        </x:is>
      </x:c>
      <x:c r="P205" s="13" t="inlineStr">
        <x:is>
          <x:t xml:space="preserve">expanded_reference_set.csv and prior frozen peer profile</x:t>
        </x:is>
      </x:c>
      <x:c r="Q205" s="13" t="inlineStr">
        <x:is>
          <x:t xml:space="preserve">Selection fields frozen without using compensation; full source-native profile page not archived.</x:t>
        </x:is>
      </x:c>
    </x:row>
    <x:row r="206">
      <x:c r="A206" s="12" t="inlineStr">
        <x:is>
          <x:t xml:space="preserve">SRC-PEER-ANIMAL-WELFARE-INSTITUTE</x:t>
        </x:is>
      </x:c>
      <x:c r="B206" s="12" t="inlineStr">
        <x:is>
          <x:t xml:space="preserve">Animal Welfare Institute</x:t>
        </x:is>
      </x:c>
      <x:c r="C206" s="12" t="inlineStr">
        <x:is>
          <x:t xml:space="preserve">Peer selection and scale profile</x:t>
        </x:is>
      </x:c>
      <x:c r="D206" s="16" t="inlineStr">
        <x:is>
          <x:t xml:space="preserve">https://www.causeiq.com/organizations/animal-welfare-institute%2C135655952/</x:t>
        </x:is>
      </x:c>
      <x:c r="E206" s="16" t="inlineStr">
        <x:is>
          <x:t xml:space="preserve">https://www.causeiq.com/organizations/animal-welfare-institute%2C135655952/</x:t>
        </x:is>
      </x:c>
      <x:c r="F206" s="12" t="inlineStr">
        <x:is>
          <x:t xml:space="preserve">2026-08-25T16:07:55-0700</x:t>
        </x:is>
      </x:c>
      <x:c r="G206" s="16" t="inlineStr">
        <x:is>
          <x:t xml:space="preserve">sources/raw/src-peer-animal-welfare-institute.txt</x:t>
        </x:is>
      </x:c>
      <x:c r="H206" s="12" t="inlineStr">
        <x:is>
          <x:t xml:space="preserve">text/plain; charset=utf-8</x:t>
        </x:is>
      </x:c>
      <x:c r="I206" s="12" t="n">
        <x:v>1430</x:v>
      </x:c>
      <x:c r="J206" s="13" t="inlineStr">
        <x:is>
          <x:t xml:space="preserve">eeb47a3a5741e8352613cf7e2efc08e9964f03d9eb84472746c5e338137036d1</x:t>
        </x:is>
      </x:c>
      <x:c r="K206" s="12" t="inlineStr">
        <x:is>
          <x:t xml:space="preserve">2024.0</x:t>
        </x:is>
      </x:c>
      <x:c r="L206" s="12" t="inlineStr">
        <x:is>
          <x:t xml:space="preserve">13-5655952</x:t>
        </x:is>
      </x:c>
      <x:c r="M206" s="12" t="n"/>
      <x:c r="N206" s="12" t="inlineStr">
        <x:is>
          <x:t xml:space="preserve">derivative</x:t>
        </x:is>
      </x:c>
      <x:c r="O206" s="13" t="inlineStr">
        <x:is>
          <x:t xml:space="preserve">Public Form 990 rendering, organization profile, or filing-derived scale record</x:t>
        </x:is>
      </x:c>
      <x:c r="P206" s="13" t="inlineStr">
        <x:is>
          <x:t xml:space="preserve">expanded_reference_set.csv and prior frozen peer profile</x:t>
        </x:is>
      </x:c>
      <x:c r="Q206" s="13" t="inlineStr">
        <x:is>
          <x:t xml:space="preserve">Selection fields frozen without using compensation; full source-native profile page not archived.</x:t>
        </x:is>
      </x:c>
    </x:row>
    <x:row r="207">
      <x:c r="A207" s="12" t="inlineStr">
        <x:is>
          <x:t xml:space="preserve">SRC-PEER-AQUATIC-LIFE-INSTITUTE</x:t>
        </x:is>
      </x:c>
      <x:c r="B207" s="12" t="inlineStr">
        <x:is>
          <x:t xml:space="preserve">Aquatic Life Institute</x:t>
        </x:is>
      </x:c>
      <x:c r="C207" s="12" t="inlineStr">
        <x:is>
          <x:t xml:space="preserve">Peer selection and scale profile</x:t>
        </x:is>
      </x:c>
      <x:c r="D207" s="16" t="inlineStr">
        <x:is>
          <x:t xml:space="preserve">https://www.causeiq.com/organizations/aquatic-life-institute%2C873020380/</x:t>
        </x:is>
      </x:c>
      <x:c r="E207" s="16" t="inlineStr">
        <x:is>
          <x:t xml:space="preserve">https://www.causeiq.com/organizations/aquatic-life-institute%2C873020380/</x:t>
        </x:is>
      </x:c>
      <x:c r="F207" s="12" t="inlineStr">
        <x:is>
          <x:t xml:space="preserve">2026-08-25T16:07:55-0700</x:t>
        </x:is>
      </x:c>
      <x:c r="G207" s="16" t="inlineStr">
        <x:is>
          <x:t xml:space="preserve">sources/raw/src-peer-aquatic-life-institute.txt</x:t>
        </x:is>
      </x:c>
      <x:c r="H207" s="12" t="inlineStr">
        <x:is>
          <x:t xml:space="preserve">text/plain; charset=utf-8</x:t>
        </x:is>
      </x:c>
      <x:c r="I207" s="12" t="n">
        <x:v>1290</x:v>
      </x:c>
      <x:c r="J207" s="13" t="inlineStr">
        <x:is>
          <x:t xml:space="preserve">cb0b4cd056613d77d36cdc70922c3b6c03cd4d2b1d4466200c35dbb9a496f2b1</x:t>
        </x:is>
      </x:c>
      <x:c r="K207" s="12" t="n"/>
      <x:c r="L207" s="12" t="inlineStr">
        <x:is>
          <x:t xml:space="preserve">87-3020380</x:t>
        </x:is>
      </x:c>
      <x:c r="M207" s="12" t="n"/>
      <x:c r="N207" s="12" t="inlineStr">
        <x:is>
          <x:t xml:space="preserve">derivative</x:t>
        </x:is>
      </x:c>
      <x:c r="O207" s="13" t="inlineStr">
        <x:is>
          <x:t xml:space="preserve">Public Form 990 rendering, organization profile, or filing-derived scale record</x:t>
        </x:is>
      </x:c>
      <x:c r="P207" s="13" t="inlineStr">
        <x:is>
          <x:t xml:space="preserve">expanded_reference_set.csv and prior frozen peer profile</x:t>
        </x:is>
      </x:c>
      <x:c r="Q207" s="13" t="inlineStr">
        <x:is>
          <x:t xml:space="preserve">Selection fields frozen without using compensation; full source-native profile page not archived.</x:t>
        </x:is>
      </x:c>
    </x:row>
    <x:row r="208">
      <x:c r="A208" s="12" t="inlineStr">
        <x:is>
          <x:t xml:space="preserve">SRC-PEER-ARMS-CONTROL-ASSOCIATION</x:t>
        </x:is>
      </x:c>
      <x:c r="B208" s="12" t="inlineStr">
        <x:is>
          <x:t xml:space="preserve">Arms Control Association</x:t>
        </x:is>
      </x:c>
      <x:c r="C208" s="12" t="inlineStr">
        <x:is>
          <x:t xml:space="preserve">Peer selection and scale profile</x:t>
        </x:is>
      </x:c>
      <x:c r="D208" s="16" t="inlineStr">
        <x:is>
          <x:t xml:space="preserve">https://projects.propublica.org/nonprofits/organizations/237124588</x:t>
        </x:is>
      </x:c>
      <x:c r="E208" s="16" t="inlineStr">
        <x:is>
          <x:t xml:space="preserve">https://projects.propublica.org/nonprofits/organizations/237124588</x:t>
        </x:is>
      </x:c>
      <x:c r="F208" s="12" t="inlineStr">
        <x:is>
          <x:t xml:space="preserve">2026-08-25T16:07:55-0700</x:t>
        </x:is>
      </x:c>
      <x:c r="G208" s="16" t="inlineStr">
        <x:is>
          <x:t xml:space="preserve">sources/raw/src-peer-arms-control-association.txt</x:t>
        </x:is>
      </x:c>
      <x:c r="H208" s="12" t="inlineStr">
        <x:is>
          <x:t xml:space="preserve">text/plain; charset=utf-8</x:t>
        </x:is>
      </x:c>
      <x:c r="I208" s="12" t="n">
        <x:v>1089</x:v>
      </x:c>
      <x:c r="J208" s="13" t="inlineStr">
        <x:is>
          <x:t xml:space="preserve">a3f98bc1b2057412e9254dbfabeba0d2d701b02e722f890a43a810d5d8849f10</x:t>
        </x:is>
      </x:c>
      <x:c r="K208" s="12" t="inlineStr">
        <x:is>
          <x:t xml:space="preserve">2024.0</x:t>
        </x:is>
      </x:c>
      <x:c r="L208" s="12" t="inlineStr">
        <x:is>
          <x:t xml:space="preserve">23-7124588</x:t>
        </x:is>
      </x:c>
      <x:c r="M208" s="12" t="n"/>
      <x:c r="N208" s="12" t="inlineStr">
        <x:is>
          <x:t xml:space="preserve">derivative</x:t>
        </x:is>
      </x:c>
      <x:c r="O208" s="13" t="inlineStr">
        <x:is>
          <x:t xml:space="preserve">Public Form 990 rendering, organization profile, or filing-derived scale record</x:t>
        </x:is>
      </x:c>
      <x:c r="P208" s="13" t="inlineStr">
        <x:is>
          <x:t xml:space="preserve">expanded_reference_set.csv and prior frozen peer profile</x:t>
        </x:is>
      </x:c>
      <x:c r="Q208" s="13" t="inlineStr">
        <x:is>
          <x:t xml:space="preserve">Selection fields frozen without using compensation; full source-native profile page not archived.</x:t>
        </x:is>
      </x:c>
    </x:row>
    <x:row r="209">
      <x:c r="A209" s="12" t="inlineStr">
        <x:is>
          <x:t xml:space="preserve">SRC-PEER-BETTER-FOOD-FOUNDATION</x:t>
        </x:is>
      </x:c>
      <x:c r="B209" s="12" t="inlineStr">
        <x:is>
          <x:t xml:space="preserve">Better Food Foundation</x:t>
        </x:is>
      </x:c>
      <x:c r="C209" s="12" t="inlineStr">
        <x:is>
          <x:t xml:space="preserve">Peer selection and scale profile</x:t>
        </x:is>
      </x:c>
      <x:c r="D209" s="16" t="inlineStr">
        <x:is>
          <x:t xml:space="preserve">https://projects.propublica.org/nonprofits/organizations/814537521</x:t>
        </x:is>
      </x:c>
      <x:c r="E209" s="16" t="inlineStr">
        <x:is>
          <x:t xml:space="preserve">https://projects.propublica.org/nonprofits/organizations/814537521</x:t>
        </x:is>
      </x:c>
      <x:c r="F209" s="12" t="inlineStr">
        <x:is>
          <x:t xml:space="preserve">2026-08-25T16:07:55-0700</x:t>
        </x:is>
      </x:c>
      <x:c r="G209" s="16" t="inlineStr">
        <x:is>
          <x:t xml:space="preserve">sources/raw/src-peer-better-food-foundation.txt</x:t>
        </x:is>
      </x:c>
      <x:c r="H209" s="12" t="inlineStr">
        <x:is>
          <x:t xml:space="preserve">text/plain; charset=utf-8</x:t>
        </x:is>
      </x:c>
      <x:c r="I209" s="12" t="n">
        <x:v>1050</x:v>
      </x:c>
      <x:c r="J209" s="13" t="inlineStr">
        <x:is>
          <x:t xml:space="preserve">88d5e11aa425edd462f6c5fe93743f418cb2a34f231793b60529b267f0b5b7b7</x:t>
        </x:is>
      </x:c>
      <x:c r="K209" s="12" t="inlineStr">
        <x:is>
          <x:t xml:space="preserve">2024.0</x:t>
        </x:is>
      </x:c>
      <x:c r="L209" s="12" t="inlineStr">
        <x:is>
          <x:t xml:space="preserve">81-4537521</x:t>
        </x:is>
      </x:c>
      <x:c r="M209" s="12" t="n"/>
      <x:c r="N209" s="12" t="inlineStr">
        <x:is>
          <x:t xml:space="preserve">derivative</x:t>
        </x:is>
      </x:c>
      <x:c r="O209" s="13" t="inlineStr">
        <x:is>
          <x:t xml:space="preserve">Public Form 990 rendering, organization profile, or filing-derived scale record</x:t>
        </x:is>
      </x:c>
      <x:c r="P209" s="13" t="inlineStr">
        <x:is>
          <x:t xml:space="preserve">expanded_reference_set.csv and prior frozen peer profile</x:t>
        </x:is>
      </x:c>
      <x:c r="Q209" s="13" t="inlineStr">
        <x:is>
          <x:t xml:space="preserve">Selection fields frozen without using compensation; full source-native profile page not archived.</x:t>
        </x:is>
      </x:c>
    </x:row>
    <x:row r="210">
      <x:c r="A210" s="12" t="inlineStr">
        <x:is>
          <x:t xml:space="preserve">SRC-PEER-BIPARTISAN-POLICY-CENTER</x:t>
        </x:is>
      </x:c>
      <x:c r="B210" s="12" t="inlineStr">
        <x:is>
          <x:t xml:space="preserve">Bipartisan Policy Center</x:t>
        </x:is>
      </x:c>
      <x:c r="C210" s="12" t="inlineStr">
        <x:is>
          <x:t xml:space="preserve">Peer selection and scale profile</x:t>
        </x:is>
      </x:c>
      <x:c r="D210" s="16" t="inlineStr">
        <x:is>
          <x:t xml:space="preserve">https://projects.propublica.org/nonprofits/organizations/731628382</x:t>
        </x:is>
      </x:c>
      <x:c r="E210" s="16" t="inlineStr">
        <x:is>
          <x:t xml:space="preserve">https://projects.propublica.org/nonprofits/organizations/731628382</x:t>
        </x:is>
      </x:c>
      <x:c r="F210" s="12" t="inlineStr">
        <x:is>
          <x:t xml:space="preserve">2026-08-25T16:07:55-0700</x:t>
        </x:is>
      </x:c>
      <x:c r="G210" s="16" t="inlineStr">
        <x:is>
          <x:t xml:space="preserve">sources/raw/src-peer-bipartisan-policy-center.txt</x:t>
        </x:is>
      </x:c>
      <x:c r="H210" s="12" t="inlineStr">
        <x:is>
          <x:t xml:space="preserve">text/plain; charset=utf-8</x:t>
        </x:is>
      </x:c>
      <x:c r="I210" s="12" t="n">
        <x:v>1081</x:v>
      </x:c>
      <x:c r="J210" s="13" t="inlineStr">
        <x:is>
          <x:t xml:space="preserve">6efc4d1bb2a7177d5e9383485733ea8c1fb21b6bb89962264f99e841db8118f7</x:t>
        </x:is>
      </x:c>
      <x:c r="K210" s="12" t="inlineStr">
        <x:is>
          <x:t xml:space="preserve">2024.0</x:t>
        </x:is>
      </x:c>
      <x:c r="L210" s="12" t="inlineStr">
        <x:is>
          <x:t xml:space="preserve">73-1628382</x:t>
        </x:is>
      </x:c>
      <x:c r="M210" s="12" t="n"/>
      <x:c r="N210" s="12" t="inlineStr">
        <x:is>
          <x:t xml:space="preserve">derivative</x:t>
        </x:is>
      </x:c>
      <x:c r="O210" s="13" t="inlineStr">
        <x:is>
          <x:t xml:space="preserve">Public Form 990 rendering, organization profile, or filing-derived scale record</x:t>
        </x:is>
      </x:c>
      <x:c r="P210" s="13" t="inlineStr">
        <x:is>
          <x:t xml:space="preserve">expanded_reference_set.csv and prior frozen peer profile</x:t>
        </x:is>
      </x:c>
      <x:c r="Q210" s="13" t="inlineStr">
        <x:is>
          <x:t xml:space="preserve">Selection fields frozen without using compensation; full source-native profile page not archived.</x:t>
        </x:is>
      </x:c>
    </x:row>
    <x:row r="211">
      <x:c r="A211" s="12" t="inlineStr">
        <x:is>
          <x:t xml:space="preserve">SRC-PEER-BREAKTHROUGH-INSTITUTE</x:t>
        </x:is>
      </x:c>
      <x:c r="B211" s="12" t="inlineStr">
        <x:is>
          <x:t xml:space="preserve">Breakthrough Institute</x:t>
        </x:is>
      </x:c>
      <x:c r="C211" s="12" t="inlineStr">
        <x:is>
          <x:t xml:space="preserve">Peer selection and scale profile</x:t>
        </x:is>
      </x:c>
      <x:c r="D211" s="16" t="inlineStr">
        <x:is>
          <x:t xml:space="preserve">https://projects.propublica.org/nonprofits/organizations/814526660</x:t>
        </x:is>
      </x:c>
      <x:c r="E211" s="16" t="inlineStr">
        <x:is>
          <x:t xml:space="preserve">https://projects.propublica.org/nonprofits/organizations/814526660</x:t>
        </x:is>
      </x:c>
      <x:c r="F211" s="12" t="inlineStr">
        <x:is>
          <x:t xml:space="preserve">2026-08-25T16:07:55-0700</x:t>
        </x:is>
      </x:c>
      <x:c r="G211" s="16" t="inlineStr">
        <x:is>
          <x:t xml:space="preserve">sources/raw/src-peer-breakthrough-institute.txt</x:t>
        </x:is>
      </x:c>
      <x:c r="H211" s="12" t="inlineStr">
        <x:is>
          <x:t xml:space="preserve">text/plain; charset=utf-8</x:t>
        </x:is>
      </x:c>
      <x:c r="I211" s="12" t="n">
        <x:v>1047</x:v>
      </x:c>
      <x:c r="J211" s="13" t="inlineStr">
        <x:is>
          <x:t xml:space="preserve">e84251138d40ccf3f067b718ddeee839dacc0527c3d343d5e2b885c5faac4801</x:t>
        </x:is>
      </x:c>
      <x:c r="K211" s="12" t="inlineStr">
        <x:is>
          <x:t xml:space="preserve">2025.0</x:t>
        </x:is>
      </x:c>
      <x:c r="L211" s="12" t="inlineStr">
        <x:is>
          <x:t xml:space="preserve">81-4526660</x:t>
        </x:is>
      </x:c>
      <x:c r="M211" s="12" t="n"/>
      <x:c r="N211" s="12" t="inlineStr">
        <x:is>
          <x:t xml:space="preserve">derivative</x:t>
        </x:is>
      </x:c>
      <x:c r="O211" s="13" t="inlineStr">
        <x:is>
          <x:t xml:space="preserve">Public Form 990 rendering, organization profile, or filing-derived scale record</x:t>
        </x:is>
      </x:c>
      <x:c r="P211" s="13" t="inlineStr">
        <x:is>
          <x:t xml:space="preserve">expanded_reference_set.csv and prior frozen peer profile</x:t>
        </x:is>
      </x:c>
      <x:c r="Q211" s="13" t="inlineStr">
        <x:is>
          <x:t xml:space="preserve">Selection fields frozen without using compensation; full source-native profile page not archived.</x:t>
        </x:is>
      </x:c>
    </x:row>
    <x:row r="212">
      <x:c r="A212" s="12" t="inlineStr">
        <x:is>
          <x:t xml:space="preserve">SRC-PEER-BULLETIN-OF-THE-ATOMIC-SCIENTISTS</x:t>
        </x:is>
      </x:c>
      <x:c r="B212" s="12" t="inlineStr">
        <x:is>
          <x:t xml:space="preserve">Bulletin of the Atomic Scientists</x:t>
        </x:is>
      </x:c>
      <x:c r="C212" s="12" t="inlineStr">
        <x:is>
          <x:t xml:space="preserve">Peer selection and scale profile</x:t>
        </x:is>
      </x:c>
      <x:c r="D212" s="16" t="inlineStr">
        <x:is>
          <x:t xml:space="preserve">https://www.causeiq.com/organizations/bulletin-of-the-atomic-scientists%2C362136497/</x:t>
        </x:is>
      </x:c>
      <x:c r="E212" s="16" t="inlineStr">
        <x:is>
          <x:t xml:space="preserve">https://www.causeiq.com/organizations/bulletin-of-the-atomic-scientists%2C362136497/</x:t>
        </x:is>
      </x:c>
      <x:c r="F212" s="12" t="inlineStr">
        <x:is>
          <x:t xml:space="preserve">2026-08-25T16:07:55-0700</x:t>
        </x:is>
      </x:c>
      <x:c r="G212" s="16" t="inlineStr">
        <x:is>
          <x:t xml:space="preserve">sources/raw/src-peer-bulletin-of-the-atomic-scientists.txt</x:t>
        </x:is>
      </x:c>
      <x:c r="H212" s="12" t="inlineStr">
        <x:is>
          <x:t xml:space="preserve">text/plain; charset=utf-8</x:t>
        </x:is>
      </x:c>
      <x:c r="I212" s="12" t="n">
        <x:v>1517</x:v>
      </x:c>
      <x:c r="J212" s="13" t="inlineStr">
        <x:is>
          <x:t xml:space="preserve">4d1c7fdd7420ab33f2db6323918e7870df22979e1353eb38a5baf930b86ba02a</x:t>
        </x:is>
      </x:c>
      <x:c r="K212" s="12" t="inlineStr">
        <x:is>
          <x:t xml:space="preserve">2024.0</x:t>
        </x:is>
      </x:c>
      <x:c r="L212" s="12" t="inlineStr">
        <x:is>
          <x:t xml:space="preserve">36-2136497</x:t>
        </x:is>
      </x:c>
      <x:c r="M212" s="12" t="n"/>
      <x:c r="N212" s="12" t="inlineStr">
        <x:is>
          <x:t xml:space="preserve">derivative</x:t>
        </x:is>
      </x:c>
      <x:c r="O212" s="13" t="inlineStr">
        <x:is>
          <x:t xml:space="preserve">Public Form 990 rendering, organization profile, or filing-derived scale record</x:t>
        </x:is>
      </x:c>
      <x:c r="P212" s="13" t="inlineStr">
        <x:is>
          <x:t xml:space="preserve">expanded_reference_set.csv and prior frozen peer profile</x:t>
        </x:is>
      </x:c>
      <x:c r="Q212" s="13" t="inlineStr">
        <x:is>
          <x:t xml:space="preserve">Selection fields frozen without using compensation; full source-native profile page not archived.</x:t>
        </x:is>
      </x:c>
    </x:row>
    <x:row r="213">
      <x:c r="A213" s="12" t="inlineStr">
        <x:is>
          <x:t xml:space="preserve">SRC-PEER-CANDID</x:t>
        </x:is>
      </x:c>
      <x:c r="B213" s="12" t="inlineStr">
        <x:is>
          <x:t xml:space="preserve">Candid</x:t>
        </x:is>
      </x:c>
      <x:c r="C213" s="12" t="inlineStr">
        <x:is>
          <x:t xml:space="preserve">Peer selection and scale profile</x:t>
        </x:is>
      </x:c>
      <x:c r="D213" s="16" t="inlineStr">
        <x:is>
          <x:t xml:space="preserve">https://projects.propublica.org/nonprofits/organizations/131837418</x:t>
        </x:is>
      </x:c>
      <x:c r="E213" s="16" t="inlineStr">
        <x:is>
          <x:t xml:space="preserve">https://projects.propublica.org/nonprofits/organizations/131837418</x:t>
        </x:is>
      </x:c>
      <x:c r="F213" s="12" t="inlineStr">
        <x:is>
          <x:t xml:space="preserve">2026-08-25T16:07:55-0700</x:t>
        </x:is>
      </x:c>
      <x:c r="G213" s="17" t="inlineStr">
        <x:is>
          <x:t xml:space="preserve">sources/raw/src-peer-candid.txt</x:t>
        </x:is>
      </x:c>
      <x:c r="H213" s="12" t="inlineStr">
        <x:is>
          <x:t xml:space="preserve">text/plain; charset=utf-8</x:t>
        </x:is>
      </x:c>
      <x:c r="I213" s="12" t="n">
        <x:v>1373</x:v>
      </x:c>
      <x:c r="J213" s="13" t="inlineStr">
        <x:is>
          <x:t xml:space="preserve">6862cd9ec62056ba2d2d8ef494536b262ced6faca2857ca299514b80e57fc3c0</x:t>
        </x:is>
      </x:c>
      <x:c r="K213" s="12" t="n"/>
      <x:c r="L213" s="12" t="inlineStr">
        <x:is>
          <x:t xml:space="preserve">13-1837418</x:t>
        </x:is>
      </x:c>
      <x:c r="M213" s="12" t="n"/>
      <x:c r="N213" s="12" t="inlineStr">
        <x:is>
          <x:t xml:space="preserve">derivative</x:t>
        </x:is>
      </x:c>
      <x:c r="O213" s="13" t="inlineStr">
        <x:is>
          <x:t xml:space="preserve">Public Form 990 rendering, organization profile, or filing-derived scale record</x:t>
        </x:is>
      </x:c>
      <x:c r="P213" s="13" t="inlineStr">
        <x:is>
          <x:t xml:space="preserve">expanded_reference_set.csv and prior frozen peer profile</x:t>
        </x:is>
      </x:c>
      <x:c r="Q213" s="13" t="inlineStr">
        <x:is>
          <x:t xml:space="preserve">Selection fields frozen without using compensation; full source-native profile page not archived.</x:t>
        </x:is>
      </x:c>
    </x:row>
    <x:row r="214">
      <x:c r="A214" s="12" t="inlineStr">
        <x:is>
          <x:t xml:space="preserve">SRC-PEER-CARBON-MAPPER</x:t>
        </x:is>
      </x:c>
      <x:c r="B214" s="12" t="inlineStr">
        <x:is>
          <x:t xml:space="preserve">Carbon Mapper</x:t>
        </x:is>
      </x:c>
      <x:c r="C214" s="12" t="inlineStr">
        <x:is>
          <x:t xml:space="preserve">Peer selection and scale profile</x:t>
        </x:is>
      </x:c>
      <x:c r="D214" s="16" t="inlineStr">
        <x:is>
          <x:t xml:space="preserve">https://projects.propublica.org/nonprofits/organizations/853149996</x:t>
        </x:is>
      </x:c>
      <x:c r="E214" s="16" t="inlineStr">
        <x:is>
          <x:t xml:space="preserve">https://projects.propublica.org/nonprofits/organizations/853149996</x:t>
        </x:is>
      </x:c>
      <x:c r="F214" s="12" t="inlineStr">
        <x:is>
          <x:t xml:space="preserve">2026-08-25T16:07:55-0700</x:t>
        </x:is>
      </x:c>
      <x:c r="G214" s="17" t="inlineStr">
        <x:is>
          <x:t xml:space="preserve">sources/raw/src-peer-carbon-mapper.txt</x:t>
        </x:is>
      </x:c>
      <x:c r="H214" s="12" t="inlineStr">
        <x:is>
          <x:t xml:space="preserve">text/plain; charset=utf-8</x:t>
        </x:is>
      </x:c>
      <x:c r="I214" s="12" t="n">
        <x:v>1042</x:v>
      </x:c>
      <x:c r="J214" s="13" t="inlineStr">
        <x:is>
          <x:t xml:space="preserve">9c83f0c1c6e4a52e546c9712f537510c4de5341c6cedd83286cb4891505c1ce0</x:t>
        </x:is>
      </x:c>
      <x:c r="K214" s="12" t="inlineStr">
        <x:is>
          <x:t xml:space="preserve">2024.0</x:t>
        </x:is>
      </x:c>
      <x:c r="L214" s="12" t="inlineStr">
        <x:is>
          <x:t xml:space="preserve">85-3149996</x:t>
        </x:is>
      </x:c>
      <x:c r="M214" s="12" t="n"/>
      <x:c r="N214" s="12" t="inlineStr">
        <x:is>
          <x:t xml:space="preserve">derivative</x:t>
        </x:is>
      </x:c>
      <x:c r="O214" s="13" t="inlineStr">
        <x:is>
          <x:t xml:space="preserve">Public Form 990 rendering, organization profile, or filing-derived scale record</x:t>
        </x:is>
      </x:c>
      <x:c r="P214" s="13" t="inlineStr">
        <x:is>
          <x:t xml:space="preserve">expanded_reference_set.csv and prior frozen peer profile</x:t>
        </x:is>
      </x:c>
      <x:c r="Q214" s="13" t="inlineStr">
        <x:is>
          <x:t xml:space="preserve">Selection fields frozen without using compensation; full source-native profile page not archived.</x:t>
        </x:is>
      </x:c>
    </x:row>
    <x:row r="215">
      <x:c r="A215" s="12" t="inlineStr">
        <x:is>
          <x:t xml:space="preserve">SRC-PEER-CENTER-FOR-AI-POLICY</x:t>
        </x:is>
      </x:c>
      <x:c r="B215" s="12" t="inlineStr">
        <x:is>
          <x:t xml:space="preserve">Center for AI Policy</x:t>
        </x:is>
      </x:c>
      <x:c r="C215" s="12" t="inlineStr">
        <x:is>
          <x:t xml:space="preserve">Peer selection and scale profile</x:t>
        </x:is>
      </x:c>
      <x:c r="D215" s="16" t="inlineStr">
        <x:is>
          <x:t xml:space="preserve">https://www.causeiq.com/organizations/center-for-ai-policy%2C932050941/</x:t>
        </x:is>
      </x:c>
      <x:c r="E215" s="16" t="inlineStr">
        <x:is>
          <x:t xml:space="preserve">https://www.causeiq.com/organizations/center-for-ai-policy%2C932050941/</x:t>
        </x:is>
      </x:c>
      <x:c r="F215" s="12" t="inlineStr">
        <x:is>
          <x:t xml:space="preserve">2026-08-25T16:07:55-0700</x:t>
        </x:is>
      </x:c>
      <x:c r="G215" s="17" t="inlineStr">
        <x:is>
          <x:t xml:space="preserve">sources/raw/src-peer-center-for-ai-policy.txt</x:t>
        </x:is>
      </x:c>
      <x:c r="H215" s="12" t="inlineStr">
        <x:is>
          <x:t xml:space="preserve">text/plain; charset=utf-8</x:t>
        </x:is>
      </x:c>
      <x:c r="I215" s="12" t="n">
        <x:v>1299</x:v>
      </x:c>
      <x:c r="J215" s="13" t="inlineStr">
        <x:is>
          <x:t xml:space="preserve">3120b7485c457b50554ce72b9410dde19253e2503a7faada432647b36389ff5c</x:t>
        </x:is>
      </x:c>
      <x:c r="K215" s="12" t="n"/>
      <x:c r="L215" s="12" t="inlineStr">
        <x:is>
          <x:t xml:space="preserve">93-2050941</x:t>
        </x:is>
      </x:c>
      <x:c r="M215" s="12" t="n"/>
      <x:c r="N215" s="12" t="inlineStr">
        <x:is>
          <x:t xml:space="preserve">derivative</x:t>
        </x:is>
      </x:c>
      <x:c r="O215" s="13" t="inlineStr">
        <x:is>
          <x:t xml:space="preserve">Public Form 990 rendering, organization profile, or filing-derived scale record</x:t>
        </x:is>
      </x:c>
      <x:c r="P215" s="13" t="inlineStr">
        <x:is>
          <x:t xml:space="preserve">expanded_reference_set.csv and prior frozen peer profile</x:t>
        </x:is>
      </x:c>
      <x:c r="Q215" s="13" t="inlineStr">
        <x:is>
          <x:t xml:space="preserve">Selection fields frozen without using compensation; full source-native profile page not archived.</x:t>
        </x:is>
      </x:c>
    </x:row>
    <x:row r="216">
      <x:c r="A216" s="12" t="inlineStr">
        <x:is>
          <x:t xml:space="preserve">SRC-PEER-CENTER-FOR-AI-SAFETY</x:t>
        </x:is>
      </x:c>
      <x:c r="B216" s="12" t="inlineStr">
        <x:is>
          <x:t xml:space="preserve">Center for AI Safety</x:t>
        </x:is>
      </x:c>
      <x:c r="C216" s="12" t="inlineStr">
        <x:is>
          <x:t xml:space="preserve">Peer selection and scale profile</x:t>
        </x:is>
      </x:c>
      <x:c r="D216" s="16" t="inlineStr">
        <x:is>
          <x:t xml:space="preserve">https://www.causeiq.com/organizations/center-for-artificial-intelligence-safety%2C881751310/</x:t>
        </x:is>
      </x:c>
      <x:c r="E216" s="16" t="inlineStr">
        <x:is>
          <x:t xml:space="preserve">https://www.causeiq.com/organizations/center-for-artificial-intelligence-safety%2C881751310/</x:t>
        </x:is>
      </x:c>
      <x:c r="F216" s="12" t="inlineStr">
        <x:is>
          <x:t xml:space="preserve">2026-08-25T16:07:55-0700</x:t>
        </x:is>
      </x:c>
      <x:c r="G216" s="17" t="inlineStr">
        <x:is>
          <x:t xml:space="preserve">sources/raw/src-peer-center-for-ai-safety.txt</x:t>
        </x:is>
      </x:c>
      <x:c r="H216" s="12" t="inlineStr">
        <x:is>
          <x:t xml:space="preserve">text/plain; charset=utf-8</x:t>
        </x:is>
      </x:c>
      <x:c r="I216" s="12" t="n">
        <x:v>1500</x:v>
      </x:c>
      <x:c r="J216" s="13" t="inlineStr">
        <x:is>
          <x:t xml:space="preserve">c3adfc37a9b598b291267d945097d155d26d424ab75635e2125517c874fdffc3</x:t>
        </x:is>
      </x:c>
      <x:c r="K216" s="12" t="inlineStr">
        <x:is>
          <x:t xml:space="preserve">2024.0</x:t>
        </x:is>
      </x:c>
      <x:c r="L216" s="12" t="inlineStr">
        <x:is>
          <x:t xml:space="preserve">88-1751310</x:t>
        </x:is>
      </x:c>
      <x:c r="M216" s="12" t="n"/>
      <x:c r="N216" s="12" t="inlineStr">
        <x:is>
          <x:t xml:space="preserve">derivative</x:t>
        </x:is>
      </x:c>
      <x:c r="O216" s="13" t="inlineStr">
        <x:is>
          <x:t xml:space="preserve">Public Form 990 rendering, organization profile, or filing-derived scale record</x:t>
        </x:is>
      </x:c>
      <x:c r="P216" s="13" t="inlineStr">
        <x:is>
          <x:t xml:space="preserve">expanded_reference_set.csv and prior frozen peer profile</x:t>
        </x:is>
      </x:c>
      <x:c r="Q216" s="13" t="inlineStr">
        <x:is>
          <x:t xml:space="preserve">Selection fields frozen without using compensation; full source-native profile page not archived.</x:t>
        </x:is>
      </x:c>
    </x:row>
    <x:row r="217">
      <x:c r="A217" s="13" t="inlineStr">
        <x:is>
          <x:t xml:space="preserve">SRC-PEER-CENTER-FOR-ARMS-CONTROL-AND-NON-PROLIFERATION</x:t>
        </x:is>
      </x:c>
      <x:c r="B217" s="12" t="inlineStr">
        <x:is>
          <x:t xml:space="preserve">Center for Arms Control and Non-Proliferation</x:t>
        </x:is>
      </x:c>
      <x:c r="C217" s="12" t="inlineStr">
        <x:is>
          <x:t xml:space="preserve">Peer selection and scale profile</x:t>
        </x:is>
      </x:c>
      <x:c r="D217" s="16" t="inlineStr">
        <x:is>
          <x:t xml:space="preserve">https://projects.propublica.org/nonprofits/organizations/42693322</x:t>
        </x:is>
      </x:c>
      <x:c r="E217" s="16" t="inlineStr">
        <x:is>
          <x:t xml:space="preserve">https://projects.propublica.org/nonprofits/organizations/42693322</x:t>
        </x:is>
      </x:c>
      <x:c r="F217" s="12" t="inlineStr">
        <x:is>
          <x:t xml:space="preserve">2026-08-25T16:07:55-0700</x:t>
        </x:is>
      </x:c>
      <x:c r="G217" s="16" t="inlineStr">
        <x:is>
          <x:t xml:space="preserve">sources/raw/src-peer-center-for-arms-control-and-non-proliferation.txt</x:t>
        </x:is>
      </x:c>
      <x:c r="H217" s="12" t="inlineStr">
        <x:is>
          <x:t xml:space="preserve">text/plain; charset=utf-8</x:t>
        </x:is>
      </x:c>
      <x:c r="I217" s="12" t="n">
        <x:v>1067</x:v>
      </x:c>
      <x:c r="J217" s="13" t="inlineStr">
        <x:is>
          <x:t xml:space="preserve">9c391989e0046d52fe59ffb64fcfdb7fbc7ceb95d7540382bcbce9b750e9146d</x:t>
        </x:is>
      </x:c>
      <x:c r="K217" s="12" t="inlineStr">
        <x:is>
          <x:t xml:space="preserve">2024.0</x:t>
        </x:is>
      </x:c>
      <x:c r="L217" s="12" t="inlineStr">
        <x:is>
          <x:t xml:space="preserve">04-2693322</x:t>
        </x:is>
      </x:c>
      <x:c r="M217" s="12" t="n"/>
      <x:c r="N217" s="12" t="inlineStr">
        <x:is>
          <x:t xml:space="preserve">derivative</x:t>
        </x:is>
      </x:c>
      <x:c r="O217" s="13" t="inlineStr">
        <x:is>
          <x:t xml:space="preserve">Public Form 990 rendering, organization profile, or filing-derived scale record</x:t>
        </x:is>
      </x:c>
      <x:c r="P217" s="13" t="inlineStr">
        <x:is>
          <x:t xml:space="preserve">expanded_reference_set.csv and prior frozen peer profile</x:t>
        </x:is>
      </x:c>
      <x:c r="Q217" s="13" t="inlineStr">
        <x:is>
          <x:t xml:space="preserve">Selection fields frozen without using compensation; full source-native profile page not archived.</x:t>
        </x:is>
      </x:c>
    </x:row>
    <x:row r="218">
      <x:c r="A218" s="13" t="inlineStr">
        <x:is>
          <x:t xml:space="preserve">SRC-PEER-CENTER-FOR-CLIMATE-AND-ENERGY-SOLUTIONS</x:t>
        </x:is>
      </x:c>
      <x:c r="B218" s="12" t="inlineStr">
        <x:is>
          <x:t xml:space="preserve">Center for Climate and Energy Solutions</x:t>
        </x:is>
      </x:c>
      <x:c r="C218" s="12" t="inlineStr">
        <x:is>
          <x:t xml:space="preserve">Peer selection and scale profile</x:t>
        </x:is>
      </x:c>
      <x:c r="D218" s="16" t="inlineStr">
        <x:is>
          <x:t xml:space="preserve">https://projects.propublica.org/nonprofits/organizations/541892252</x:t>
        </x:is>
      </x:c>
      <x:c r="E218" s="16" t="inlineStr">
        <x:is>
          <x:t xml:space="preserve">https://projects.propublica.org/nonprofits/organizations/541892252</x:t>
        </x:is>
      </x:c>
      <x:c r="F218" s="12" t="inlineStr">
        <x:is>
          <x:t xml:space="preserve">2026-08-25T16:07:55-0700</x:t>
        </x:is>
      </x:c>
      <x:c r="G218" s="16" t="inlineStr">
        <x:is>
          <x:t xml:space="preserve">sources/raw/src-peer-center-for-climate-and-energy-solutions.txt</x:t>
        </x:is>
      </x:c>
      <x:c r="H218" s="12" t="inlineStr">
        <x:is>
          <x:t xml:space="preserve">text/plain; charset=utf-8</x:t>
        </x:is>
      </x:c>
      <x:c r="I218" s="12" t="n">
        <x:v>1057</x:v>
      </x:c>
      <x:c r="J218" s="13" t="inlineStr">
        <x:is>
          <x:t xml:space="preserve">485468ab2e29c1cbb2fcec080189bfb32f6ecf5064028aab0cf3af8eb2f6e05a</x:t>
        </x:is>
      </x:c>
      <x:c r="K218" s="12" t="inlineStr">
        <x:is>
          <x:t xml:space="preserve">2024.0</x:t>
        </x:is>
      </x:c>
      <x:c r="L218" s="12" t="inlineStr">
        <x:is>
          <x:t xml:space="preserve">54-1892252</x:t>
        </x:is>
      </x:c>
      <x:c r="M218" s="12" t="n"/>
      <x:c r="N218" s="12" t="inlineStr">
        <x:is>
          <x:t xml:space="preserve">derivative</x:t>
        </x:is>
      </x:c>
      <x:c r="O218" s="13" t="inlineStr">
        <x:is>
          <x:t xml:space="preserve">Public Form 990 rendering, organization profile, or filing-derived scale record</x:t>
        </x:is>
      </x:c>
      <x:c r="P218" s="13" t="inlineStr">
        <x:is>
          <x:t xml:space="preserve">expanded_reference_set.csv and prior frozen peer profile</x:t>
        </x:is>
      </x:c>
      <x:c r="Q218" s="13" t="inlineStr">
        <x:is>
          <x:t xml:space="preserve">Selection fields frozen without using compensation; full source-native profile page not archived.</x:t>
        </x:is>
      </x:c>
    </x:row>
    <x:row r="219">
      <x:c r="A219" s="12" t="inlineStr">
        <x:is>
          <x:t xml:space="preserve">SRC-PEER-CENTER-FOR-DEMOCRACY-TECHNOLOGY</x:t>
        </x:is>
      </x:c>
      <x:c r="B219" s="12" t="inlineStr">
        <x:is>
          <x:t xml:space="preserve">Center for Democracy &amp; Technology</x:t>
        </x:is>
      </x:c>
      <x:c r="C219" s="12" t="inlineStr">
        <x:is>
          <x:t xml:space="preserve">Peer selection and scale profile</x:t>
        </x:is>
      </x:c>
      <x:c r="D219" s="16" t="inlineStr">
        <x:is>
          <x:t xml:space="preserve">https://www.causeiq.com/organizations/center-for-democracy-and-technology%2C521905358/</x:t>
        </x:is>
      </x:c>
      <x:c r="E219" s="16" t="inlineStr">
        <x:is>
          <x:t xml:space="preserve">https://www.causeiq.com/organizations/center-for-democracy-and-technology%2C521905358/</x:t>
        </x:is>
      </x:c>
      <x:c r="F219" s="12" t="inlineStr">
        <x:is>
          <x:t xml:space="preserve">2026-08-25T16:07:55-0700</x:t>
        </x:is>
      </x:c>
      <x:c r="G219" s="16" t="inlineStr">
        <x:is>
          <x:t xml:space="preserve">sources/raw/src-peer-center-for-democracy-technology.txt</x:t>
        </x:is>
      </x:c>
      <x:c r="H219" s="12" t="inlineStr">
        <x:is>
          <x:t xml:space="preserve">text/plain; charset=utf-8</x:t>
        </x:is>
      </x:c>
      <x:c r="I219" s="12" t="n">
        <x:v>1497</x:v>
      </x:c>
      <x:c r="J219" s="13" t="inlineStr">
        <x:is>
          <x:t xml:space="preserve">6c34f8e0c69b77e3e44835c7572156f7ded72fe31e5ee8eb3a4404296ed93956</x:t>
        </x:is>
      </x:c>
      <x:c r="K219" s="12" t="inlineStr">
        <x:is>
          <x:t xml:space="preserve">2024.0</x:t>
        </x:is>
      </x:c>
      <x:c r="L219" s="12" t="inlineStr">
        <x:is>
          <x:t xml:space="preserve">52-1905358</x:t>
        </x:is>
      </x:c>
      <x:c r="M219" s="12" t="n"/>
      <x:c r="N219" s="12" t="inlineStr">
        <x:is>
          <x:t xml:space="preserve">derivative</x:t>
        </x:is>
      </x:c>
      <x:c r="O219" s="13" t="inlineStr">
        <x:is>
          <x:t xml:space="preserve">Public Form 990 rendering, organization profile, or filing-derived scale record</x:t>
        </x:is>
      </x:c>
      <x:c r="P219" s="13" t="inlineStr">
        <x:is>
          <x:t xml:space="preserve">expanded_reference_set.csv and prior frozen peer profile</x:t>
        </x:is>
      </x:c>
      <x:c r="Q219" s="13" t="inlineStr">
        <x:is>
          <x:t xml:space="preserve">Selection fields frozen without using compensation; full source-native profile page not archived.</x:t>
        </x:is>
      </x:c>
    </x:row>
    <x:row r="220">
      <x:c r="A220" s="12" t="inlineStr">
        <x:is>
          <x:t xml:space="preserve">SRC-PEER-CENTER-FOR-EFFECTIVE-PHILANTHROPY</x:t>
        </x:is>
      </x:c>
      <x:c r="B220" s="12" t="inlineStr">
        <x:is>
          <x:t xml:space="preserve">Center for Effective Philanthropy</x:t>
        </x:is>
      </x:c>
      <x:c r="C220" s="12" t="inlineStr">
        <x:is>
          <x:t xml:space="preserve">Peer selection and scale profile</x:t>
        </x:is>
      </x:c>
      <x:c r="D220" s="16" t="inlineStr">
        <x:is>
          <x:t xml:space="preserve">https://projects.propublica.org/nonprofits/organizations/43523528</x:t>
        </x:is>
      </x:c>
      <x:c r="E220" s="16" t="inlineStr">
        <x:is>
          <x:t xml:space="preserve">https://projects.propublica.org/nonprofits/organizations/43523528</x:t>
        </x:is>
      </x:c>
      <x:c r="F220" s="12" t="inlineStr">
        <x:is>
          <x:t xml:space="preserve">2026-08-25T16:07:55-0700</x:t>
        </x:is>
      </x:c>
      <x:c r="G220" s="16" t="inlineStr">
        <x:is>
          <x:t xml:space="preserve">sources/raw/src-peer-center-for-effective-philanthropy.txt</x:t>
        </x:is>
      </x:c>
      <x:c r="H220" s="12" t="inlineStr">
        <x:is>
          <x:t xml:space="preserve">text/plain; charset=utf-8</x:t>
        </x:is>
      </x:c>
      <x:c r="I220" s="12" t="n">
        <x:v>1495</x:v>
      </x:c>
      <x:c r="J220" s="13" t="inlineStr">
        <x:is>
          <x:t xml:space="preserve">161ff2e26ed1d915ae2c4e721e097b23986cdd8e9fc96d219b4d5558794d654e</x:t>
        </x:is>
      </x:c>
      <x:c r="K220" s="12" t="inlineStr">
        <x:is>
          <x:t xml:space="preserve">2025.0</x:t>
        </x:is>
      </x:c>
      <x:c r="L220" s="12" t="inlineStr">
        <x:is>
          <x:t xml:space="preserve">04-3523528</x:t>
        </x:is>
      </x:c>
      <x:c r="M220" s="12" t="n"/>
      <x:c r="N220" s="12" t="inlineStr">
        <x:is>
          <x:t xml:space="preserve">derivative</x:t>
        </x:is>
      </x:c>
      <x:c r="O220" s="13" t="inlineStr">
        <x:is>
          <x:t xml:space="preserve">Public Form 990 rendering, organization profile, or filing-derived scale record</x:t>
        </x:is>
      </x:c>
      <x:c r="P220" s="13" t="inlineStr">
        <x:is>
          <x:t xml:space="preserve">expanded_reference_set.csv and prior frozen peer profile</x:t>
        </x:is>
      </x:c>
      <x:c r="Q220" s="13" t="inlineStr">
        <x:is>
          <x:t xml:space="preserve">Selection fields frozen without using compensation; full source-native profile page not archived.</x:t>
        </x:is>
      </x:c>
    </x:row>
    <x:row r="221">
      <x:c r="A221" s="12" t="inlineStr">
        <x:is>
          <x:t xml:space="preserve">SRC-PEER-CENTER-FOR-HEALTH-CARE-STRATEGIES</x:t>
        </x:is>
      </x:c>
      <x:c r="B221" s="12" t="inlineStr">
        <x:is>
          <x:t xml:space="preserve">Center for Health Care Strategies</x:t>
        </x:is>
      </x:c>
      <x:c r="C221" s="12" t="inlineStr">
        <x:is>
          <x:t xml:space="preserve">Peer selection and scale profile</x:t>
        </x:is>
      </x:c>
      <x:c r="D221" s="16" t="inlineStr">
        <x:is>
          <x:t xml:space="preserve">https://projects.propublica.org/nonprofits/organizations/223375015</x:t>
        </x:is>
      </x:c>
      <x:c r="E221" s="16" t="inlineStr">
        <x:is>
          <x:t xml:space="preserve">https://projects.propublica.org/nonprofits/organizations/223375015</x:t>
        </x:is>
      </x:c>
      <x:c r="F221" s="12" t="inlineStr">
        <x:is>
          <x:t xml:space="preserve">2026-08-25T16:07:55-0700</x:t>
        </x:is>
      </x:c>
      <x:c r="G221" s="16" t="inlineStr">
        <x:is>
          <x:t xml:space="preserve">sources/raw/src-peer-center-for-health-care-strategies.txt</x:t>
        </x:is>
      </x:c>
      <x:c r="H221" s="12" t="inlineStr">
        <x:is>
          <x:t xml:space="preserve">text/plain; charset=utf-8</x:t>
        </x:is>
      </x:c>
      <x:c r="I221" s="12" t="n">
        <x:v>1058</x:v>
      </x:c>
      <x:c r="J221" s="13" t="inlineStr">
        <x:is>
          <x:t xml:space="preserve">4aa9fd1566696fad4549e42bd3bf9b5ff65f61c8997177470a1f6c3b171a5a87</x:t>
        </x:is>
      </x:c>
      <x:c r="K221" s="12" t="inlineStr">
        <x:is>
          <x:t xml:space="preserve">2024.0</x:t>
        </x:is>
      </x:c>
      <x:c r="L221" s="12" t="inlineStr">
        <x:is>
          <x:t xml:space="preserve">22-3375015</x:t>
        </x:is>
      </x:c>
      <x:c r="M221" s="12" t="n"/>
      <x:c r="N221" s="12" t="inlineStr">
        <x:is>
          <x:t xml:space="preserve">derivative</x:t>
        </x:is>
      </x:c>
      <x:c r="O221" s="13" t="inlineStr">
        <x:is>
          <x:t xml:space="preserve">Public Form 990 rendering, organization profile, or filing-derived scale record</x:t>
        </x:is>
      </x:c>
      <x:c r="P221" s="13" t="inlineStr">
        <x:is>
          <x:t xml:space="preserve">expanded_reference_set.csv and prior frozen peer profile</x:t>
        </x:is>
      </x:c>
      <x:c r="Q221" s="13" t="inlineStr">
        <x:is>
          <x:t xml:space="preserve">Selection fields frozen without using compensation; full source-native profile page not archived.</x:t>
        </x:is>
      </x:c>
    </x:row>
    <x:row r="222">
      <x:c r="A222" s="12" t="inlineStr">
        <x:is>
          <x:t xml:space="preserve">SRC-PEER-CENTER-FOR-HUMANE-TECHNOLOGY</x:t>
        </x:is>
      </x:c>
      <x:c r="B222" s="12" t="inlineStr">
        <x:is>
          <x:t xml:space="preserve">Center for Humane Technology</x:t>
        </x:is>
      </x:c>
      <x:c r="C222" s="12" t="inlineStr">
        <x:is>
          <x:t xml:space="preserve">Peer selection and scale profile</x:t>
        </x:is>
      </x:c>
      <x:c r="D222" s="16" t="inlineStr">
        <x:is>
          <x:t xml:space="preserve">https://www.causeiq.com/organizations/center-for-humane-technology%2C823492182/</x:t>
        </x:is>
      </x:c>
      <x:c r="E222" s="16" t="inlineStr">
        <x:is>
          <x:t xml:space="preserve">https://www.causeiq.com/organizations/center-for-humane-technology%2C823492182/</x:t>
        </x:is>
      </x:c>
      <x:c r="F222" s="12" t="inlineStr">
        <x:is>
          <x:t xml:space="preserve">2026-08-25T16:07:55-0700</x:t>
        </x:is>
      </x:c>
      <x:c r="G222" s="16" t="inlineStr">
        <x:is>
          <x:t xml:space="preserve">sources/raw/src-peer-center-for-humane-technology.txt</x:t>
        </x:is>
      </x:c>
      <x:c r="H222" s="12" t="inlineStr">
        <x:is>
          <x:t xml:space="preserve">text/plain; charset=utf-8</x:t>
        </x:is>
      </x:c>
      <x:c r="I222" s="12" t="n">
        <x:v>1384</x:v>
      </x:c>
      <x:c r="J222" s="13" t="inlineStr">
        <x:is>
          <x:t xml:space="preserve">692511c79bbe448f4fc746be879ec640e5d8fad4e31e1dcf8097a924d5f9b5c3</x:t>
        </x:is>
      </x:c>
      <x:c r="K222" s="12" t="n"/>
      <x:c r="L222" s="12" t="inlineStr">
        <x:is>
          <x:t xml:space="preserve">82-3492182</x:t>
        </x:is>
      </x:c>
      <x:c r="M222" s="12" t="n"/>
      <x:c r="N222" s="12" t="inlineStr">
        <x:is>
          <x:t xml:space="preserve">derivative</x:t>
        </x:is>
      </x:c>
      <x:c r="O222" s="13" t="inlineStr">
        <x:is>
          <x:t xml:space="preserve">Public Form 990 rendering, organization profile, or filing-derived scale record</x:t>
        </x:is>
      </x:c>
      <x:c r="P222" s="13" t="inlineStr">
        <x:is>
          <x:t xml:space="preserve">expanded_reference_set.csv and prior frozen peer profile</x:t>
        </x:is>
      </x:c>
      <x:c r="Q222" s="13" t="inlineStr">
        <x:is>
          <x:t xml:space="preserve">Selection fields frozen without using compensation; full source-native profile page not archived.</x:t>
        </x:is>
      </x:c>
    </x:row>
    <x:row r="223">
      <x:c r="A223" s="12" t="inlineStr">
        <x:is>
          <x:t xml:space="preserve">SRC-PEER-CENTER-FOR-INTERNATIONAL-POLICY</x:t>
        </x:is>
      </x:c>
      <x:c r="B223" s="12" t="inlineStr">
        <x:is>
          <x:t xml:space="preserve">Center for International Policy</x:t>
        </x:is>
      </x:c>
      <x:c r="C223" s="12" t="inlineStr">
        <x:is>
          <x:t xml:space="preserve">Peer selection and scale profile</x:t>
        </x:is>
      </x:c>
      <x:c r="D223" s="16" t="inlineStr">
        <x:is>
          <x:t xml:space="preserve">https://projects.propublica.org/nonprofits/organizations/521446207</x:t>
        </x:is>
      </x:c>
      <x:c r="E223" s="16" t="inlineStr">
        <x:is>
          <x:t xml:space="preserve">https://projects.propublica.org/nonprofits/organizations/521446207</x:t>
        </x:is>
      </x:c>
      <x:c r="F223" s="12" t="inlineStr">
        <x:is>
          <x:t xml:space="preserve">2026-08-25T16:07:55-0700</x:t>
        </x:is>
      </x:c>
      <x:c r="G223" s="16" t="inlineStr">
        <x:is>
          <x:t xml:space="preserve">sources/raw/src-peer-center-for-international-policy.txt</x:t>
        </x:is>
      </x:c>
      <x:c r="H223" s="12" t="inlineStr">
        <x:is>
          <x:t xml:space="preserve">text/plain; charset=utf-8</x:t>
        </x:is>
      </x:c>
      <x:c r="I223" s="12" t="n">
        <x:v>1064</x:v>
      </x:c>
      <x:c r="J223" s="13" t="inlineStr">
        <x:is>
          <x:t xml:space="preserve">707cf477c00eab3d3089ced28be104de50ed981a7e308396974de4f598842971</x:t>
        </x:is>
      </x:c>
      <x:c r="K223" s="12" t="inlineStr">
        <x:is>
          <x:t xml:space="preserve">2024.0</x:t>
        </x:is>
      </x:c>
      <x:c r="L223" s="12" t="inlineStr">
        <x:is>
          <x:t xml:space="preserve">52-1446207</x:t>
        </x:is>
      </x:c>
      <x:c r="M223" s="12" t="n"/>
      <x:c r="N223" s="12" t="inlineStr">
        <x:is>
          <x:t xml:space="preserve">derivative</x:t>
        </x:is>
      </x:c>
      <x:c r="O223" s="13" t="inlineStr">
        <x:is>
          <x:t xml:space="preserve">Public Form 990 rendering, organization profile, or filing-derived scale record</x:t>
        </x:is>
      </x:c>
      <x:c r="P223" s="13" t="inlineStr">
        <x:is>
          <x:t xml:space="preserve">expanded_reference_set.csv and prior frozen peer profile</x:t>
        </x:is>
      </x:c>
      <x:c r="Q223" s="13" t="inlineStr">
        <x:is>
          <x:t xml:space="preserve">Selection fields frozen without using compensation; full source-native profile page not archived.</x:t>
        </x:is>
      </x:c>
    </x:row>
    <x:row r="224">
      <x:c r="A224" s="12" t="inlineStr">
        <x:is>
          <x:t xml:space="preserve">SRC-PEER-CENTER-FOR-LAW-AND-SOCIAL-POLICY</x:t>
        </x:is>
      </x:c>
      <x:c r="B224" s="12" t="inlineStr">
        <x:is>
          <x:t xml:space="preserve">Center for Law and Social Policy</x:t>
        </x:is>
      </x:c>
      <x:c r="C224" s="12" t="inlineStr">
        <x:is>
          <x:t xml:space="preserve">Peer selection and scale profile</x:t>
        </x:is>
      </x:c>
      <x:c r="D224" s="16" t="inlineStr">
        <x:is>
          <x:t xml:space="preserve">https://www.causeiq.com/organizations/center-for-law-and-social-policy%2C237000150/</x:t>
        </x:is>
      </x:c>
      <x:c r="E224" s="16" t="inlineStr">
        <x:is>
          <x:t xml:space="preserve">https://www.causeiq.com/organizations/center-for-law-and-social-policy%2C237000150/</x:t>
        </x:is>
      </x:c>
      <x:c r="F224" s="12" t="inlineStr">
        <x:is>
          <x:t xml:space="preserve">2026-08-25T16:07:55-0700</x:t>
        </x:is>
      </x:c>
      <x:c r="G224" s="16" t="inlineStr">
        <x:is>
          <x:t xml:space="preserve">sources/raw/src-peer-center-for-law-and-social-policy.txt</x:t>
        </x:is>
      </x:c>
      <x:c r="H224" s="12" t="inlineStr">
        <x:is>
          <x:t xml:space="preserve">text/plain; charset=utf-8</x:t>
        </x:is>
      </x:c>
      <x:c r="I224" s="12" t="n">
        <x:v>1374</x:v>
      </x:c>
      <x:c r="J224" s="13" t="inlineStr">
        <x:is>
          <x:t xml:space="preserve">a06dbee2d6d760dbdd15d0069557d9524d51253d23d7d620d4ff8ee4c0192fb1</x:t>
        </x:is>
      </x:c>
      <x:c r="K224" s="12" t="n"/>
      <x:c r="L224" s="12" t="inlineStr">
        <x:is>
          <x:t xml:space="preserve">23-7000150</x:t>
        </x:is>
      </x:c>
      <x:c r="M224" s="12" t="n"/>
      <x:c r="N224" s="12" t="inlineStr">
        <x:is>
          <x:t xml:space="preserve">derivative</x:t>
        </x:is>
      </x:c>
      <x:c r="O224" s="13" t="inlineStr">
        <x:is>
          <x:t xml:space="preserve">Public Form 990 rendering, organization profile, or filing-derived scale record</x:t>
        </x:is>
      </x:c>
      <x:c r="P224" s="13" t="inlineStr">
        <x:is>
          <x:t xml:space="preserve">expanded_reference_set.csv and prior frozen peer profile</x:t>
        </x:is>
      </x:c>
      <x:c r="Q224" s="13" t="inlineStr">
        <x:is>
          <x:t xml:space="preserve">Selection fields frozen without using compensation; full source-native profile page not archived.</x:t>
        </x:is>
      </x:c>
    </x:row>
    <x:row r="225">
      <x:c r="A225" s="12" t="inlineStr">
        <x:is>
          <x:t xml:space="preserve">SRC-PEER-CENTER-FOR-OPEN-SCIENCE</x:t>
        </x:is>
      </x:c>
      <x:c r="B225" s="12" t="inlineStr">
        <x:is>
          <x:t xml:space="preserve">Center for Open Science</x:t>
        </x:is>
      </x:c>
      <x:c r="C225" s="12" t="inlineStr">
        <x:is>
          <x:t xml:space="preserve">Peer selection and scale profile</x:t>
        </x:is>
      </x:c>
      <x:c r="D225" s="16" t="inlineStr">
        <x:is>
          <x:t xml:space="preserve">https://projects.propublica.org/nonprofits/organizations/461496217</x:t>
        </x:is>
      </x:c>
      <x:c r="E225" s="16" t="inlineStr">
        <x:is>
          <x:t xml:space="preserve">https://projects.propublica.org/nonprofits/organizations/461496217</x:t>
        </x:is>
      </x:c>
      <x:c r="F225" s="12" t="inlineStr">
        <x:is>
          <x:t xml:space="preserve">2026-08-25T16:07:55-0700</x:t>
        </x:is>
      </x:c>
      <x:c r="G225" s="16" t="inlineStr">
        <x:is>
          <x:t xml:space="preserve">sources/raw/src-peer-center-for-open-science.txt</x:t>
        </x:is>
      </x:c>
      <x:c r="H225" s="12" t="inlineStr">
        <x:is>
          <x:t xml:space="preserve">text/plain; charset=utf-8</x:t>
        </x:is>
      </x:c>
      <x:c r="I225" s="12" t="n">
        <x:v>1506</x:v>
      </x:c>
      <x:c r="J225" s="13" t="inlineStr">
        <x:is>
          <x:t xml:space="preserve">4fe9b9385405e2bcb9ae0b16f45abf19423dcf3eb582563c1053d1352fcd0bf9</x:t>
        </x:is>
      </x:c>
      <x:c r="K225" s="12" t="inlineStr">
        <x:is>
          <x:t xml:space="preserve">2024.0</x:t>
        </x:is>
      </x:c>
      <x:c r="L225" s="12" t="inlineStr">
        <x:is>
          <x:t xml:space="preserve">46-1496217</x:t>
        </x:is>
      </x:c>
      <x:c r="M225" s="12" t="n"/>
      <x:c r="N225" s="12" t="inlineStr">
        <x:is>
          <x:t xml:space="preserve">derivative</x:t>
        </x:is>
      </x:c>
      <x:c r="O225" s="13" t="inlineStr">
        <x:is>
          <x:t xml:space="preserve">Public Form 990 rendering, organization profile, or filing-derived scale record</x:t>
        </x:is>
      </x:c>
      <x:c r="P225" s="13" t="inlineStr">
        <x:is>
          <x:t xml:space="preserve">expanded_reference_set.csv and prior frozen peer profile</x:t>
        </x:is>
      </x:c>
      <x:c r="Q225" s="13" t="inlineStr">
        <x:is>
          <x:t xml:space="preserve">Selection fields frozen without using compensation; full source-native profile page not archived.</x:t>
        </x:is>
      </x:c>
    </x:row>
    <x:row r="226">
      <x:c r="A226" s="12" t="inlineStr">
        <x:is>
          <x:t xml:space="preserve">SRC-PEER-CENTER-FOR-PUBLIC-INTEGRITY</x:t>
        </x:is>
      </x:c>
      <x:c r="B226" s="12" t="inlineStr">
        <x:is>
          <x:t xml:space="preserve">Center for Public Integrity</x:t>
        </x:is>
      </x:c>
      <x:c r="C226" s="12" t="inlineStr">
        <x:is>
          <x:t xml:space="preserve">Peer selection and scale profile</x:t>
        </x:is>
      </x:c>
      <x:c r="D226" s="16" t="inlineStr">
        <x:is>
          <x:t xml:space="preserve">https://projects.propublica.org/nonprofits/organizations/541512177</x:t>
        </x:is>
      </x:c>
      <x:c r="E226" s="16" t="inlineStr">
        <x:is>
          <x:t xml:space="preserve">https://projects.propublica.org/nonprofits/organizations/541512177</x:t>
        </x:is>
      </x:c>
      <x:c r="F226" s="12" t="inlineStr">
        <x:is>
          <x:t xml:space="preserve">2026-08-25T16:07:55-0700</x:t>
        </x:is>
      </x:c>
      <x:c r="G226" s="16" t="inlineStr">
        <x:is>
          <x:t xml:space="preserve">sources/raw/src-peer-center-for-public-integrity.txt</x:t>
        </x:is>
      </x:c>
      <x:c r="H226" s="12" t="inlineStr">
        <x:is>
          <x:t xml:space="preserve">text/plain; charset=utf-8</x:t>
        </x:is>
      </x:c>
      <x:c r="I226" s="12" t="n">
        <x:v>1086</x:v>
      </x:c>
      <x:c r="J226" s="13" t="inlineStr">
        <x:is>
          <x:t xml:space="preserve">849d56b7c87021391fd55f5bf417376ea82e8133372046deef170f6d7343e560</x:t>
        </x:is>
      </x:c>
      <x:c r="K226" s="12" t="inlineStr">
        <x:is>
          <x:t xml:space="preserve">2023.0</x:t>
        </x:is>
      </x:c>
      <x:c r="L226" s="12" t="inlineStr">
        <x:is>
          <x:t xml:space="preserve">54-1512177</x:t>
        </x:is>
      </x:c>
      <x:c r="M226" s="12" t="n"/>
      <x:c r="N226" s="12" t="inlineStr">
        <x:is>
          <x:t xml:space="preserve">derivative</x:t>
        </x:is>
      </x:c>
      <x:c r="O226" s="13" t="inlineStr">
        <x:is>
          <x:t xml:space="preserve">Public Form 990 rendering, organization profile, or filing-derived scale record</x:t>
        </x:is>
      </x:c>
      <x:c r="P226" s="13" t="inlineStr">
        <x:is>
          <x:t xml:space="preserve">expanded_reference_set.csv and prior frozen peer profile</x:t>
        </x:is>
      </x:c>
      <x:c r="Q226" s="13" t="inlineStr">
        <x:is>
          <x:t xml:space="preserve">Selection fields frozen without using compensation; full source-native profile page not archived.</x:t>
        </x:is>
      </x:c>
    </x:row>
    <x:row r="227">
      <x:c r="A227" s="12" t="inlineStr">
        <x:is>
          <x:t xml:space="preserve">SRC-PEER-CENTER-FOR-A-NEW-AMERICAN-SECURITY</x:t>
        </x:is>
      </x:c>
      <x:c r="B227" s="12" t="inlineStr">
        <x:is>
          <x:t xml:space="preserve">Center for a New American Security</x:t>
        </x:is>
      </x:c>
      <x:c r="C227" s="12" t="inlineStr">
        <x:is>
          <x:t xml:space="preserve">Peer selection and scale profile</x:t>
        </x:is>
      </x:c>
      <x:c r="D227" s="16" t="inlineStr">
        <x:is>
          <x:t xml:space="preserve">https://projects.propublica.org/nonprofits/organizations/208084828</x:t>
        </x:is>
      </x:c>
      <x:c r="E227" s="16" t="inlineStr">
        <x:is>
          <x:t xml:space="preserve">https://projects.propublica.org/nonprofits/organizations/208084828</x:t>
        </x:is>
      </x:c>
      <x:c r="F227" s="12" t="inlineStr">
        <x:is>
          <x:t xml:space="preserve">2026-08-25T16:07:55-0700</x:t>
        </x:is>
      </x:c>
      <x:c r="G227" s="16" t="inlineStr">
        <x:is>
          <x:t xml:space="preserve">sources/raw/src-peer-center-for-a-new-american-security.txt</x:t>
        </x:is>
      </x:c>
      <x:c r="H227" s="12" t="inlineStr">
        <x:is>
          <x:t xml:space="preserve">text/plain; charset=utf-8</x:t>
        </x:is>
      </x:c>
      <x:c r="I227" s="12" t="n">
        <x:v>1069</x:v>
      </x:c>
      <x:c r="J227" s="13" t="inlineStr">
        <x:is>
          <x:t xml:space="preserve">dbee41d351bcb197a0c4e70d88e724ed44c3465237b8775b8c33a987ef3b397d</x:t>
        </x:is>
      </x:c>
      <x:c r="K227" s="12" t="inlineStr">
        <x:is>
          <x:t xml:space="preserve">2023.0</x:t>
        </x:is>
      </x:c>
      <x:c r="L227" s="12" t="inlineStr">
        <x:is>
          <x:t xml:space="preserve">20-8084828</x:t>
        </x:is>
      </x:c>
      <x:c r="M227" s="12" t="n"/>
      <x:c r="N227" s="12" t="inlineStr">
        <x:is>
          <x:t xml:space="preserve">derivative</x:t>
        </x:is>
      </x:c>
      <x:c r="O227" s="13" t="inlineStr">
        <x:is>
          <x:t xml:space="preserve">Public Form 990 rendering, organization profile, or filing-derived scale record</x:t>
        </x:is>
      </x:c>
      <x:c r="P227" s="13" t="inlineStr">
        <x:is>
          <x:t xml:space="preserve">expanded_reference_set.csv and prior frozen peer profile</x:t>
        </x:is>
      </x:c>
      <x:c r="Q227" s="13" t="inlineStr">
        <x:is>
          <x:t xml:space="preserve">Selection fields frozen without using compensation; full source-native profile page not archived.</x:t>
        </x:is>
      </x:c>
    </x:row>
    <x:row r="228">
      <x:c r="A228" s="12" t="inlineStr">
        <x:is>
          <x:t xml:space="preserve">SRC-PEER-CHARITY-NAVIGATOR</x:t>
        </x:is>
      </x:c>
      <x:c r="B228" s="12" t="inlineStr">
        <x:is>
          <x:t xml:space="preserve">Charity Navigator</x:t>
        </x:is>
      </x:c>
      <x:c r="C228" s="12" t="inlineStr">
        <x:is>
          <x:t xml:space="preserve">Peer selection and scale profile</x:t>
        </x:is>
      </x:c>
      <x:c r="D228" s="16" t="inlineStr">
        <x:is>
          <x:t xml:space="preserve">https://projects.propublica.org/nonprofits/organizations/134148824</x:t>
        </x:is>
      </x:c>
      <x:c r="E228" s="16" t="inlineStr">
        <x:is>
          <x:t xml:space="preserve">https://projects.propublica.org/nonprofits/organizations/134148824</x:t>
        </x:is>
      </x:c>
      <x:c r="F228" s="12" t="inlineStr">
        <x:is>
          <x:t xml:space="preserve">2026-08-25T16:07:55-0700</x:t>
        </x:is>
      </x:c>
      <x:c r="G228" s="17" t="inlineStr">
        <x:is>
          <x:t xml:space="preserve">sources/raw/src-peer-charity-navigator.txt</x:t>
        </x:is>
      </x:c>
      <x:c r="H228" s="12" t="inlineStr">
        <x:is>
          <x:t xml:space="preserve">text/plain; charset=utf-8</x:t>
        </x:is>
      </x:c>
      <x:c r="I228" s="12" t="n">
        <x:v>1486</x:v>
      </x:c>
      <x:c r="J228" s="13" t="inlineStr">
        <x:is>
          <x:t xml:space="preserve">5d3ac54cf7956a7617e060a15f85abf657b16a6109fc1c8a5ad3ef1049bd75ee</x:t>
        </x:is>
      </x:c>
      <x:c r="K228" s="12" t="inlineStr">
        <x:is>
          <x:t xml:space="preserve">2024.0</x:t>
        </x:is>
      </x:c>
      <x:c r="L228" s="12" t="inlineStr">
        <x:is>
          <x:t xml:space="preserve">13-4148824</x:t>
        </x:is>
      </x:c>
      <x:c r="M228" s="12" t="n"/>
      <x:c r="N228" s="12" t="inlineStr">
        <x:is>
          <x:t xml:space="preserve">derivative</x:t>
        </x:is>
      </x:c>
      <x:c r="O228" s="13" t="inlineStr">
        <x:is>
          <x:t xml:space="preserve">Public Form 990 rendering, organization profile, or filing-derived scale record</x:t>
        </x:is>
      </x:c>
      <x:c r="P228" s="13" t="inlineStr">
        <x:is>
          <x:t xml:space="preserve">expanded_reference_set.csv and prior frozen peer profile</x:t>
        </x:is>
      </x:c>
      <x:c r="Q228" s="13" t="inlineStr">
        <x:is>
          <x:t xml:space="preserve">Selection fields frozen without using compensation; full source-native profile page not archived.</x:t>
        </x:is>
      </x:c>
    </x:row>
    <x:row r="229">
      <x:c r="A229" s="12" t="inlineStr">
        <x:is>
          <x:t xml:space="preserve">SRC-PEER-CHARTER-CITIES-INSTITUTE</x:t>
        </x:is>
      </x:c>
      <x:c r="B229" s="12" t="inlineStr">
        <x:is>
          <x:t xml:space="preserve">Charter Cities Institute</x:t>
        </x:is>
      </x:c>
      <x:c r="C229" s="12" t="inlineStr">
        <x:is>
          <x:t xml:space="preserve">Peer selection and scale profile</x:t>
        </x:is>
      </x:c>
      <x:c r="D229" s="16" t="inlineStr">
        <x:is>
          <x:t xml:space="preserve">https://www.causeiq.com/organizations/charter-cities-institute%2C823264419/</x:t>
        </x:is>
      </x:c>
      <x:c r="E229" s="16" t="inlineStr">
        <x:is>
          <x:t xml:space="preserve">https://www.causeiq.com/organizations/charter-cities-institute%2C823264419/</x:t>
        </x:is>
      </x:c>
      <x:c r="F229" s="12" t="inlineStr">
        <x:is>
          <x:t xml:space="preserve">2026-08-25T16:07:55-0700</x:t>
        </x:is>
      </x:c>
      <x:c r="G229" s="16" t="inlineStr">
        <x:is>
          <x:t xml:space="preserve">sources/raw/src-peer-charter-cities-institute.txt</x:t>
        </x:is>
      </x:c>
      <x:c r="H229" s="12" t="inlineStr">
        <x:is>
          <x:t xml:space="preserve">text/plain; charset=utf-8</x:t>
        </x:is>
      </x:c>
      <x:c r="I229" s="12" t="n">
        <x:v>1326</x:v>
      </x:c>
      <x:c r="J229" s="13" t="inlineStr">
        <x:is>
          <x:t xml:space="preserve">8d77bc21da6ec6c3d52518b64f18ae6b684778b5f33619a7a0de0fa2a4bfb485</x:t>
        </x:is>
      </x:c>
      <x:c r="K229" s="12" t="n"/>
      <x:c r="L229" s="12" t="inlineStr">
        <x:is>
          <x:t xml:space="preserve">82-3264419</x:t>
        </x:is>
      </x:c>
      <x:c r="M229" s="12" t="n"/>
      <x:c r="N229" s="12" t="inlineStr">
        <x:is>
          <x:t xml:space="preserve">derivative</x:t>
        </x:is>
      </x:c>
      <x:c r="O229" s="13" t="inlineStr">
        <x:is>
          <x:t xml:space="preserve">Public Form 990 rendering, organization profile, or filing-derived scale record</x:t>
        </x:is>
      </x:c>
      <x:c r="P229" s="13" t="inlineStr">
        <x:is>
          <x:t xml:space="preserve">expanded_reference_set.csv and prior frozen peer profile</x:t>
        </x:is>
      </x:c>
      <x:c r="Q229" s="13" t="inlineStr">
        <x:is>
          <x:t xml:space="preserve">Selection fields frozen without using compensation; full source-native profile page not archived.</x:t>
        </x:is>
      </x:c>
    </x:row>
    <x:row r="230">
      <x:c r="A230" s="12" t="inlineStr">
        <x:is>
          <x:t xml:space="preserve">SRC-PEER-CHICAGO-COUNCIL-ON-GLOBAL-AFFAIRS</x:t>
        </x:is>
      </x:c>
      <x:c r="B230" s="12" t="inlineStr">
        <x:is>
          <x:t xml:space="preserve">Chicago Council on Global Affairs</x:t>
        </x:is>
      </x:c>
      <x:c r="C230" s="12" t="inlineStr">
        <x:is>
          <x:t xml:space="preserve">Peer selection and scale profile</x:t>
        </x:is>
      </x:c>
      <x:c r="D230" s="16" t="inlineStr">
        <x:is>
          <x:t xml:space="preserve">https://projects.propublica.org/nonprofits/organizations/362181969</x:t>
        </x:is>
      </x:c>
      <x:c r="E230" s="16" t="inlineStr">
        <x:is>
          <x:t xml:space="preserve">https://projects.propublica.org/nonprofits/organizations/362181969</x:t>
        </x:is>
      </x:c>
      <x:c r="F230" s="12" t="inlineStr">
        <x:is>
          <x:t xml:space="preserve">2026-08-25T16:07:55-0700</x:t>
        </x:is>
      </x:c>
      <x:c r="G230" s="16" t="inlineStr">
        <x:is>
          <x:t xml:space="preserve">sources/raw/src-peer-chicago-council-on-global-affairs.txt</x:t>
        </x:is>
      </x:c>
      <x:c r="H230" s="12" t="inlineStr">
        <x:is>
          <x:t xml:space="preserve">text/plain; charset=utf-8</x:t>
        </x:is>
      </x:c>
      <x:c r="I230" s="12" t="n">
        <x:v>1094</x:v>
      </x:c>
      <x:c r="J230" s="13" t="inlineStr">
        <x:is>
          <x:t xml:space="preserve">22767acba95b0ca5acfa5231694cfd688802eb321d689ccd99a61567f5fa15a4</x:t>
        </x:is>
      </x:c>
      <x:c r="K230" s="12" t="inlineStr">
        <x:is>
          <x:t xml:space="preserve">2024.0</x:t>
        </x:is>
      </x:c>
      <x:c r="L230" s="12" t="inlineStr">
        <x:is>
          <x:t xml:space="preserve">36-2181969</x:t>
        </x:is>
      </x:c>
      <x:c r="M230" s="12" t="n"/>
      <x:c r="N230" s="12" t="inlineStr">
        <x:is>
          <x:t xml:space="preserve">derivative</x:t>
        </x:is>
      </x:c>
      <x:c r="O230" s="13" t="inlineStr">
        <x:is>
          <x:t xml:space="preserve">Public Form 990 rendering, organization profile, or filing-derived scale record</x:t>
        </x:is>
      </x:c>
      <x:c r="P230" s="13" t="inlineStr">
        <x:is>
          <x:t xml:space="preserve">expanded_reference_set.csv and prior frozen peer profile</x:t>
        </x:is>
      </x:c>
      <x:c r="Q230" s="13" t="inlineStr">
        <x:is>
          <x:t xml:space="preserve">Selection fields frozen without using compensation; full source-native profile page not archived.</x:t>
        </x:is>
      </x:c>
    </x:row>
    <x:row r="231">
      <x:c r="A231" s="12" t="inlineStr">
        <x:is>
          <x:t xml:space="preserve">SRC-PEER-CLEAN-AIR-TASK-FORCE</x:t>
        </x:is>
      </x:c>
      <x:c r="B231" s="12" t="inlineStr">
        <x:is>
          <x:t xml:space="preserve">Clean Air Task Force</x:t>
        </x:is>
      </x:c>
      <x:c r="C231" s="12" t="inlineStr">
        <x:is>
          <x:t xml:space="preserve">Peer selection and scale profile</x:t>
        </x:is>
      </x:c>
      <x:c r="D231" s="16" t="inlineStr">
        <x:is>
          <x:t xml:space="preserve">https://projects.propublica.org/nonprofits/organizations/043512550</x:t>
        </x:is>
      </x:c>
      <x:c r="E231" s="16" t="inlineStr">
        <x:is>
          <x:t xml:space="preserve">https://projects.propublica.org/nonprofits/organizations/043512550</x:t>
        </x:is>
      </x:c>
      <x:c r="F231" s="12" t="inlineStr">
        <x:is>
          <x:t xml:space="preserve">2026-08-25T16:07:55-0700</x:t>
        </x:is>
      </x:c>
      <x:c r="G231" s="17" t="inlineStr">
        <x:is>
          <x:t xml:space="preserve">sources/raw/src-peer-clean-air-task-force.txt</x:t>
        </x:is>
      </x:c>
      <x:c r="H231" s="12" t="inlineStr">
        <x:is>
          <x:t xml:space="preserve">text/plain; charset=utf-8</x:t>
        </x:is>
      </x:c>
      <x:c r="I231" s="12" t="n">
        <x:v>1061</x:v>
      </x:c>
      <x:c r="J231" s="13" t="inlineStr">
        <x:is>
          <x:t xml:space="preserve">c2c6402c3d61a541b11fecbf19156c5168ba1d0f8cddbbff6a300880f6f5425b</x:t>
        </x:is>
      </x:c>
      <x:c r="K231" s="12" t="inlineStr">
        <x:is>
          <x:t xml:space="preserve">2024.0</x:t>
        </x:is>
      </x:c>
      <x:c r="L231" s="12" t="inlineStr">
        <x:is>
          <x:t xml:space="preserve">04-3512550</x:t>
        </x:is>
      </x:c>
      <x:c r="M231" s="12" t="n"/>
      <x:c r="N231" s="12" t="inlineStr">
        <x:is>
          <x:t xml:space="preserve">derivative</x:t>
        </x:is>
      </x:c>
      <x:c r="O231" s="13" t="inlineStr">
        <x:is>
          <x:t xml:space="preserve">Public Form 990 rendering, organization profile, or filing-derived scale record</x:t>
        </x:is>
      </x:c>
      <x:c r="P231" s="13" t="inlineStr">
        <x:is>
          <x:t xml:space="preserve">expanded_reference_set.csv and prior frozen peer profile</x:t>
        </x:is>
      </x:c>
      <x:c r="Q231" s="13" t="inlineStr">
        <x:is>
          <x:t xml:space="preserve">Selection fields frozen without using compensation; full source-native profile page not archived.</x:t>
        </x:is>
      </x:c>
    </x:row>
    <x:row r="232">
      <x:c r="A232" s="12" t="inlineStr">
        <x:is>
          <x:t xml:space="preserve">SRC-PEER-CLIMATE-CENTRAL</x:t>
        </x:is>
      </x:c>
      <x:c r="B232" s="12" t="inlineStr">
        <x:is>
          <x:t xml:space="preserve">Climate Central</x:t>
        </x:is>
      </x:c>
      <x:c r="C232" s="12" t="inlineStr">
        <x:is>
          <x:t xml:space="preserve">Peer selection and scale profile</x:t>
        </x:is>
      </x:c>
      <x:c r="D232" s="16" t="inlineStr">
        <x:is>
          <x:t xml:space="preserve">https://projects.propublica.org/nonprofits/organizations/261797336</x:t>
        </x:is>
      </x:c>
      <x:c r="E232" s="16" t="inlineStr">
        <x:is>
          <x:t xml:space="preserve">https://projects.propublica.org/nonprofits/organizations/261797336</x:t>
        </x:is>
      </x:c>
      <x:c r="F232" s="12" t="inlineStr">
        <x:is>
          <x:t xml:space="preserve">2026-08-25T16:07:55-0700</x:t>
        </x:is>
      </x:c>
      <x:c r="G232" s="17" t="inlineStr">
        <x:is>
          <x:t xml:space="preserve">sources/raw/src-peer-climate-central.txt</x:t>
        </x:is>
      </x:c>
      <x:c r="H232" s="12" t="inlineStr">
        <x:is>
          <x:t xml:space="preserve">text/plain; charset=utf-8</x:t>
        </x:is>
      </x:c>
      <x:c r="I232" s="12" t="n">
        <x:v>1045</x:v>
      </x:c>
      <x:c r="J232" s="13" t="inlineStr">
        <x:is>
          <x:t xml:space="preserve">a3c5474ab2f12b0055522f0ed63d403d4832ba79bf8eb30a47b1cabf93bc26c8</x:t>
        </x:is>
      </x:c>
      <x:c r="K232" s="12" t="inlineStr">
        <x:is>
          <x:t xml:space="preserve">2025.0</x:t>
        </x:is>
      </x:c>
      <x:c r="L232" s="12" t="inlineStr">
        <x:is>
          <x:t xml:space="preserve">26-1797336</x:t>
        </x:is>
      </x:c>
      <x:c r="M232" s="12" t="n"/>
      <x:c r="N232" s="12" t="inlineStr">
        <x:is>
          <x:t xml:space="preserve">derivative</x:t>
        </x:is>
      </x:c>
      <x:c r="O232" s="13" t="inlineStr">
        <x:is>
          <x:t xml:space="preserve">Public Form 990 rendering, organization profile, or filing-derived scale record</x:t>
        </x:is>
      </x:c>
      <x:c r="P232" s="13" t="inlineStr">
        <x:is>
          <x:t xml:space="preserve">expanded_reference_set.csv and prior frozen peer profile</x:t>
        </x:is>
      </x:c>
      <x:c r="Q232" s="13" t="inlineStr">
        <x:is>
          <x:t xml:space="preserve">Selection fields frozen without using compensation; full source-native profile page not archived.</x:t>
        </x:is>
      </x:c>
    </x:row>
    <x:row r="233">
      <x:c r="A233" s="12" t="inlineStr">
        <x:is>
          <x:t xml:space="preserve">SRC-PEER-CODE-FOR-SCIENCE-SOCIETY</x:t>
        </x:is>
      </x:c>
      <x:c r="B233" s="12" t="inlineStr">
        <x:is>
          <x:t xml:space="preserve">Code for Science &amp; Society</x:t>
        </x:is>
      </x:c>
      <x:c r="C233" s="12" t="inlineStr">
        <x:is>
          <x:t xml:space="preserve">Peer selection and scale profile</x:t>
        </x:is>
      </x:c>
      <x:c r="D233" s="16" t="inlineStr">
        <x:is>
          <x:t xml:space="preserve">https://www.causeiq.com/organizations/code-for-science-and-society%2C813791683/</x:t>
        </x:is>
      </x:c>
      <x:c r="E233" s="16" t="inlineStr">
        <x:is>
          <x:t xml:space="preserve">https://www.causeiq.com/organizations/code-for-science-and-society%2C813791683/</x:t>
        </x:is>
      </x:c>
      <x:c r="F233" s="12" t="inlineStr">
        <x:is>
          <x:t xml:space="preserve">2026-08-25T16:07:55-0700</x:t>
        </x:is>
      </x:c>
      <x:c r="G233" s="16" t="inlineStr">
        <x:is>
          <x:t xml:space="preserve">sources/raw/src-peer-code-for-science-society.txt</x:t>
        </x:is>
      </x:c>
      <x:c r="H233" s="12" t="inlineStr">
        <x:is>
          <x:t xml:space="preserve">text/plain; charset=utf-8</x:t>
        </x:is>
      </x:c>
      <x:c r="I233" s="12" t="n">
        <x:v>1571</x:v>
      </x:c>
      <x:c r="J233" s="13" t="inlineStr">
        <x:is>
          <x:t xml:space="preserve">3a9dbb4e9241d723e83f91f33eb9df283505bfe5fd5e5b358dd64c980528afd9</x:t>
        </x:is>
      </x:c>
      <x:c r="K233" s="12" t="inlineStr">
        <x:is>
          <x:t xml:space="preserve">2024.0</x:t>
        </x:is>
      </x:c>
      <x:c r="L233" s="12" t="inlineStr">
        <x:is>
          <x:t xml:space="preserve">81-3791683</x:t>
        </x:is>
      </x:c>
      <x:c r="M233" s="12" t="n"/>
      <x:c r="N233" s="12" t="inlineStr">
        <x:is>
          <x:t xml:space="preserve">derivative</x:t>
        </x:is>
      </x:c>
      <x:c r="O233" s="13" t="inlineStr">
        <x:is>
          <x:t xml:space="preserve">Public Form 990 rendering, organization profile, or filing-derived scale record</x:t>
        </x:is>
      </x:c>
      <x:c r="P233" s="13" t="inlineStr">
        <x:is>
          <x:t xml:space="preserve">expanded_reference_set.csv and prior frozen peer profile</x:t>
        </x:is>
      </x:c>
      <x:c r="Q233" s="13" t="inlineStr">
        <x:is>
          <x:t xml:space="preserve">Selection fields frozen without using compensation; full source-native profile page not archived.</x:t>
        </x:is>
      </x:c>
    </x:row>
    <x:row r="234">
      <x:c r="A234" s="13" t="inlineStr">
        <x:is>
          <x:t xml:space="preserve">SRC-PEER-COMMITTEE-FOR-A-RESPONSIBLE-FEDERAL-BUDGET</x:t>
        </x:is>
      </x:c>
      <x:c r="B234" s="12" t="inlineStr">
        <x:is>
          <x:t xml:space="preserve">Committee for a Responsible Federal Budget</x:t>
        </x:is>
      </x:c>
      <x:c r="C234" s="12" t="inlineStr">
        <x:is>
          <x:t xml:space="preserve">Peer selection and scale profile</x:t>
        </x:is>
      </x:c>
      <x:c r="D234" s="16" t="inlineStr">
        <x:is>
          <x:t xml:space="preserve">https://projects.propublica.org/nonprofits/organizations/521231278</x:t>
        </x:is>
      </x:c>
      <x:c r="E234" s="16" t="inlineStr">
        <x:is>
          <x:t xml:space="preserve">https://projects.propublica.org/nonprofits/organizations/521231278</x:t>
        </x:is>
      </x:c>
      <x:c r="F234" s="12" t="inlineStr">
        <x:is>
          <x:t xml:space="preserve">2026-08-25T16:07:55-0700</x:t>
        </x:is>
      </x:c>
      <x:c r="G234" s="16" t="inlineStr">
        <x:is>
          <x:t xml:space="preserve">sources/raw/src-peer-committee-for-a-responsible-federal-budget.txt</x:t>
        </x:is>
      </x:c>
      <x:c r="H234" s="12" t="inlineStr">
        <x:is>
          <x:t xml:space="preserve">text/plain; charset=utf-8</x:t>
        </x:is>
      </x:c>
      <x:c r="I234" s="12" t="n">
        <x:v>1090</x:v>
      </x:c>
      <x:c r="J234" s="13" t="inlineStr">
        <x:is>
          <x:t xml:space="preserve">ae5ef88a248fe2646fa93aac5e122500ef0fed1b3d9705eab4fa756914d0cf2a</x:t>
        </x:is>
      </x:c>
      <x:c r="K234" s="12" t="inlineStr">
        <x:is>
          <x:t xml:space="preserve">2025.0</x:t>
        </x:is>
      </x:c>
      <x:c r="L234" s="12" t="inlineStr">
        <x:is>
          <x:t xml:space="preserve">52-1231278</x:t>
        </x:is>
      </x:c>
      <x:c r="M234" s="12" t="n"/>
      <x:c r="N234" s="12" t="inlineStr">
        <x:is>
          <x:t xml:space="preserve">derivative</x:t>
        </x:is>
      </x:c>
      <x:c r="O234" s="13" t="inlineStr">
        <x:is>
          <x:t xml:space="preserve">Public Form 990 rendering, organization profile, or filing-derived scale record</x:t>
        </x:is>
      </x:c>
      <x:c r="P234" s="13" t="inlineStr">
        <x:is>
          <x:t xml:space="preserve">expanded_reference_set.csv and prior frozen peer profile</x:t>
        </x:is>
      </x:c>
      <x:c r="Q234" s="13" t="inlineStr">
        <x:is>
          <x:t xml:space="preserve">Selection fields frozen without using compensation; full source-native profile page not archived.</x:t>
        </x:is>
      </x:c>
    </x:row>
    <x:row r="235">
      <x:c r="A235" s="12" t="inlineStr">
        <x:is>
          <x:t xml:space="preserve">SRC-PEER-COMPASSION-IN-WORLD-FARMING-USA</x:t>
        </x:is>
      </x:c>
      <x:c r="B235" s="12" t="inlineStr">
        <x:is>
          <x:t xml:space="preserve">Compassion in World Farming USA</x:t>
        </x:is>
      </x:c>
      <x:c r="C235" s="12" t="inlineStr">
        <x:is>
          <x:t xml:space="preserve">Peer selection and scale profile</x:t>
        </x:is>
      </x:c>
      <x:c r="D235" s="16" t="inlineStr">
        <x:is>
          <x:t xml:space="preserve">https://www.causeiq.com/organizations/compassion-in-world-farming%2C461822635/</x:t>
        </x:is>
      </x:c>
      <x:c r="E235" s="16" t="inlineStr">
        <x:is>
          <x:t xml:space="preserve">https://www.causeiq.com/organizations/compassion-in-world-farming%2C461822635/</x:t>
        </x:is>
      </x:c>
      <x:c r="F235" s="12" t="inlineStr">
        <x:is>
          <x:t xml:space="preserve">2026-08-25T16:07:55-0700</x:t>
        </x:is>
      </x:c>
      <x:c r="G235" s="16" t="inlineStr">
        <x:is>
          <x:t xml:space="preserve">sources/raw/src-peer-compassion-in-world-farming-usa.txt</x:t>
        </x:is>
      </x:c>
      <x:c r="H235" s="12" t="inlineStr">
        <x:is>
          <x:t xml:space="preserve">text/plain; charset=utf-8</x:t>
        </x:is>
      </x:c>
      <x:c r="I235" s="12" t="n">
        <x:v>1322</x:v>
      </x:c>
      <x:c r="J235" s="13" t="inlineStr">
        <x:is>
          <x:t xml:space="preserve">2c552d10764fe79f41907d5fd5fc92cb7b6cc438dcca7822cc547a88e8c4656f</x:t>
        </x:is>
      </x:c>
      <x:c r="K235" s="12" t="n"/>
      <x:c r="L235" s="12" t="inlineStr">
        <x:is>
          <x:t xml:space="preserve">46-1822635</x:t>
        </x:is>
      </x:c>
      <x:c r="M235" s="12" t="n"/>
      <x:c r="N235" s="12" t="inlineStr">
        <x:is>
          <x:t xml:space="preserve">derivative</x:t>
        </x:is>
      </x:c>
      <x:c r="O235" s="13" t="inlineStr">
        <x:is>
          <x:t xml:space="preserve">Public Form 990 rendering, organization profile, or filing-derived scale record</x:t>
        </x:is>
      </x:c>
      <x:c r="P235" s="13" t="inlineStr">
        <x:is>
          <x:t xml:space="preserve">expanded_reference_set.csv and prior frozen peer profile</x:t>
        </x:is>
      </x:c>
      <x:c r="Q235" s="13" t="inlineStr">
        <x:is>
          <x:t xml:space="preserve">Selection fields frozen without using compensation; full source-native profile page not archived.</x:t>
        </x:is>
      </x:c>
    </x:row>
    <x:row r="236">
      <x:c r="A236" s="12" t="inlineStr">
        <x:is>
          <x:t xml:space="preserve">SRC-PEER-COUNCIL-ON-STRATEGIC-RISKS</x:t>
        </x:is>
      </x:c>
      <x:c r="B236" s="12" t="inlineStr">
        <x:is>
          <x:t xml:space="preserve">Council on Strategic Risks</x:t>
        </x:is>
      </x:c>
      <x:c r="C236" s="12" t="inlineStr">
        <x:is>
          <x:t xml:space="preserve">Peer selection and scale profile</x:t>
        </x:is>
      </x:c>
      <x:c r="D236" s="16" t="inlineStr">
        <x:is>
          <x:t xml:space="preserve">https://www.causeiq.com/organizations/the-council-on-strategic-risks%2C823106472/</x:t>
        </x:is>
      </x:c>
      <x:c r="E236" s="16" t="inlineStr">
        <x:is>
          <x:t xml:space="preserve">https://www.causeiq.com/organizations/the-council-on-strategic-risks%2C823106472/</x:t>
        </x:is>
      </x:c>
      <x:c r="F236" s="12" t="inlineStr">
        <x:is>
          <x:t xml:space="preserve">2026-08-25T16:07:55-0700</x:t>
        </x:is>
      </x:c>
      <x:c r="G236" s="16" t="inlineStr">
        <x:is>
          <x:t xml:space="preserve">sources/raw/src-peer-council-on-strategic-risks.txt</x:t>
        </x:is>
      </x:c>
      <x:c r="H236" s="12" t="inlineStr">
        <x:is>
          <x:t xml:space="preserve">text/plain; charset=utf-8</x:t>
        </x:is>
      </x:c>
      <x:c r="I236" s="12" t="n">
        <x:v>1534</x:v>
      </x:c>
      <x:c r="J236" s="13" t="inlineStr">
        <x:is>
          <x:t xml:space="preserve">2d17be0208fa29bf3c6b34af5d6eab983d1478bc2f1429cf4e8cecdf0020aa35</x:t>
        </x:is>
      </x:c>
      <x:c r="K236" s="12" t="inlineStr">
        <x:is>
          <x:t xml:space="preserve">2025.0</x:t>
        </x:is>
      </x:c>
      <x:c r="L236" s="12" t="inlineStr">
        <x:is>
          <x:t xml:space="preserve">82-3106472</x:t>
        </x:is>
      </x:c>
      <x:c r="M236" s="12" t="n"/>
      <x:c r="N236" s="12" t="inlineStr">
        <x:is>
          <x:t xml:space="preserve">derivative</x:t>
        </x:is>
      </x:c>
      <x:c r="O236" s="13" t="inlineStr">
        <x:is>
          <x:t xml:space="preserve">Public Form 990 rendering, organization profile, or filing-derived scale record</x:t>
        </x:is>
      </x:c>
      <x:c r="P236" s="13" t="inlineStr">
        <x:is>
          <x:t xml:space="preserve">expanded_reference_set.csv and prior frozen peer profile</x:t>
        </x:is>
      </x:c>
      <x:c r="Q236" s="13" t="inlineStr">
        <x:is>
          <x:t xml:space="preserve">Selection fields frozen without using compensation; full source-native profile page not archived.</x:t>
        </x:is>
      </x:c>
    </x:row>
    <x:row r="237">
      <x:c r="A237" s="12" t="inlineStr">
        <x:is>
          <x:t xml:space="preserve">SRC-PEER-CREATIVE-COMMONS</x:t>
        </x:is>
      </x:c>
      <x:c r="B237" s="12" t="inlineStr">
        <x:is>
          <x:t xml:space="preserve">Creative Commons</x:t>
        </x:is>
      </x:c>
      <x:c r="C237" s="12" t="inlineStr">
        <x:is>
          <x:t xml:space="preserve">Peer selection and scale profile</x:t>
        </x:is>
      </x:c>
      <x:c r="D237" s="16" t="inlineStr">
        <x:is>
          <x:t xml:space="preserve">https://projects.propublica.org/nonprofits/organizations/043585301</x:t>
        </x:is>
      </x:c>
      <x:c r="E237" s="16" t="inlineStr">
        <x:is>
          <x:t xml:space="preserve">https://projects.propublica.org/nonprofits/organizations/043585301</x:t>
        </x:is>
      </x:c>
      <x:c r="F237" s="12" t="inlineStr">
        <x:is>
          <x:t xml:space="preserve">2026-08-25T16:07:55-0700</x:t>
        </x:is>
      </x:c>
      <x:c r="G237" s="17" t="inlineStr">
        <x:is>
          <x:t xml:space="preserve">sources/raw/src-peer-creative-commons.txt</x:t>
        </x:is>
      </x:c>
      <x:c r="H237" s="12" t="inlineStr">
        <x:is>
          <x:t xml:space="preserve">text/plain; charset=utf-8</x:t>
        </x:is>
      </x:c>
      <x:c r="I237" s="12" t="n">
        <x:v>1095</x:v>
      </x:c>
      <x:c r="J237" s="13" t="inlineStr">
        <x:is>
          <x:t xml:space="preserve">18a8ed15f2a127fba1bebfef445479a14a0f99ed617c9b9604d925cbaa265d8a</x:t>
        </x:is>
      </x:c>
      <x:c r="K237" s="12" t="inlineStr">
        <x:is>
          <x:t xml:space="preserve">2024.0</x:t>
        </x:is>
      </x:c>
      <x:c r="L237" s="12" t="inlineStr">
        <x:is>
          <x:t xml:space="preserve">04-3585301</x:t>
        </x:is>
      </x:c>
      <x:c r="M237" s="12" t="n"/>
      <x:c r="N237" s="12" t="inlineStr">
        <x:is>
          <x:t xml:space="preserve">derivative</x:t>
        </x:is>
      </x:c>
      <x:c r="O237" s="13" t="inlineStr">
        <x:is>
          <x:t xml:space="preserve">Public Form 990 rendering, organization profile, or filing-derived scale record</x:t>
        </x:is>
      </x:c>
      <x:c r="P237" s="13" t="inlineStr">
        <x:is>
          <x:t xml:space="preserve">expanded_reference_set.csv and prior frozen peer profile</x:t>
        </x:is>
      </x:c>
      <x:c r="Q237" s="13" t="inlineStr">
        <x:is>
          <x:t xml:space="preserve">Selection fields frozen without using compensation; full source-native profile page not archived.</x:t>
        </x:is>
      </x:c>
    </x:row>
    <x:row r="238">
      <x:c r="A238" s="12" t="inlineStr">
        <x:is>
          <x:t xml:space="preserve">SRC-PEER-DATA-QUALITY-CAMPAIGN</x:t>
        </x:is>
      </x:c>
      <x:c r="B238" s="12" t="inlineStr">
        <x:is>
          <x:t xml:space="preserve">Data Quality Campaign</x:t>
        </x:is>
      </x:c>
      <x:c r="C238" s="12" t="inlineStr">
        <x:is>
          <x:t xml:space="preserve">Peer selection and scale profile</x:t>
        </x:is>
      </x:c>
      <x:c r="D238" s="16" t="inlineStr">
        <x:is>
          <x:t xml:space="preserve">https://projects.propublica.org/nonprofits/organizations/274566795</x:t>
        </x:is>
      </x:c>
      <x:c r="E238" s="16" t="inlineStr">
        <x:is>
          <x:t xml:space="preserve">https://projects.propublica.org/nonprofits/organizations/274566795</x:t>
        </x:is>
      </x:c>
      <x:c r="F238" s="12" t="inlineStr">
        <x:is>
          <x:t xml:space="preserve">2026-08-25T16:07:55-0700</x:t>
        </x:is>
      </x:c>
      <x:c r="G238" s="16" t="inlineStr">
        <x:is>
          <x:t xml:space="preserve">sources/raw/src-peer-data-quality-campaign.txt</x:t>
        </x:is>
      </x:c>
      <x:c r="H238" s="12" t="inlineStr">
        <x:is>
          <x:t xml:space="preserve">text/plain; charset=utf-8</x:t>
        </x:is>
      </x:c>
      <x:c r="I238" s="12" t="n">
        <x:v>1074</x:v>
      </x:c>
      <x:c r="J238" s="13" t="inlineStr">
        <x:is>
          <x:t xml:space="preserve">1811aba363b7eaa0eb0a6f9eb75d5606e782929f2292c26557ca87f80ea1f83a</x:t>
        </x:is>
      </x:c>
      <x:c r="K238" s="12" t="inlineStr">
        <x:is>
          <x:t xml:space="preserve">2024.0</x:t>
        </x:is>
      </x:c>
      <x:c r="L238" s="12" t="inlineStr">
        <x:is>
          <x:t xml:space="preserve">27-4566795</x:t>
        </x:is>
      </x:c>
      <x:c r="M238" s="12" t="n"/>
      <x:c r="N238" s="12" t="inlineStr">
        <x:is>
          <x:t xml:space="preserve">derivative</x:t>
        </x:is>
      </x:c>
      <x:c r="O238" s="13" t="inlineStr">
        <x:is>
          <x:t xml:space="preserve">Public Form 990 rendering, organization profile, or filing-derived scale record</x:t>
        </x:is>
      </x:c>
      <x:c r="P238" s="13" t="inlineStr">
        <x:is>
          <x:t xml:space="preserve">expanded_reference_set.csv and prior frozen peer profile</x:t>
        </x:is>
      </x:c>
      <x:c r="Q238" s="13" t="inlineStr">
        <x:is>
          <x:t xml:space="preserve">Selection fields frozen without using compensation; full source-native profile page not archived.</x:t>
        </x:is>
      </x:c>
    </x:row>
    <x:row r="239">
      <x:c r="A239" s="12" t="inlineStr">
        <x:is>
          <x:t xml:space="preserve">SRC-PEER-DATAKIND</x:t>
        </x:is>
      </x:c>
      <x:c r="B239" s="12" t="inlineStr">
        <x:is>
          <x:t xml:space="preserve">DataKind</x:t>
        </x:is>
      </x:c>
      <x:c r="C239" s="12" t="inlineStr">
        <x:is>
          <x:t xml:space="preserve">Peer selection and scale profile</x:t>
        </x:is>
      </x:c>
      <x:c r="D239" s="16" t="inlineStr">
        <x:is>
          <x:t xml:space="preserve">https://projects.propublica.org/nonprofits/organizations/464082076</x:t>
        </x:is>
      </x:c>
      <x:c r="E239" s="16" t="inlineStr">
        <x:is>
          <x:t xml:space="preserve">https://projects.propublica.org/nonprofits/organizations/464082076</x:t>
        </x:is>
      </x:c>
      <x:c r="F239" s="12" t="inlineStr">
        <x:is>
          <x:t xml:space="preserve">2026-08-25T16:07:55-0700</x:t>
        </x:is>
      </x:c>
      <x:c r="G239" s="17" t="inlineStr">
        <x:is>
          <x:t xml:space="preserve">sources/raw/src-peer-datakind.txt</x:t>
        </x:is>
      </x:c>
      <x:c r="H239" s="12" t="inlineStr">
        <x:is>
          <x:t xml:space="preserve">text/plain; charset=utf-8</x:t>
        </x:is>
      </x:c>
      <x:c r="I239" s="12" t="n">
        <x:v>1053</x:v>
      </x:c>
      <x:c r="J239" s="13" t="inlineStr">
        <x:is>
          <x:t xml:space="preserve">9ad442382b0f0dacb702f8585e867657ade6b4badead5089e3da7ed2973fb947</x:t>
        </x:is>
      </x:c>
      <x:c r="K239" s="12" t="inlineStr">
        <x:is>
          <x:t xml:space="preserve">2024.0</x:t>
        </x:is>
      </x:c>
      <x:c r="L239" s="12" t="inlineStr">
        <x:is>
          <x:t xml:space="preserve">46-4082076</x:t>
        </x:is>
      </x:c>
      <x:c r="M239" s="12" t="n"/>
      <x:c r="N239" s="12" t="inlineStr">
        <x:is>
          <x:t xml:space="preserve">derivative</x:t>
        </x:is>
      </x:c>
      <x:c r="O239" s="13" t="inlineStr">
        <x:is>
          <x:t xml:space="preserve">Public Form 990 rendering, organization profile, or filing-derived scale record</x:t>
        </x:is>
      </x:c>
      <x:c r="P239" s="13" t="inlineStr">
        <x:is>
          <x:t xml:space="preserve">expanded_reference_set.csv and prior frozen peer profile</x:t>
        </x:is>
      </x:c>
      <x:c r="Q239" s="13" t="inlineStr">
        <x:is>
          <x:t xml:space="preserve">Selection fields frozen without using compensation; full source-native profile page not archived.</x:t>
        </x:is>
      </x:c>
    </x:row>
    <x:row r="240">
      <x:c r="A240" s="12" t="inlineStr">
        <x:is>
          <x:t xml:space="preserve">SRC-PEER-DEMOS</x:t>
        </x:is>
      </x:c>
      <x:c r="B240" s="12" t="inlineStr">
        <x:is>
          <x:t xml:space="preserve">Demos</x:t>
        </x:is>
      </x:c>
      <x:c r="C240" s="12" t="inlineStr">
        <x:is>
          <x:t xml:space="preserve">Peer selection and scale profile</x:t>
        </x:is>
      </x:c>
      <x:c r="D240" s="16" t="inlineStr">
        <x:is>
          <x:t xml:space="preserve">https://projects.propublica.org/nonprofits/organizations/134105066</x:t>
        </x:is>
      </x:c>
      <x:c r="E240" s="16" t="inlineStr">
        <x:is>
          <x:t xml:space="preserve">https://projects.propublica.org/nonprofits/organizations/134105066</x:t>
        </x:is>
      </x:c>
      <x:c r="F240" s="12" t="inlineStr">
        <x:is>
          <x:t xml:space="preserve">2026-08-25T16:07:55-0700</x:t>
        </x:is>
      </x:c>
      <x:c r="G240" s="17" t="inlineStr">
        <x:is>
          <x:t xml:space="preserve">sources/raw/src-peer-demos.txt</x:t>
        </x:is>
      </x:c>
      <x:c r="H240" s="12" t="inlineStr">
        <x:is>
          <x:t xml:space="preserve">text/plain; charset=utf-8</x:t>
        </x:is>
      </x:c>
      <x:c r="I240" s="12" t="n">
        <x:v>1049</x:v>
      </x:c>
      <x:c r="J240" s="13" t="inlineStr">
        <x:is>
          <x:t xml:space="preserve">66c3a89c9e768dedd441c62db65810d6c80b2fff7ec88db0d1d4d7fae235e316</x:t>
        </x:is>
      </x:c>
      <x:c r="K240" s="12" t="inlineStr">
        <x:is>
          <x:t xml:space="preserve">2024.0</x:t>
        </x:is>
      </x:c>
      <x:c r="L240" s="12" t="inlineStr">
        <x:is>
          <x:t xml:space="preserve">13-4105066</x:t>
        </x:is>
      </x:c>
      <x:c r="M240" s="12" t="n"/>
      <x:c r="N240" s="12" t="inlineStr">
        <x:is>
          <x:t xml:space="preserve">derivative</x:t>
        </x:is>
      </x:c>
      <x:c r="O240" s="13" t="inlineStr">
        <x:is>
          <x:t xml:space="preserve">Public Form 990 rendering, organization profile, or filing-derived scale record</x:t>
        </x:is>
      </x:c>
      <x:c r="P240" s="13" t="inlineStr">
        <x:is>
          <x:t xml:space="preserve">expanded_reference_set.csv and prior frozen peer profile</x:t>
        </x:is>
      </x:c>
      <x:c r="Q240" s="13" t="inlineStr">
        <x:is>
          <x:t xml:space="preserve">Selection fields frozen without using compensation; full source-native profile page not archived.</x:t>
        </x:is>
      </x:c>
    </x:row>
    <x:row r="241">
      <x:c r="A241" s="12" t="inlineStr">
        <x:is>
          <x:t xml:space="preserve">SRC-PEER-ECONOMIC-INNOVATION-GROUP</x:t>
        </x:is>
      </x:c>
      <x:c r="B241" s="12" t="inlineStr">
        <x:is>
          <x:t xml:space="preserve">Economic Innovation Group</x:t>
        </x:is>
      </x:c>
      <x:c r="C241" s="12" t="inlineStr">
        <x:is>
          <x:t xml:space="preserve">Peer selection and scale profile</x:t>
        </x:is>
      </x:c>
      <x:c r="D241" s="16" t="inlineStr">
        <x:is>
          <x:t xml:space="preserve">https://projects.propublica.org/nonprofits/organizations/462450336</x:t>
        </x:is>
      </x:c>
      <x:c r="E241" s="16" t="inlineStr">
        <x:is>
          <x:t xml:space="preserve">https://projects.propublica.org/nonprofits/organizations/462450336</x:t>
        </x:is>
      </x:c>
      <x:c r="F241" s="12" t="inlineStr">
        <x:is>
          <x:t xml:space="preserve">2026-08-25T16:07:55-0700</x:t>
        </x:is>
      </x:c>
      <x:c r="G241" s="16" t="inlineStr">
        <x:is>
          <x:t xml:space="preserve">sources/raw/src-peer-economic-innovation-group.txt</x:t>
        </x:is>
      </x:c>
      <x:c r="H241" s="12" t="inlineStr">
        <x:is>
          <x:t xml:space="preserve">text/plain; charset=utf-8</x:t>
        </x:is>
      </x:c>
      <x:c r="I241" s="12" t="n">
        <x:v>1045</x:v>
      </x:c>
      <x:c r="J241" s="13" t="inlineStr">
        <x:is>
          <x:t xml:space="preserve">15a49f57ed471047ccda0730d6a4ee32bb17aedbba68c29052739857b86c81dc</x:t>
        </x:is>
      </x:c>
      <x:c r="K241" s="12" t="inlineStr">
        <x:is>
          <x:t xml:space="preserve">2024.0</x:t>
        </x:is>
      </x:c>
      <x:c r="L241" s="12" t="inlineStr">
        <x:is>
          <x:t xml:space="preserve">46-2450336</x:t>
        </x:is>
      </x:c>
      <x:c r="M241" s="12" t="n"/>
      <x:c r="N241" s="12" t="inlineStr">
        <x:is>
          <x:t xml:space="preserve">derivative</x:t>
        </x:is>
      </x:c>
      <x:c r="O241" s="13" t="inlineStr">
        <x:is>
          <x:t xml:space="preserve">Public Form 990 rendering, organization profile, or filing-derived scale record</x:t>
        </x:is>
      </x:c>
      <x:c r="P241" s="13" t="inlineStr">
        <x:is>
          <x:t xml:space="preserve">expanded_reference_set.csv and prior frozen peer profile</x:t>
        </x:is>
      </x:c>
      <x:c r="Q241" s="13" t="inlineStr">
        <x:is>
          <x:t xml:space="preserve">Selection fields frozen without using compensation; full source-native profile page not archived.</x:t>
        </x:is>
      </x:c>
    </x:row>
    <x:row r="242">
      <x:c r="A242" s="12" t="inlineStr">
        <x:is>
          <x:t xml:space="preserve">SRC-PEER-ECONOMIC-POLICY-INSTITUTE</x:t>
        </x:is>
      </x:c>
      <x:c r="B242" s="12" t="inlineStr">
        <x:is>
          <x:t xml:space="preserve">Economic Policy Institute</x:t>
        </x:is>
      </x:c>
      <x:c r="C242" s="12" t="inlineStr">
        <x:is>
          <x:t xml:space="preserve">Peer selection and scale profile</x:t>
        </x:is>
      </x:c>
      <x:c r="D242" s="16" t="inlineStr">
        <x:is>
          <x:t xml:space="preserve">https://projects.propublica.org/nonprofits/organizations/521368964</x:t>
        </x:is>
      </x:c>
      <x:c r="E242" s="16" t="inlineStr">
        <x:is>
          <x:t xml:space="preserve">https://projects.propublica.org/nonprofits/organizations/521368964</x:t>
        </x:is>
      </x:c>
      <x:c r="F242" s="12" t="inlineStr">
        <x:is>
          <x:t xml:space="preserve">2026-08-25T16:07:55-0700</x:t>
        </x:is>
      </x:c>
      <x:c r="G242" s="16" t="inlineStr">
        <x:is>
          <x:t xml:space="preserve">sources/raw/src-peer-economic-policy-institute.txt</x:t>
        </x:is>
      </x:c>
      <x:c r="H242" s="12" t="inlineStr">
        <x:is>
          <x:t xml:space="preserve">text/plain; charset=utf-8</x:t>
        </x:is>
      </x:c>
      <x:c r="I242" s="12" t="n">
        <x:v>1075</x:v>
      </x:c>
      <x:c r="J242" s="13" t="inlineStr">
        <x:is>
          <x:t xml:space="preserve">d9d52f19593b38fc99c0dcf35dcc6d23e368716b1fda709f2791d03bc57d314a</x:t>
        </x:is>
      </x:c>
      <x:c r="K242" s="12" t="inlineStr">
        <x:is>
          <x:t xml:space="preserve">2024.0</x:t>
        </x:is>
      </x:c>
      <x:c r="L242" s="12" t="inlineStr">
        <x:is>
          <x:t xml:space="preserve">52-1368964</x:t>
        </x:is>
      </x:c>
      <x:c r="M242" s="12" t="n"/>
      <x:c r="N242" s="12" t="inlineStr">
        <x:is>
          <x:t xml:space="preserve">derivative</x:t>
        </x:is>
      </x:c>
      <x:c r="O242" s="13" t="inlineStr">
        <x:is>
          <x:t xml:space="preserve">Public Form 990 rendering, organization profile, or filing-derived scale record</x:t>
        </x:is>
      </x:c>
      <x:c r="P242" s="13" t="inlineStr">
        <x:is>
          <x:t xml:space="preserve">expanded_reference_set.csv and prior frozen peer profile</x:t>
        </x:is>
      </x:c>
      <x:c r="Q242" s="13" t="inlineStr">
        <x:is>
          <x:t xml:space="preserve">Selection fields frozen without using compensation; full source-native profile page not archived.</x:t>
        </x:is>
      </x:c>
    </x:row>
    <x:row r="243">
      <x:c r="A243" s="12" t="inlineStr">
        <x:is>
          <x:t xml:space="preserve">SRC-PEER-EFFECTIVE-INSTITUTIONS-PROJECT</x:t>
        </x:is>
      </x:c>
      <x:c r="B243" s="12" t="inlineStr">
        <x:is>
          <x:t xml:space="preserve">Effective Institutions Project</x:t>
        </x:is>
      </x:c>
      <x:c r="C243" s="12" t="inlineStr">
        <x:is>
          <x:t xml:space="preserve">Peer selection and scale profile</x:t>
        </x:is>
      </x:c>
      <x:c r="D243" s="16" t="inlineStr">
        <x:is>
          <x:t xml:space="preserve">https://www.causeiq.com/organizations/effective-institutions-project%2C932725003/</x:t>
        </x:is>
      </x:c>
      <x:c r="E243" s="16" t="inlineStr">
        <x:is>
          <x:t xml:space="preserve">https://www.causeiq.com/organizations/effective-institutions-project%2C932725003/</x:t>
        </x:is>
      </x:c>
      <x:c r="F243" s="12" t="inlineStr">
        <x:is>
          <x:t xml:space="preserve">2026-08-25T16:07:55-0700</x:t>
        </x:is>
      </x:c>
      <x:c r="G243" s="16" t="inlineStr">
        <x:is>
          <x:t xml:space="preserve">sources/raw/src-peer-effective-institutions-project.txt</x:t>
        </x:is>
      </x:c>
      <x:c r="H243" s="12" t="inlineStr">
        <x:is>
          <x:t xml:space="preserve">text/plain; charset=utf-8</x:t>
        </x:is>
      </x:c>
      <x:c r="I243" s="12" t="n">
        <x:v>1354</x:v>
      </x:c>
      <x:c r="J243" s="13" t="inlineStr">
        <x:is>
          <x:t xml:space="preserve">a7bfa867bc8d7ffad7b06bff0b0b919dceb4ad45b8c9a52a0a33a55e3db68cd5</x:t>
        </x:is>
      </x:c>
      <x:c r="K243" s="12" t="n"/>
      <x:c r="L243" s="12" t="inlineStr">
        <x:is>
          <x:t xml:space="preserve">93-2725003</x:t>
        </x:is>
      </x:c>
      <x:c r="M243" s="12" t="n"/>
      <x:c r="N243" s="12" t="inlineStr">
        <x:is>
          <x:t xml:space="preserve">derivative</x:t>
        </x:is>
      </x:c>
      <x:c r="O243" s="13" t="inlineStr">
        <x:is>
          <x:t xml:space="preserve">Public Form 990 rendering, organization profile, or filing-derived scale record</x:t>
        </x:is>
      </x:c>
      <x:c r="P243" s="13" t="inlineStr">
        <x:is>
          <x:t xml:space="preserve">expanded_reference_set.csv and prior frozen peer profile</x:t>
        </x:is>
      </x:c>
      <x:c r="Q243" s="13" t="inlineStr">
        <x:is>
          <x:t xml:space="preserve">Selection fields frozen without using compensation; full source-native profile page not archived.</x:t>
        </x:is>
      </x:c>
    </x:row>
    <x:row r="244">
      <x:c r="A244" s="12" t="inlineStr">
        <x:is>
          <x:t xml:space="preserve">SRC-PEER-ELECTRONIC-FRONTIER-FOUNDATION</x:t>
        </x:is>
      </x:c>
      <x:c r="B244" s="12" t="inlineStr">
        <x:is>
          <x:t xml:space="preserve">Electronic Frontier Foundation</x:t>
        </x:is>
      </x:c>
      <x:c r="C244" s="12" t="inlineStr">
        <x:is>
          <x:t xml:space="preserve">Peer selection and scale profile</x:t>
        </x:is>
      </x:c>
      <x:c r="D244" s="16" t="inlineStr">
        <x:is>
          <x:t xml:space="preserve">https://www.causeiq.com/organizations/electronic-frontier-foundation%2C043091431/</x:t>
        </x:is>
      </x:c>
      <x:c r="E244" s="16" t="inlineStr">
        <x:is>
          <x:t xml:space="preserve">https://www.causeiq.com/organizations/electronic-frontier-foundation%2C043091431/</x:t>
        </x:is>
      </x:c>
      <x:c r="F244" s="12" t="inlineStr">
        <x:is>
          <x:t xml:space="preserve">2026-08-25T16:07:55-0700</x:t>
        </x:is>
      </x:c>
      <x:c r="G244" s="16" t="inlineStr">
        <x:is>
          <x:t xml:space="preserve">sources/raw/src-peer-electronic-frontier-foundation.txt</x:t>
        </x:is>
      </x:c>
      <x:c r="H244" s="12" t="inlineStr">
        <x:is>
          <x:t xml:space="preserve">text/plain; charset=utf-8</x:t>
        </x:is>
      </x:c>
      <x:c r="I244" s="12" t="n">
        <x:v>1615</x:v>
      </x:c>
      <x:c r="J244" s="13" t="inlineStr">
        <x:is>
          <x:t xml:space="preserve">c8bb5e6cd1452b282f040da2e61e4bd6e634de0f3d6ac21ef1823f15e115f59a</x:t>
        </x:is>
      </x:c>
      <x:c r="K244" s="12" t="inlineStr">
        <x:is>
          <x:t xml:space="preserve">2024.0</x:t>
        </x:is>
      </x:c>
      <x:c r="L244" s="12" t="inlineStr">
        <x:is>
          <x:t xml:space="preserve">04-3091431</x:t>
        </x:is>
      </x:c>
      <x:c r="M244" s="12" t="n"/>
      <x:c r="N244" s="12" t="inlineStr">
        <x:is>
          <x:t xml:space="preserve">derivative</x:t>
        </x:is>
      </x:c>
      <x:c r="O244" s="13" t="inlineStr">
        <x:is>
          <x:t xml:space="preserve">Public Form 990 rendering, organization profile, or filing-derived scale record</x:t>
        </x:is>
      </x:c>
      <x:c r="P244" s="13" t="inlineStr">
        <x:is>
          <x:t xml:space="preserve">expanded_reference_set.csv and prior frozen peer profile</x:t>
        </x:is>
      </x:c>
      <x:c r="Q244" s="13" t="inlineStr">
        <x:is>
          <x:t xml:space="preserve">Selection fields frozen without using compensation; full source-native profile page not archived.</x:t>
        </x:is>
      </x:c>
    </x:row>
    <x:row r="245">
      <x:c r="A245" s="12" t="inlineStr">
        <x:is>
          <x:t xml:space="preserve">SRC-PEER-ENERGY-FOR-GROWTH-HUB</x:t>
        </x:is>
      </x:c>
      <x:c r="B245" s="12" t="inlineStr">
        <x:is>
          <x:t xml:space="preserve">Energy for Growth Hub</x:t>
        </x:is>
      </x:c>
      <x:c r="C245" s="12" t="inlineStr">
        <x:is>
          <x:t xml:space="preserve">Peer selection and scale profile</x:t>
        </x:is>
      </x:c>
      <x:c r="D245" s="16" t="inlineStr">
        <x:is>
          <x:t xml:space="preserve">https://projects.propublica.org/nonprofits/organizations/831609680</x:t>
        </x:is>
      </x:c>
      <x:c r="E245" s="16" t="inlineStr">
        <x:is>
          <x:t xml:space="preserve">https://projects.propublica.org/nonprofits/organizations/831609680</x:t>
        </x:is>
      </x:c>
      <x:c r="F245" s="12" t="inlineStr">
        <x:is>
          <x:t xml:space="preserve">2026-08-25T16:07:55-0700</x:t>
        </x:is>
      </x:c>
      <x:c r="G245" s="16" t="inlineStr">
        <x:is>
          <x:t xml:space="preserve">sources/raw/src-peer-energy-for-growth-hub.txt</x:t>
        </x:is>
      </x:c>
      <x:c r="H245" s="12" t="inlineStr">
        <x:is>
          <x:t xml:space="preserve">text/plain; charset=utf-8</x:t>
        </x:is>
      </x:c>
      <x:c r="I245" s="12" t="n">
        <x:v>1063</x:v>
      </x:c>
      <x:c r="J245" s="13" t="inlineStr">
        <x:is>
          <x:t xml:space="preserve">12a9c70c2da76d85d187efff7a9d6733b10fcaa45f2b7609dc5c7a6959f3e112</x:t>
        </x:is>
      </x:c>
      <x:c r="K245" s="12" t="inlineStr">
        <x:is>
          <x:t xml:space="preserve">2024.0</x:t>
        </x:is>
      </x:c>
      <x:c r="L245" s="12" t="inlineStr">
        <x:is>
          <x:t xml:space="preserve">83-1609680</x:t>
        </x:is>
      </x:c>
      <x:c r="M245" s="12" t="n"/>
      <x:c r="N245" s="12" t="inlineStr">
        <x:is>
          <x:t xml:space="preserve">derivative</x:t>
        </x:is>
      </x:c>
      <x:c r="O245" s="13" t="inlineStr">
        <x:is>
          <x:t xml:space="preserve">Public Form 990 rendering, organization profile, or filing-derived scale record</x:t>
        </x:is>
      </x:c>
      <x:c r="P245" s="13" t="inlineStr">
        <x:is>
          <x:t xml:space="preserve">expanded_reference_set.csv and prior frozen peer profile</x:t>
        </x:is>
      </x:c>
      <x:c r="Q245" s="13" t="inlineStr">
        <x:is>
          <x:t xml:space="preserve">Selection fields frozen without using compensation; full source-native profile page not archived.</x:t>
        </x:is>
      </x:c>
    </x:row>
    <x:row r="246">
      <x:c r="A246" s="12" t="inlineStr">
        <x:is>
          <x:t xml:space="preserve">SRC-PEER-ENVIRONMENTAL-LAW-INSTITUTE</x:t>
        </x:is>
      </x:c>
      <x:c r="B246" s="12" t="inlineStr">
        <x:is>
          <x:t xml:space="preserve">Environmental Law Institute</x:t>
        </x:is>
      </x:c>
      <x:c r="C246" s="12" t="inlineStr">
        <x:is>
          <x:t xml:space="preserve">Peer selection and scale profile</x:t>
        </x:is>
      </x:c>
      <x:c r="D246" s="16" t="inlineStr">
        <x:is>
          <x:t xml:space="preserve">https://projects.propublica.org/nonprofits/organizations/520901863</x:t>
        </x:is>
      </x:c>
      <x:c r="E246" s="16" t="inlineStr">
        <x:is>
          <x:t xml:space="preserve">https://projects.propublica.org/nonprofits/organizations/520901863</x:t>
        </x:is>
      </x:c>
      <x:c r="F246" s="12" t="inlineStr">
        <x:is>
          <x:t xml:space="preserve">2026-08-25T16:07:55-0700</x:t>
        </x:is>
      </x:c>
      <x:c r="G246" s="16" t="inlineStr">
        <x:is>
          <x:t xml:space="preserve">sources/raw/src-peer-environmental-law-institute.txt</x:t>
        </x:is>
      </x:c>
      <x:c r="H246" s="12" t="inlineStr">
        <x:is>
          <x:t xml:space="preserve">text/plain; charset=utf-8</x:t>
        </x:is>
      </x:c>
      <x:c r="I246" s="12" t="n">
        <x:v>1062</x:v>
      </x:c>
      <x:c r="J246" s="13" t="inlineStr">
        <x:is>
          <x:t xml:space="preserve">6bbd3be9e2cc3d5c7e9e42064d9586a22b65081c24e9b82f710b14a48e4521ce</x:t>
        </x:is>
      </x:c>
      <x:c r="K246" s="12" t="inlineStr">
        <x:is>
          <x:t xml:space="preserve">2024.0</x:t>
        </x:is>
      </x:c>
      <x:c r="L246" s="12" t="inlineStr">
        <x:is>
          <x:t xml:space="preserve">52-0901863</x:t>
        </x:is>
      </x:c>
      <x:c r="M246" s="12" t="n"/>
      <x:c r="N246" s="12" t="inlineStr">
        <x:is>
          <x:t xml:space="preserve">derivative</x:t>
        </x:is>
      </x:c>
      <x:c r="O246" s="13" t="inlineStr">
        <x:is>
          <x:t xml:space="preserve">Public Form 990 rendering, organization profile, or filing-derived scale record</x:t>
        </x:is>
      </x:c>
      <x:c r="P246" s="13" t="inlineStr">
        <x:is>
          <x:t xml:space="preserve">expanded_reference_set.csv and prior frozen peer profile</x:t>
        </x:is>
      </x:c>
      <x:c r="Q246" s="13" t="inlineStr">
        <x:is>
          <x:t xml:space="preserve">Selection fields frozen without using compensation; full source-native profile page not archived.</x:t>
        </x:is>
      </x:c>
    </x:row>
    <x:row r="247">
      <x:c r="A247" s="12" t="inlineStr">
        <x:is>
          <x:t xml:space="preserve">SRC-PEER-EVIDENCE-ACTION</x:t>
        </x:is>
      </x:c>
      <x:c r="B247" s="12" t="inlineStr">
        <x:is>
          <x:t xml:space="preserve">Evidence Action</x:t>
        </x:is>
      </x:c>
      <x:c r="C247" s="12" t="inlineStr">
        <x:is>
          <x:t xml:space="preserve">Peer selection and scale profile</x:t>
        </x:is>
      </x:c>
      <x:c r="D247" s="16" t="inlineStr">
        <x:is>
          <x:t xml:space="preserve">https://www.causeiq.com/organizations/evidence-action%2C900874591/</x:t>
        </x:is>
      </x:c>
      <x:c r="E247" s="16" t="inlineStr">
        <x:is>
          <x:t xml:space="preserve">https://www.causeiq.com/organizations/evidence-action%2C900874591/</x:t>
        </x:is>
      </x:c>
      <x:c r="F247" s="12" t="inlineStr">
        <x:is>
          <x:t xml:space="preserve">2026-08-25T16:07:55-0700</x:t>
        </x:is>
      </x:c>
      <x:c r="G247" s="17" t="inlineStr">
        <x:is>
          <x:t xml:space="preserve">sources/raw/src-peer-evidence-action.txt</x:t>
        </x:is>
      </x:c>
      <x:c r="H247" s="12" t="inlineStr">
        <x:is>
          <x:t xml:space="preserve">text/plain; charset=utf-8</x:t>
        </x:is>
      </x:c>
      <x:c r="I247" s="12" t="n">
        <x:v>1512</x:v>
      </x:c>
      <x:c r="J247" s="13" t="inlineStr">
        <x:is>
          <x:t xml:space="preserve">af0776f9233f1dd83db9b5d9c8ceff03cb0bae059eda15722093fc07a8b57eb4</x:t>
        </x:is>
      </x:c>
      <x:c r="K247" s="12" t="inlineStr">
        <x:is>
          <x:t xml:space="preserve">2024.0</x:t>
        </x:is>
      </x:c>
      <x:c r="L247" s="12" t="inlineStr">
        <x:is>
          <x:t xml:space="preserve">90-0874591</x:t>
        </x:is>
      </x:c>
      <x:c r="M247" s="12" t="n"/>
      <x:c r="N247" s="12" t="inlineStr">
        <x:is>
          <x:t xml:space="preserve">derivative</x:t>
        </x:is>
      </x:c>
      <x:c r="O247" s="13" t="inlineStr">
        <x:is>
          <x:t xml:space="preserve">Public Form 990 rendering, organization profile, or filing-derived scale record</x:t>
        </x:is>
      </x:c>
      <x:c r="P247" s="13" t="inlineStr">
        <x:is>
          <x:t xml:space="preserve">expanded_reference_set.csv and prior frozen peer profile</x:t>
        </x:is>
      </x:c>
      <x:c r="Q247" s="13" t="inlineStr">
        <x:is>
          <x:t xml:space="preserve">Selection fields frozen without using compensation; full source-native profile page not archived.</x:t>
        </x:is>
      </x:c>
    </x:row>
    <x:row r="248">
      <x:c r="A248" s="12" t="inlineStr">
        <x:is>
          <x:t xml:space="preserve">SRC-PEER-EXPONENT-PHILANTHROPY</x:t>
        </x:is>
      </x:c>
      <x:c r="B248" s="12" t="inlineStr">
        <x:is>
          <x:t xml:space="preserve">Exponent Philanthropy</x:t>
        </x:is>
      </x:c>
      <x:c r="C248" s="12" t="inlineStr">
        <x:is>
          <x:t xml:space="preserve">Peer selection and scale profile</x:t>
        </x:is>
      </x:c>
      <x:c r="D248" s="16" t="inlineStr">
        <x:is>
          <x:t xml:space="preserve">https://projects.propublica.org/nonprofits/organizations/650617866</x:t>
        </x:is>
      </x:c>
      <x:c r="E248" s="16" t="inlineStr">
        <x:is>
          <x:t xml:space="preserve">https://projects.propublica.org/nonprofits/organizations/650617866</x:t>
        </x:is>
      </x:c>
      <x:c r="F248" s="12" t="inlineStr">
        <x:is>
          <x:t xml:space="preserve">2026-08-25T16:07:55-0700</x:t>
        </x:is>
      </x:c>
      <x:c r="G248" s="16" t="inlineStr">
        <x:is>
          <x:t xml:space="preserve">sources/raw/src-peer-exponent-philanthropy.txt</x:t>
        </x:is>
      </x:c>
      <x:c r="H248" s="12" t="inlineStr">
        <x:is>
          <x:t xml:space="preserve">text/plain; charset=utf-8</x:t>
        </x:is>
      </x:c>
      <x:c r="I248" s="12" t="n">
        <x:v>1492</x:v>
      </x:c>
      <x:c r="J248" s="13" t="inlineStr">
        <x:is>
          <x:t xml:space="preserve">5bf47bd8071c8bf7485319103f67c5f7ae1bf1ee855016deb30aee67b802fe47</x:t>
        </x:is>
      </x:c>
      <x:c r="K248" s="12" t="inlineStr">
        <x:is>
          <x:t xml:space="preserve">2025.0</x:t>
        </x:is>
      </x:c>
      <x:c r="L248" s="12" t="inlineStr">
        <x:is>
          <x:t xml:space="preserve">65-0617866</x:t>
        </x:is>
      </x:c>
      <x:c r="M248" s="12" t="n"/>
      <x:c r="N248" s="12" t="inlineStr">
        <x:is>
          <x:t xml:space="preserve">derivative</x:t>
        </x:is>
      </x:c>
      <x:c r="O248" s="13" t="inlineStr">
        <x:is>
          <x:t xml:space="preserve">Public Form 990 rendering, organization profile, or filing-derived scale record</x:t>
        </x:is>
      </x:c>
      <x:c r="P248" s="13" t="inlineStr">
        <x:is>
          <x:t xml:space="preserve">expanded_reference_set.csv and prior frozen peer profile</x:t>
        </x:is>
      </x:c>
      <x:c r="Q248" s="13" t="inlineStr">
        <x:is>
          <x:t xml:space="preserve">Selection fields frozen without using compensation; full source-native profile page not archived.</x:t>
        </x:is>
      </x:c>
    </x:row>
    <x:row r="249">
      <x:c r="A249" s="12" t="inlineStr">
        <x:is>
          <x:t xml:space="preserve">SRC-PEER-FAR-AI</x:t>
        </x:is>
      </x:c>
      <x:c r="B249" s="12" t="inlineStr">
        <x:is>
          <x:t xml:space="preserve">FAR AI</x:t>
        </x:is>
      </x:c>
      <x:c r="C249" s="12" t="inlineStr">
        <x:is>
          <x:t xml:space="preserve">Peer selection and scale profile</x:t>
        </x:is>
      </x:c>
      <x:c r="D249" s="16" t="inlineStr">
        <x:is>
          <x:t xml:space="preserve">https://www.causeiq.com/organizations/far-ai%2C920692207/</x:t>
        </x:is>
      </x:c>
      <x:c r="E249" s="16" t="inlineStr">
        <x:is>
          <x:t xml:space="preserve">https://www.causeiq.com/organizations/far-ai%2C920692207/</x:t>
        </x:is>
      </x:c>
      <x:c r="F249" s="12" t="inlineStr">
        <x:is>
          <x:t xml:space="preserve">2026-08-25T16:07:55-0700</x:t>
        </x:is>
      </x:c>
      <x:c r="G249" s="17" t="inlineStr">
        <x:is>
          <x:t xml:space="preserve">sources/raw/src-peer-far-ai.txt</x:t>
        </x:is>
      </x:c>
      <x:c r="H249" s="12" t="inlineStr">
        <x:is>
          <x:t xml:space="preserve">text/plain; charset=utf-8</x:t>
        </x:is>
      </x:c>
      <x:c r="I249" s="12" t="n">
        <x:v>1478</x:v>
      </x:c>
      <x:c r="J249" s="13" t="inlineStr">
        <x:is>
          <x:t xml:space="preserve">53ddc3a4efd2f503c3cda1c277f5aca74eeb95cb71a8400c6ab8bb04942104bc</x:t>
        </x:is>
      </x:c>
      <x:c r="K249" s="12" t="inlineStr">
        <x:is>
          <x:t xml:space="preserve">2024.0</x:t>
        </x:is>
      </x:c>
      <x:c r="L249" s="12" t="inlineStr">
        <x:is>
          <x:t xml:space="preserve">92-0692207</x:t>
        </x:is>
      </x:c>
      <x:c r="M249" s="12" t="n"/>
      <x:c r="N249" s="12" t="inlineStr">
        <x:is>
          <x:t xml:space="preserve">derivative</x:t>
        </x:is>
      </x:c>
      <x:c r="O249" s="13" t="inlineStr">
        <x:is>
          <x:t xml:space="preserve">Public Form 990 rendering, organization profile, or filing-derived scale record</x:t>
        </x:is>
      </x:c>
      <x:c r="P249" s="13" t="inlineStr">
        <x:is>
          <x:t xml:space="preserve">expanded_reference_set.csv and prior frozen peer profile</x:t>
        </x:is>
      </x:c>
      <x:c r="Q249" s="13" t="inlineStr">
        <x:is>
          <x:t xml:space="preserve">Selection fields frozen without using compensation; full source-native profile page not archived.</x:t>
        </x:is>
      </x:c>
    </x:row>
    <x:row r="250">
      <x:c r="A250" s="12" t="inlineStr">
        <x:is>
          <x:t xml:space="preserve">SRC-PEER-FARM-FORWARD</x:t>
        </x:is>
      </x:c>
      <x:c r="B250" s="12" t="inlineStr">
        <x:is>
          <x:t xml:space="preserve">Farm Forward</x:t>
        </x:is>
      </x:c>
      <x:c r="C250" s="12" t="inlineStr">
        <x:is>
          <x:t xml:space="preserve">Peer selection and scale profile</x:t>
        </x:is>
      </x:c>
      <x:c r="D250" s="16" t="inlineStr">
        <x:is>
          <x:t xml:space="preserve">https://www.causeiq.com/organizations/farm-forward%2C261643614/</x:t>
        </x:is>
      </x:c>
      <x:c r="E250" s="16" t="inlineStr">
        <x:is>
          <x:t xml:space="preserve">https://www.causeiq.com/organizations/farm-forward%2C261643614/</x:t>
        </x:is>
      </x:c>
      <x:c r="F250" s="12" t="inlineStr">
        <x:is>
          <x:t xml:space="preserve">2026-08-25T16:07:55-0700</x:t>
        </x:is>
      </x:c>
      <x:c r="G250" s="17" t="inlineStr">
        <x:is>
          <x:t xml:space="preserve">sources/raw/src-peer-farm-forward.txt</x:t>
        </x:is>
      </x:c>
      <x:c r="H250" s="12" t="inlineStr">
        <x:is>
          <x:t xml:space="preserve">text/plain; charset=utf-8</x:t>
        </x:is>
      </x:c>
      <x:c r="I250" s="12" t="n">
        <x:v>1247</x:v>
      </x:c>
      <x:c r="J250" s="13" t="inlineStr">
        <x:is>
          <x:t xml:space="preserve">56670224f0f3a289ee1213cd9bdefc0c62fbfc515e4c5b0e5a2b6aa8da2c9054</x:t>
        </x:is>
      </x:c>
      <x:c r="K250" s="12" t="n"/>
      <x:c r="L250" s="12" t="inlineStr">
        <x:is>
          <x:t xml:space="preserve">26-1643614</x:t>
        </x:is>
      </x:c>
      <x:c r="M250" s="12" t="n"/>
      <x:c r="N250" s="12" t="inlineStr">
        <x:is>
          <x:t xml:space="preserve">derivative</x:t>
        </x:is>
      </x:c>
      <x:c r="O250" s="13" t="inlineStr">
        <x:is>
          <x:t xml:space="preserve">Public Form 990 rendering, organization profile, or filing-derived scale record</x:t>
        </x:is>
      </x:c>
      <x:c r="P250" s="13" t="inlineStr">
        <x:is>
          <x:t xml:space="preserve">expanded_reference_set.csv and prior frozen peer profile</x:t>
        </x:is>
      </x:c>
      <x:c r="Q250" s="13" t="inlineStr">
        <x:is>
          <x:t xml:space="preserve">Selection fields frozen without using compensation; full source-native profile page not archived.</x:t>
        </x:is>
      </x:c>
    </x:row>
    <x:row r="251">
      <x:c r="A251" s="12" t="inlineStr">
        <x:is>
          <x:t xml:space="preserve">SRC-PEER-FARM-SANCTUARY</x:t>
        </x:is>
      </x:c>
      <x:c r="B251" s="12" t="inlineStr">
        <x:is>
          <x:t xml:space="preserve">Farm Sanctuary</x:t>
        </x:is>
      </x:c>
      <x:c r="C251" s="12" t="inlineStr">
        <x:is>
          <x:t xml:space="preserve">Peer selection and scale profile</x:t>
        </x:is>
      </x:c>
      <x:c r="D251" s="16" t="inlineStr">
        <x:is>
          <x:t xml:space="preserve">https://www.causeiq.com/organizations/farm-sanctuary%2C510292919/</x:t>
        </x:is>
      </x:c>
      <x:c r="E251" s="16" t="inlineStr">
        <x:is>
          <x:t xml:space="preserve">https://www.causeiq.com/organizations/farm-sanctuary%2C510292919/</x:t>
        </x:is>
      </x:c>
      <x:c r="F251" s="12" t="inlineStr">
        <x:is>
          <x:t xml:space="preserve">2026-08-25T16:07:55-0700</x:t>
        </x:is>
      </x:c>
      <x:c r="G251" s="17" t="inlineStr">
        <x:is>
          <x:t xml:space="preserve">sources/raw/src-peer-farm-sanctuary.txt</x:t>
        </x:is>
      </x:c>
      <x:c r="H251" s="12" t="inlineStr">
        <x:is>
          <x:t xml:space="preserve">text/plain; charset=utf-8</x:t>
        </x:is>
      </x:c>
      <x:c r="I251" s="12" t="n">
        <x:v>1435</x:v>
      </x:c>
      <x:c r="J251" s="13" t="inlineStr">
        <x:is>
          <x:t xml:space="preserve">91e05c36167127d2aa7ab846210ea2be9c8427dfe5ff26ff403d8eaa4e97b920</x:t>
        </x:is>
      </x:c>
      <x:c r="K251" s="12" t="inlineStr">
        <x:is>
          <x:t xml:space="preserve">2023.0</x:t>
        </x:is>
      </x:c>
      <x:c r="L251" s="12" t="inlineStr">
        <x:is>
          <x:t xml:space="preserve">51-0292919</x:t>
        </x:is>
      </x:c>
      <x:c r="M251" s="12" t="n"/>
      <x:c r="N251" s="12" t="inlineStr">
        <x:is>
          <x:t xml:space="preserve">derivative</x:t>
        </x:is>
      </x:c>
      <x:c r="O251" s="13" t="inlineStr">
        <x:is>
          <x:t xml:space="preserve">Public Form 990 rendering, organization profile, or filing-derived scale record</x:t>
        </x:is>
      </x:c>
      <x:c r="P251" s="13" t="inlineStr">
        <x:is>
          <x:t xml:space="preserve">expanded_reference_set.csv and prior frozen peer profile</x:t>
        </x:is>
      </x:c>
      <x:c r="Q251" s="13" t="inlineStr">
        <x:is>
          <x:t xml:space="preserve">Selection fields frozen without using compensation; full source-native profile page not archived.</x:t>
        </x:is>
      </x:c>
    </x:row>
    <x:row r="252">
      <x:c r="A252" s="12" t="inlineStr">
        <x:is>
          <x:t xml:space="preserve">SRC-PEER-FAUNALYTICS</x:t>
        </x:is>
      </x:c>
      <x:c r="B252" s="12" t="inlineStr">
        <x:is>
          <x:t xml:space="preserve">Faunalytics</x:t>
        </x:is>
      </x:c>
      <x:c r="C252" s="12" t="inlineStr">
        <x:is>
          <x:t xml:space="preserve">Peer selection and scale profile</x:t>
        </x:is>
      </x:c>
      <x:c r="D252" s="16" t="inlineStr">
        <x:is>
          <x:t xml:space="preserve">https://www.causeiq.com/organizations/faunalytics%2C010686889/</x:t>
        </x:is>
      </x:c>
      <x:c r="E252" s="16" t="inlineStr">
        <x:is>
          <x:t xml:space="preserve">https://www.causeiq.com/organizations/faunalytics%2C010686889/</x:t>
        </x:is>
      </x:c>
      <x:c r="F252" s="12" t="inlineStr">
        <x:is>
          <x:t xml:space="preserve">2026-08-25T16:07:55-0700</x:t>
        </x:is>
      </x:c>
      <x:c r="G252" s="17" t="inlineStr">
        <x:is>
          <x:t xml:space="preserve">sources/raw/src-peer-faunalytics.txt</x:t>
        </x:is>
      </x:c>
      <x:c r="H252" s="12" t="inlineStr">
        <x:is>
          <x:t xml:space="preserve">text/plain; charset=utf-8</x:t>
        </x:is>
      </x:c>
      <x:c r="I252" s="12" t="n">
        <x:v>1282</x:v>
      </x:c>
      <x:c r="J252" s="13" t="inlineStr">
        <x:is>
          <x:t xml:space="preserve">7e46bb7d35add899c13e8c95528bf3bfb203c005651d24e95c94d8ed26206d66</x:t>
        </x:is>
      </x:c>
      <x:c r="K252" s="12" t="n"/>
      <x:c r="L252" s="12" t="inlineStr">
        <x:is>
          <x:t xml:space="preserve">01-0686889</x:t>
        </x:is>
      </x:c>
      <x:c r="M252" s="12" t="n"/>
      <x:c r="N252" s="12" t="inlineStr">
        <x:is>
          <x:t xml:space="preserve">derivative</x:t>
        </x:is>
      </x:c>
      <x:c r="O252" s="13" t="inlineStr">
        <x:is>
          <x:t xml:space="preserve">Public Form 990 rendering, organization profile, or filing-derived scale record</x:t>
        </x:is>
      </x:c>
      <x:c r="P252" s="13" t="inlineStr">
        <x:is>
          <x:t xml:space="preserve">expanded_reference_set.csv and prior frozen peer profile</x:t>
        </x:is>
      </x:c>
      <x:c r="Q252" s="13" t="inlineStr">
        <x:is>
          <x:t xml:space="preserve">Selection fields frozen without using compensation; full source-native profile page not archived.</x:t>
        </x:is>
      </x:c>
    </x:row>
    <x:row r="253">
      <x:c r="A253" s="12" t="inlineStr">
        <x:is>
          <x:t xml:space="preserve">SRC-PEER-FEDERATION-OF-AMERICAN-SCIENTISTS</x:t>
        </x:is>
      </x:c>
      <x:c r="B253" s="12" t="inlineStr">
        <x:is>
          <x:t xml:space="preserve">Federation of American Scientists</x:t>
        </x:is>
      </x:c>
      <x:c r="C253" s="12" t="inlineStr">
        <x:is>
          <x:t xml:space="preserve">Peer selection and scale profile</x:t>
        </x:is>
      </x:c>
      <x:c r="D253" s="16" t="inlineStr">
        <x:is>
          <x:t xml:space="preserve">https://www.causeiq.com/organizations/federation-of-american-scientists%2C237185827/</x:t>
        </x:is>
      </x:c>
      <x:c r="E253" s="16" t="inlineStr">
        <x:is>
          <x:t xml:space="preserve">https://www.causeiq.com/organizations/federation-of-american-scientists%2C237185827/</x:t>
        </x:is>
      </x:c>
      <x:c r="F253" s="12" t="inlineStr">
        <x:is>
          <x:t xml:space="preserve">2026-08-25T16:07:55-0700</x:t>
        </x:is>
      </x:c>
      <x:c r="G253" s="16" t="inlineStr">
        <x:is>
          <x:t xml:space="preserve">sources/raw/src-peer-federation-of-american-scientists.txt</x:t>
        </x:is>
      </x:c>
      <x:c r="H253" s="12" t="inlineStr">
        <x:is>
          <x:t xml:space="preserve">text/plain; charset=utf-8</x:t>
        </x:is>
      </x:c>
      <x:c r="I253" s="12" t="n">
        <x:v>1608</x:v>
      </x:c>
      <x:c r="J253" s="13" t="inlineStr">
        <x:is>
          <x:t xml:space="preserve">430f77edd2d84415494a57f7ef705d326a9064958e398144fcc6af557e2c87c4</x:t>
        </x:is>
      </x:c>
      <x:c r="K253" s="12" t="inlineStr">
        <x:is>
          <x:t xml:space="preserve">2024.0</x:t>
        </x:is>
      </x:c>
      <x:c r="L253" s="12" t="inlineStr">
        <x:is>
          <x:t xml:space="preserve">23-7185827</x:t>
        </x:is>
      </x:c>
      <x:c r="M253" s="12" t="n"/>
      <x:c r="N253" s="12" t="inlineStr">
        <x:is>
          <x:t xml:space="preserve">derivative</x:t>
        </x:is>
      </x:c>
      <x:c r="O253" s="13" t="inlineStr">
        <x:is>
          <x:t xml:space="preserve">Public Form 990 rendering, organization profile, or filing-derived scale record</x:t>
        </x:is>
      </x:c>
      <x:c r="P253" s="13" t="inlineStr">
        <x:is>
          <x:t xml:space="preserve">expanded_reference_set.csv and prior frozen peer profile</x:t>
        </x:is>
      </x:c>
      <x:c r="Q253" s="13" t="inlineStr">
        <x:is>
          <x:t xml:space="preserve">Selection fields frozen without using compensation; full source-native profile page not archived.</x:t>
        </x:is>
      </x:c>
    </x:row>
    <x:row r="254">
      <x:c r="A254" s="12" t="inlineStr">
        <x:is>
          <x:t xml:space="preserve">SRC-PEER-FOOD-ANIMAL-CONCERNS-TRUST</x:t>
        </x:is>
      </x:c>
      <x:c r="B254" s="12" t="inlineStr">
        <x:is>
          <x:t xml:space="preserve">Food Animal Concerns Trust</x:t>
        </x:is>
      </x:c>
      <x:c r="C254" s="12" t="inlineStr">
        <x:is>
          <x:t xml:space="preserve">Peer selection and scale profile</x:t>
        </x:is>
      </x:c>
      <x:c r="D254" s="16" t="inlineStr">
        <x:is>
          <x:t xml:space="preserve">https://projects.propublica.org/nonprofits/organizations/363172605</x:t>
        </x:is>
      </x:c>
      <x:c r="E254" s="16" t="inlineStr">
        <x:is>
          <x:t xml:space="preserve">https://projects.propublica.org/nonprofits/organizations/363172605</x:t>
        </x:is>
      </x:c>
      <x:c r="F254" s="12" t="inlineStr">
        <x:is>
          <x:t xml:space="preserve">2026-08-25T16:07:55-0700</x:t>
        </x:is>
      </x:c>
      <x:c r="G254" s="16" t="inlineStr">
        <x:is>
          <x:t xml:space="preserve">sources/raw/src-peer-food-animal-concerns-trust.txt</x:t>
        </x:is>
      </x:c>
      <x:c r="H254" s="12" t="inlineStr">
        <x:is>
          <x:t xml:space="preserve">text/plain; charset=utf-8</x:t>
        </x:is>
      </x:c>
      <x:c r="I254" s="12" t="n">
        <x:v>1046</x:v>
      </x:c>
      <x:c r="J254" s="13" t="inlineStr">
        <x:is>
          <x:t xml:space="preserve">d6a075a88cacc8b7ece15475898817b7d27ffe427496a0c41ceb516e60965240</x:t>
        </x:is>
      </x:c>
      <x:c r="K254" s="12" t="inlineStr">
        <x:is>
          <x:t xml:space="preserve">2024.0</x:t>
        </x:is>
      </x:c>
      <x:c r="L254" s="12" t="inlineStr">
        <x:is>
          <x:t xml:space="preserve">36-3172605</x:t>
        </x:is>
      </x:c>
      <x:c r="M254" s="12" t="n"/>
      <x:c r="N254" s="12" t="inlineStr">
        <x:is>
          <x:t xml:space="preserve">derivative</x:t>
        </x:is>
      </x:c>
      <x:c r="O254" s="13" t="inlineStr">
        <x:is>
          <x:t xml:space="preserve">Public Form 990 rendering, organization profile, or filing-derived scale record</x:t>
        </x:is>
      </x:c>
      <x:c r="P254" s="13" t="inlineStr">
        <x:is>
          <x:t xml:space="preserve">expanded_reference_set.csv and prior frozen peer profile</x:t>
        </x:is>
      </x:c>
      <x:c r="Q254" s="13" t="inlineStr">
        <x:is>
          <x:t xml:space="preserve">Selection fields frozen without using compensation; full source-native profile page not archived.</x:t>
        </x:is>
      </x:c>
    </x:row>
    <x:row r="255">
      <x:c r="A255" s="12" t="inlineStr">
        <x:is>
          <x:t xml:space="preserve">SRC-PEER-FRAMEWORKS-INSTITUTE</x:t>
        </x:is>
      </x:c>
      <x:c r="B255" s="12" t="inlineStr">
        <x:is>
          <x:t xml:space="preserve">FrameWorks Institute</x:t>
        </x:is>
      </x:c>
      <x:c r="C255" s="12" t="inlineStr">
        <x:is>
          <x:t xml:space="preserve">Peer selection and scale profile</x:t>
        </x:is>
      </x:c>
      <x:c r="D255" s="16" t="inlineStr">
        <x:is>
          <x:t xml:space="preserve">https://projects.propublica.org/nonprofits/organizations/710891642</x:t>
        </x:is>
      </x:c>
      <x:c r="E255" s="16" t="inlineStr">
        <x:is>
          <x:t xml:space="preserve">https://projects.propublica.org/nonprofits/organizations/710891642</x:t>
        </x:is>
      </x:c>
      <x:c r="F255" s="12" t="inlineStr">
        <x:is>
          <x:t xml:space="preserve">2026-08-25T16:07:55-0700</x:t>
        </x:is>
      </x:c>
      <x:c r="G255" s="17" t="inlineStr">
        <x:is>
          <x:t xml:space="preserve">sources/raw/src-peer-frameworks-institute.txt</x:t>
        </x:is>
      </x:c>
      <x:c r="H255" s="12" t="inlineStr">
        <x:is>
          <x:t xml:space="preserve">text/plain; charset=utf-8</x:t>
        </x:is>
      </x:c>
      <x:c r="I255" s="12" t="n">
        <x:v>1081</x:v>
      </x:c>
      <x:c r="J255" s="13" t="inlineStr">
        <x:is>
          <x:t xml:space="preserve">50daf88b9b722d21a337455d944709e4ecd36392f9475bbe939a00d4d7b51c59</x:t>
        </x:is>
      </x:c>
      <x:c r="K255" s="12" t="inlineStr">
        <x:is>
          <x:t xml:space="preserve">2024.0</x:t>
        </x:is>
      </x:c>
      <x:c r="L255" s="12" t="inlineStr">
        <x:is>
          <x:t xml:space="preserve">71-0891642</x:t>
        </x:is>
      </x:c>
      <x:c r="M255" s="12" t="n"/>
      <x:c r="N255" s="12" t="inlineStr">
        <x:is>
          <x:t xml:space="preserve">derivative</x:t>
        </x:is>
      </x:c>
      <x:c r="O255" s="13" t="inlineStr">
        <x:is>
          <x:t xml:space="preserve">Public Form 990 rendering, organization profile, or filing-derived scale record</x:t>
        </x:is>
      </x:c>
      <x:c r="P255" s="13" t="inlineStr">
        <x:is>
          <x:t xml:space="preserve">expanded_reference_set.csv and prior frozen peer profile</x:t>
        </x:is>
      </x:c>
      <x:c r="Q255" s="13" t="inlineStr">
        <x:is>
          <x:t xml:space="preserve">Selection fields frozen without using compensation; full source-native profile page not archived.</x:t>
        </x:is>
      </x:c>
    </x:row>
    <x:row r="256">
      <x:c r="A256" s="12" t="inlineStr">
        <x:is>
          <x:t xml:space="preserve">SRC-PEER-FRESH-ENERGY</x:t>
        </x:is>
      </x:c>
      <x:c r="B256" s="12" t="inlineStr">
        <x:is>
          <x:t xml:space="preserve">Fresh Energy</x:t>
        </x:is>
      </x:c>
      <x:c r="C256" s="12" t="inlineStr">
        <x:is>
          <x:t xml:space="preserve">Peer selection and scale profile</x:t>
        </x:is>
      </x:c>
      <x:c r="D256" s="16" t="inlineStr">
        <x:is>
          <x:t xml:space="preserve">https://projects.propublica.org/nonprofits/organizations/411735501</x:t>
        </x:is>
      </x:c>
      <x:c r="E256" s="16" t="inlineStr">
        <x:is>
          <x:t xml:space="preserve">https://projects.propublica.org/nonprofits/organizations/411735501</x:t>
        </x:is>
      </x:c>
      <x:c r="F256" s="12" t="inlineStr">
        <x:is>
          <x:t xml:space="preserve">2026-08-25T16:07:55-0700</x:t>
        </x:is>
      </x:c>
      <x:c r="G256" s="17" t="inlineStr">
        <x:is>
          <x:t xml:space="preserve">sources/raw/src-peer-fresh-energy.txt</x:t>
        </x:is>
      </x:c>
      <x:c r="H256" s="12" t="inlineStr">
        <x:is>
          <x:t xml:space="preserve">text/plain; charset=utf-8</x:t>
        </x:is>
      </x:c>
      <x:c r="I256" s="12" t="n">
        <x:v>1032</x:v>
      </x:c>
      <x:c r="J256" s="13" t="inlineStr">
        <x:is>
          <x:t xml:space="preserve">ab423c3bd6b92dc445d1a7d01fc62fe34dc0be883125f33976f91bc172d84e74</x:t>
        </x:is>
      </x:c>
      <x:c r="K256" s="12" t="inlineStr">
        <x:is>
          <x:t xml:space="preserve">2024.0</x:t>
        </x:is>
      </x:c>
      <x:c r="L256" s="12" t="inlineStr">
        <x:is>
          <x:t xml:space="preserve">41-1735501</x:t>
        </x:is>
      </x:c>
      <x:c r="M256" s="12" t="n"/>
      <x:c r="N256" s="12" t="inlineStr">
        <x:is>
          <x:t xml:space="preserve">derivative</x:t>
        </x:is>
      </x:c>
      <x:c r="O256" s="13" t="inlineStr">
        <x:is>
          <x:t xml:space="preserve">Public Form 990 rendering, organization profile, or filing-derived scale record</x:t>
        </x:is>
      </x:c>
      <x:c r="P256" s="13" t="inlineStr">
        <x:is>
          <x:t xml:space="preserve">expanded_reference_set.csv and prior frozen peer profile</x:t>
        </x:is>
      </x:c>
      <x:c r="Q256" s="13" t="inlineStr">
        <x:is>
          <x:t xml:space="preserve">Selection fields frozen without using compensation; full source-native profile page not archived.</x:t>
        </x:is>
      </x:c>
    </x:row>
    <x:row r="257">
      <x:c r="A257" s="12" t="inlineStr">
        <x:is>
          <x:t xml:space="preserve">SRC-PEER-FUTURE-OF-PRIVACY-FORUM</x:t>
        </x:is>
      </x:c>
      <x:c r="B257" s="12" t="inlineStr">
        <x:is>
          <x:t xml:space="preserve">Future of Privacy Forum</x:t>
        </x:is>
      </x:c>
      <x:c r="C257" s="12" t="inlineStr">
        <x:is>
          <x:t xml:space="preserve">Peer selection and scale profile</x:t>
        </x:is>
      </x:c>
      <x:c r="D257" s="16" t="inlineStr">
        <x:is>
          <x:t xml:space="preserve">https://www.causeiq.com/organizations/fpf-education-and-innovation-foundation%2C453763097/</x:t>
        </x:is>
      </x:c>
      <x:c r="E257" s="16" t="inlineStr">
        <x:is>
          <x:t xml:space="preserve">https://www.causeiq.com/organizations/fpf-education-and-innovation-foundation%2C453763097/</x:t>
        </x:is>
      </x:c>
      <x:c r="F257" s="12" t="inlineStr">
        <x:is>
          <x:t xml:space="preserve">2026-08-25T16:07:55-0700</x:t>
        </x:is>
      </x:c>
      <x:c r="G257" s="16" t="inlineStr">
        <x:is>
          <x:t xml:space="preserve">sources/raw/src-peer-future-of-privacy-forum.txt</x:t>
        </x:is>
      </x:c>
      <x:c r="H257" s="12" t="inlineStr">
        <x:is>
          <x:t xml:space="preserve">text/plain; charset=utf-8</x:t>
        </x:is>
      </x:c>
      <x:c r="I257" s="12" t="n">
        <x:v>1593</x:v>
      </x:c>
      <x:c r="J257" s="13" t="inlineStr">
        <x:is>
          <x:t xml:space="preserve">1d51d6b088755d7fa09e40dc737ca06092dfd8e473f565ac69b01179d4af32a0</x:t>
        </x:is>
      </x:c>
      <x:c r="K257" s="12" t="inlineStr">
        <x:is>
          <x:t xml:space="preserve">2024.0</x:t>
        </x:is>
      </x:c>
      <x:c r="L257" s="12" t="inlineStr">
        <x:is>
          <x:t xml:space="preserve">45-3763097</x:t>
        </x:is>
      </x:c>
      <x:c r="M257" s="12" t="n"/>
      <x:c r="N257" s="12" t="inlineStr">
        <x:is>
          <x:t xml:space="preserve">derivative</x:t>
        </x:is>
      </x:c>
      <x:c r="O257" s="13" t="inlineStr">
        <x:is>
          <x:t xml:space="preserve">Public Form 990 rendering, organization profile, or filing-derived scale record</x:t>
        </x:is>
      </x:c>
      <x:c r="P257" s="13" t="inlineStr">
        <x:is>
          <x:t xml:space="preserve">expanded_reference_set.csv and prior frozen peer profile</x:t>
        </x:is>
      </x:c>
      <x:c r="Q257" s="13" t="inlineStr">
        <x:is>
          <x:t xml:space="preserve">Selection fields frozen without using compensation; full source-native profile page not archived.</x:t>
        </x:is>
      </x:c>
    </x:row>
    <x:row r="258">
      <x:c r="A258" s="12" t="inlineStr">
        <x:is>
          <x:t xml:space="preserve">SRC-PEER-GENERATION-PLEDGE</x:t>
        </x:is>
      </x:c>
      <x:c r="B258" s="12" t="inlineStr">
        <x:is>
          <x:t xml:space="preserve">Generation Pledge</x:t>
        </x:is>
      </x:c>
      <x:c r="C258" s="12" t="inlineStr">
        <x:is>
          <x:t xml:space="preserve">Peer selection and scale profile</x:t>
        </x:is>
      </x:c>
      <x:c r="D258" s="16" t="inlineStr">
        <x:is>
          <x:t xml:space="preserve">https://www.causeiq.com/organizations/generation-pledge%2C842787951/</x:t>
        </x:is>
      </x:c>
      <x:c r="E258" s="16" t="inlineStr">
        <x:is>
          <x:t xml:space="preserve">https://www.causeiq.com/organizations/generation-pledge%2C842787951/</x:t>
        </x:is>
      </x:c>
      <x:c r="F258" s="12" t="inlineStr">
        <x:is>
          <x:t xml:space="preserve">2026-08-25T16:07:55-0700</x:t>
        </x:is>
      </x:c>
      <x:c r="G258" s="17" t="inlineStr">
        <x:is>
          <x:t xml:space="preserve">sources/raw/src-peer-generation-pledge.txt</x:t>
        </x:is>
      </x:c>
      <x:c r="H258" s="12" t="inlineStr">
        <x:is>
          <x:t xml:space="preserve">text/plain; charset=utf-8</x:t>
        </x:is>
      </x:c>
      <x:c r="I258" s="12" t="n">
        <x:v>1271</x:v>
      </x:c>
      <x:c r="J258" s="13" t="inlineStr">
        <x:is>
          <x:t xml:space="preserve">fdbe41c229da3c656305253d283aa3dc772204abf866e63ebb5c7556370326e4</x:t>
        </x:is>
      </x:c>
      <x:c r="K258" s="12" t="n"/>
      <x:c r="L258" s="12" t="inlineStr">
        <x:is>
          <x:t xml:space="preserve">84-2787951</x:t>
        </x:is>
      </x:c>
      <x:c r="M258" s="12" t="n"/>
      <x:c r="N258" s="12" t="inlineStr">
        <x:is>
          <x:t xml:space="preserve">derivative</x:t>
        </x:is>
      </x:c>
      <x:c r="O258" s="13" t="inlineStr">
        <x:is>
          <x:t xml:space="preserve">Public Form 990 rendering, organization profile, or filing-derived scale record</x:t>
        </x:is>
      </x:c>
      <x:c r="P258" s="13" t="inlineStr">
        <x:is>
          <x:t xml:space="preserve">expanded_reference_set.csv and prior frozen peer profile</x:t>
        </x:is>
      </x:c>
      <x:c r="Q258" s="13" t="inlineStr">
        <x:is>
          <x:t xml:space="preserve">Selection fields frozen without using compensation; full source-native profile page not archived.</x:t>
        </x:is>
      </x:c>
    </x:row>
    <x:row r="259">
      <x:c r="A259" s="12" t="inlineStr">
        <x:is>
          <x:t xml:space="preserve">SRC-PEER-GIVINGTUESDAY</x:t>
        </x:is>
      </x:c>
      <x:c r="B259" s="12" t="inlineStr">
        <x:is>
          <x:t xml:space="preserve">GivingTuesday</x:t>
        </x:is>
      </x:c>
      <x:c r="C259" s="12" t="inlineStr">
        <x:is>
          <x:t xml:space="preserve">Peer selection and scale profile</x:t>
        </x:is>
      </x:c>
      <x:c r="D259" s="16" t="inlineStr">
        <x:is>
          <x:t xml:space="preserve">https://projects.propublica.org/nonprofits/organizations/842929872</x:t>
        </x:is>
      </x:c>
      <x:c r="E259" s="16" t="inlineStr">
        <x:is>
          <x:t xml:space="preserve">https://projects.propublica.org/nonprofits/organizations/842929872</x:t>
        </x:is>
      </x:c>
      <x:c r="F259" s="12" t="inlineStr">
        <x:is>
          <x:t xml:space="preserve">2026-08-25T16:07:55-0700</x:t>
        </x:is>
      </x:c>
      <x:c r="G259" s="17" t="inlineStr">
        <x:is>
          <x:t xml:space="preserve">sources/raw/src-peer-givingtuesday.txt</x:t>
        </x:is>
      </x:c>
      <x:c r="H259" s="12" t="inlineStr">
        <x:is>
          <x:t xml:space="preserve">text/plain; charset=utf-8</x:t>
        </x:is>
      </x:c>
      <x:c r="I259" s="12" t="n">
        <x:v>1075</x:v>
      </x:c>
      <x:c r="J259" s="13" t="inlineStr">
        <x:is>
          <x:t xml:space="preserve">1ac73534e9d71d55b8c86396c12147f16abb5ad26b06b92cb650a16c04157cbc</x:t>
        </x:is>
      </x:c>
      <x:c r="K259" s="12" t="inlineStr">
        <x:is>
          <x:t xml:space="preserve">2024.0</x:t>
        </x:is>
      </x:c>
      <x:c r="L259" s="12" t="inlineStr">
        <x:is>
          <x:t xml:space="preserve">84-2929872</x:t>
        </x:is>
      </x:c>
      <x:c r="M259" s="12" t="n"/>
      <x:c r="N259" s="12" t="inlineStr">
        <x:is>
          <x:t xml:space="preserve">derivative</x:t>
        </x:is>
      </x:c>
      <x:c r="O259" s="13" t="inlineStr">
        <x:is>
          <x:t xml:space="preserve">Public Form 990 rendering, organization profile, or filing-derived scale record</x:t>
        </x:is>
      </x:c>
      <x:c r="P259" s="13" t="inlineStr">
        <x:is>
          <x:t xml:space="preserve">expanded_reference_set.csv and prior frozen peer profile</x:t>
        </x:is>
      </x:c>
      <x:c r="Q259" s="13" t="inlineStr">
        <x:is>
          <x:t xml:space="preserve">Selection fields frozen without using compensation; full source-native profile page not archived.</x:t>
        </x:is>
      </x:c>
    </x:row>
    <x:row r="260">
      <x:c r="A260" s="12" t="inlineStr">
        <x:is>
          <x:t xml:space="preserve">SRC-PEER-GLOBAL-HEALTH-CORPS</x:t>
        </x:is>
      </x:c>
      <x:c r="B260" s="12" t="inlineStr">
        <x:is>
          <x:t xml:space="preserve">Global Health Corps</x:t>
        </x:is>
      </x:c>
      <x:c r="C260" s="12" t="inlineStr">
        <x:is>
          <x:t xml:space="preserve">Peer selection and scale profile</x:t>
        </x:is>
      </x:c>
      <x:c r="D260" s="16" t="inlineStr">
        <x:is>
          <x:t xml:space="preserve">https://projects.propublica.org/nonprofits/organizations/800512336</x:t>
        </x:is>
      </x:c>
      <x:c r="E260" s="16" t="inlineStr">
        <x:is>
          <x:t xml:space="preserve">https://projects.propublica.org/nonprofits/organizations/800512336</x:t>
        </x:is>
      </x:c>
      <x:c r="F260" s="12" t="inlineStr">
        <x:is>
          <x:t xml:space="preserve">2026-08-25T16:07:55-0700</x:t>
        </x:is>
      </x:c>
      <x:c r="G260" s="17" t="inlineStr">
        <x:is>
          <x:t xml:space="preserve">sources/raw/src-peer-global-health-corps.txt</x:t>
        </x:is>
      </x:c>
      <x:c r="H260" s="12" t="inlineStr">
        <x:is>
          <x:t xml:space="preserve">text/plain; charset=utf-8</x:t>
        </x:is>
      </x:c>
      <x:c r="I260" s="12" t="n">
        <x:v>1066</x:v>
      </x:c>
      <x:c r="J260" s="13" t="inlineStr">
        <x:is>
          <x:t xml:space="preserve">638dbaaaa1d57aa9b625adb0326c754dd4eb7e5602807c8035ba1922173631ef</x:t>
        </x:is>
      </x:c>
      <x:c r="K260" s="12" t="inlineStr">
        <x:is>
          <x:t xml:space="preserve">2024.0</x:t>
        </x:is>
      </x:c>
      <x:c r="L260" s="12" t="inlineStr">
        <x:is>
          <x:t xml:space="preserve">80-0512336</x:t>
        </x:is>
      </x:c>
      <x:c r="M260" s="12" t="n"/>
      <x:c r="N260" s="12" t="inlineStr">
        <x:is>
          <x:t xml:space="preserve">derivative</x:t>
        </x:is>
      </x:c>
      <x:c r="O260" s="13" t="inlineStr">
        <x:is>
          <x:t xml:space="preserve">Public Form 990 rendering, organization profile, or filing-derived scale record</x:t>
        </x:is>
      </x:c>
      <x:c r="P260" s="13" t="inlineStr">
        <x:is>
          <x:t xml:space="preserve">expanded_reference_set.csv and prior frozen peer profile</x:t>
        </x:is>
      </x:c>
      <x:c r="Q260" s="13" t="inlineStr">
        <x:is>
          <x:t xml:space="preserve">Selection fields frozen without using compensation; full source-native profile page not archived.</x:t>
        </x:is>
      </x:c>
    </x:row>
    <x:row r="261">
      <x:c r="A261" s="12" t="inlineStr">
        <x:is>
          <x:t xml:space="preserve">SRC-PEER-GOOD-FOOD-INSTITUTE</x:t>
        </x:is>
      </x:c>
      <x:c r="B261" s="12" t="inlineStr">
        <x:is>
          <x:t xml:space="preserve">Good Food Institute</x:t>
        </x:is>
      </x:c>
      <x:c r="C261" s="12" t="inlineStr">
        <x:is>
          <x:t xml:space="preserve">Peer selection and scale profile</x:t>
        </x:is>
      </x:c>
      <x:c r="D261" s="16" t="inlineStr">
        <x:is>
          <x:t xml:space="preserve">https://www.causeiq.com/organizations/the-good-food-institute%2C810840578/</x:t>
        </x:is>
      </x:c>
      <x:c r="E261" s="16" t="inlineStr">
        <x:is>
          <x:t xml:space="preserve">https://www.causeiq.com/organizations/the-good-food-institute%2C810840578/</x:t>
        </x:is>
      </x:c>
      <x:c r="F261" s="12" t="inlineStr">
        <x:is>
          <x:t xml:space="preserve">2026-08-25T16:07:55-0700</x:t>
        </x:is>
      </x:c>
      <x:c r="G261" s="17" t="inlineStr">
        <x:is>
          <x:t xml:space="preserve">sources/raw/src-peer-good-food-institute.txt</x:t>
        </x:is>
      </x:c>
      <x:c r="H261" s="12" t="inlineStr">
        <x:is>
          <x:t xml:space="preserve">text/plain; charset=utf-8</x:t>
        </x:is>
      </x:c>
      <x:c r="I261" s="12" t="n">
        <x:v>1467</x:v>
      </x:c>
      <x:c r="J261" s="13" t="inlineStr">
        <x:is>
          <x:t xml:space="preserve">6ec3983e2a4dc60d8dfcb772bbb03fa8fb52b6e61df0d6298084f7f2ab4ec413</x:t>
        </x:is>
      </x:c>
      <x:c r="K261" s="12" t="inlineStr">
        <x:is>
          <x:t xml:space="preserve">2024.0</x:t>
        </x:is>
      </x:c>
      <x:c r="L261" s="12" t="inlineStr">
        <x:is>
          <x:t xml:space="preserve">81-0840578</x:t>
        </x:is>
      </x:c>
      <x:c r="M261" s="12" t="n"/>
      <x:c r="N261" s="12" t="inlineStr">
        <x:is>
          <x:t xml:space="preserve">derivative</x:t>
        </x:is>
      </x:c>
      <x:c r="O261" s="13" t="inlineStr">
        <x:is>
          <x:t xml:space="preserve">Public Form 990 rendering, organization profile, or filing-derived scale record</x:t>
        </x:is>
      </x:c>
      <x:c r="P261" s="13" t="inlineStr">
        <x:is>
          <x:t xml:space="preserve">expanded_reference_set.csv and prior frozen peer profile</x:t>
        </x:is>
      </x:c>
      <x:c r="Q261" s="13" t="inlineStr">
        <x:is>
          <x:t xml:space="preserve">Selection fields frozen without using compensation; full source-native profile page not archived.</x:t>
        </x:is>
      </x:c>
    </x:row>
    <x:row r="262">
      <x:c r="A262" s="12" t="inlineStr">
        <x:is>
          <x:t xml:space="preserve">SRC-PEER-GRANTMAKERS-FOR-EDUCATION</x:t>
        </x:is>
      </x:c>
      <x:c r="B262" s="12" t="inlineStr">
        <x:is>
          <x:t xml:space="preserve">Grantmakers for Education</x:t>
        </x:is>
      </x:c>
      <x:c r="C262" s="12" t="inlineStr">
        <x:is>
          <x:t xml:space="preserve">Peer selection and scale profile</x:t>
        </x:is>
      </x:c>
      <x:c r="D262" s="16" t="inlineStr">
        <x:is>
          <x:t xml:space="preserve">https://projects.propublica.org/nonprofits/organizations/330919329</x:t>
        </x:is>
      </x:c>
      <x:c r="E262" s="16" t="inlineStr">
        <x:is>
          <x:t xml:space="preserve">https://projects.propublica.org/nonprofits/organizations/330919329</x:t>
        </x:is>
      </x:c>
      <x:c r="F262" s="12" t="inlineStr">
        <x:is>
          <x:t xml:space="preserve">2026-08-25T16:07:55-0700</x:t>
        </x:is>
      </x:c>
      <x:c r="G262" s="16" t="inlineStr">
        <x:is>
          <x:t xml:space="preserve">sources/raw/src-peer-grantmakers-for-education.txt</x:t>
        </x:is>
      </x:c>
      <x:c r="H262" s="12" t="inlineStr">
        <x:is>
          <x:t xml:space="preserve">text/plain; charset=utf-8</x:t>
        </x:is>
      </x:c>
      <x:c r="I262" s="12" t="n">
        <x:v>1053</x:v>
      </x:c>
      <x:c r="J262" s="13" t="inlineStr">
        <x:is>
          <x:t xml:space="preserve">fb298bbb0ce5f87e6080ceccaa38add8db68d9d461a14214049ea72005bd74ab</x:t>
        </x:is>
      </x:c>
      <x:c r="K262" s="12" t="inlineStr">
        <x:is>
          <x:t xml:space="preserve">2024.0</x:t>
        </x:is>
      </x:c>
      <x:c r="L262" s="12" t="inlineStr">
        <x:is>
          <x:t xml:space="preserve">33-0919329</x:t>
        </x:is>
      </x:c>
      <x:c r="M262" s="12" t="n"/>
      <x:c r="N262" s="12" t="inlineStr">
        <x:is>
          <x:t xml:space="preserve">derivative</x:t>
        </x:is>
      </x:c>
      <x:c r="O262" s="13" t="inlineStr">
        <x:is>
          <x:t xml:space="preserve">Public Form 990 rendering, organization profile, or filing-derived scale record</x:t>
        </x:is>
      </x:c>
      <x:c r="P262" s="13" t="inlineStr">
        <x:is>
          <x:t xml:space="preserve">expanded_reference_set.csv and prior frozen peer profile</x:t>
        </x:is>
      </x:c>
      <x:c r="Q262" s="13" t="inlineStr">
        <x:is>
          <x:t xml:space="preserve">Selection fields frozen without using compensation; full source-native profile page not archived.</x:t>
        </x:is>
      </x:c>
    </x:row>
    <x:row r="263">
      <x:c r="A263" s="13" t="inlineStr">
        <x:is>
          <x:t xml:space="preserve">SRC-PEER-GRANTMAKERS-FOR-EFFECTIVE-ORGANIZATIONS</x:t>
        </x:is>
      </x:c>
      <x:c r="B263" s="12" t="inlineStr">
        <x:is>
          <x:t xml:space="preserve">Grantmakers for Effective Organizations</x:t>
        </x:is>
      </x:c>
      <x:c r="C263" s="12" t="inlineStr">
        <x:is>
          <x:t xml:space="preserve">Peer selection and scale profile</x:t>
        </x:is>
      </x:c>
      <x:c r="D263" s="16" t="inlineStr">
        <x:is>
          <x:t xml:space="preserve">https://projects.propublica.org/nonprofits/organizations/10669150</x:t>
        </x:is>
      </x:c>
      <x:c r="E263" s="16" t="inlineStr">
        <x:is>
          <x:t xml:space="preserve">https://projects.propublica.org/nonprofits/organizations/10669150</x:t>
        </x:is>
      </x:c>
      <x:c r="F263" s="12" t="inlineStr">
        <x:is>
          <x:t xml:space="preserve">2026-08-25T16:07:55-0700</x:t>
        </x:is>
      </x:c>
      <x:c r="G263" s="16" t="inlineStr">
        <x:is>
          <x:t xml:space="preserve">sources/raw/src-peer-grantmakers-for-effective-organizations.txt</x:t>
        </x:is>
      </x:c>
      <x:c r="H263" s="12" t="inlineStr">
        <x:is>
          <x:t xml:space="preserve">text/plain; charset=utf-8</x:t>
        </x:is>
      </x:c>
      <x:c r="I263" s="12" t="n">
        <x:v>1509</x:v>
      </x:c>
      <x:c r="J263" s="13" t="inlineStr">
        <x:is>
          <x:t xml:space="preserve">0fc73ccaf56117553afef3832fb55b7bc9a1a4a04dbb657792f6a21c7c8b739b</x:t>
        </x:is>
      </x:c>
      <x:c r="K263" s="12" t="inlineStr">
        <x:is>
          <x:t xml:space="preserve">2024.0</x:t>
        </x:is>
      </x:c>
      <x:c r="L263" s="12" t="inlineStr">
        <x:is>
          <x:t xml:space="preserve">01-0669150</x:t>
        </x:is>
      </x:c>
      <x:c r="M263" s="12" t="n"/>
      <x:c r="N263" s="12" t="inlineStr">
        <x:is>
          <x:t xml:space="preserve">derivative</x:t>
        </x:is>
      </x:c>
      <x:c r="O263" s="13" t="inlineStr">
        <x:is>
          <x:t xml:space="preserve">Public Form 990 rendering, organization profile, or filing-derived scale record</x:t>
        </x:is>
      </x:c>
      <x:c r="P263" s="13" t="inlineStr">
        <x:is>
          <x:t xml:space="preserve">expanded_reference_set.csv and prior frozen peer profile</x:t>
        </x:is>
      </x:c>
      <x:c r="Q263" s="13" t="inlineStr">
        <x:is>
          <x:t xml:space="preserve">Selection fields frozen without using compensation; full source-native profile page not archived.</x:t>
        </x:is>
      </x:c>
    </x:row>
    <x:row r="264">
      <x:c r="A264" s="12" t="inlineStr">
        <x:is>
          <x:t xml:space="preserve">SRC-PEER-GUTTMACHER-INSTITUTE</x:t>
        </x:is>
      </x:c>
      <x:c r="B264" s="12" t="inlineStr">
        <x:is>
          <x:t xml:space="preserve">Guttmacher Institute</x:t>
        </x:is>
      </x:c>
      <x:c r="C264" s="12" t="inlineStr">
        <x:is>
          <x:t xml:space="preserve">Peer selection and scale profile</x:t>
        </x:is>
      </x:c>
      <x:c r="D264" s="16" t="inlineStr">
        <x:is>
          <x:t xml:space="preserve">https://www.causeiq.com/organizations/guttmacher-institute%2C132890727/</x:t>
        </x:is>
      </x:c>
      <x:c r="E264" s="16" t="inlineStr">
        <x:is>
          <x:t xml:space="preserve">https://www.causeiq.com/organizations/guttmacher-institute%2C132890727/</x:t>
        </x:is>
      </x:c>
      <x:c r="F264" s="12" t="inlineStr">
        <x:is>
          <x:t xml:space="preserve">2026-08-25T16:07:55-0700</x:t>
        </x:is>
      </x:c>
      <x:c r="G264" s="17" t="inlineStr">
        <x:is>
          <x:t xml:space="preserve">sources/raw/src-peer-guttmacher-institute.txt</x:t>
        </x:is>
      </x:c>
      <x:c r="H264" s="12" t="inlineStr">
        <x:is>
          <x:t xml:space="preserve">text/plain; charset=utf-8</x:t>
        </x:is>
      </x:c>
      <x:c r="I264" s="12" t="n">
        <x:v>1490</x:v>
      </x:c>
      <x:c r="J264" s="13" t="inlineStr">
        <x:is>
          <x:t xml:space="preserve">0fdd8e8903d9b61e07414235a27b7d8d54293f74766a3e70f6e035b3df1d6b22</x:t>
        </x:is>
      </x:c>
      <x:c r="K264" s="12" t="inlineStr">
        <x:is>
          <x:t xml:space="preserve">2022.0</x:t>
        </x:is>
      </x:c>
      <x:c r="L264" s="12" t="inlineStr">
        <x:is>
          <x:t xml:space="preserve">13-2890727</x:t>
        </x:is>
      </x:c>
      <x:c r="M264" s="12" t="n"/>
      <x:c r="N264" s="12" t="inlineStr">
        <x:is>
          <x:t xml:space="preserve">derivative</x:t>
        </x:is>
      </x:c>
      <x:c r="O264" s="13" t="inlineStr">
        <x:is>
          <x:t xml:space="preserve">Public Form 990 rendering, organization profile, or filing-derived scale record</x:t>
        </x:is>
      </x:c>
      <x:c r="P264" s="13" t="inlineStr">
        <x:is>
          <x:t xml:space="preserve">expanded_reference_set.csv and prior frozen peer profile</x:t>
        </x:is>
      </x:c>
      <x:c r="Q264" s="13" t="inlineStr">
        <x:is>
          <x:t xml:space="preserve">Selection fields frozen without using compensation; full source-native profile page not archived.</x:t>
        </x:is>
      </x:c>
    </x:row>
    <x:row r="265">
      <x:c r="A265" s="12" t="inlineStr">
        <x:is>
          <x:t xml:space="preserve">SRC-PEER-HIGH-IMPACT-ATHLETES</x:t>
        </x:is>
      </x:c>
      <x:c r="B265" s="12" t="inlineStr">
        <x:is>
          <x:t xml:space="preserve">High Impact Athletes</x:t>
        </x:is>
      </x:c>
      <x:c r="C265" s="12" t="inlineStr">
        <x:is>
          <x:t xml:space="preserve">Peer selection and scale profile</x:t>
        </x:is>
      </x:c>
      <x:c r="D265" s="16" t="inlineStr">
        <x:is>
          <x:t xml:space="preserve">https://www.causeiq.com/organizations/high-impact-athletes%2C873955308/</x:t>
        </x:is>
      </x:c>
      <x:c r="E265" s="16" t="inlineStr">
        <x:is>
          <x:t xml:space="preserve">https://www.causeiq.com/organizations/high-impact-athletes%2C873955308/</x:t>
        </x:is>
      </x:c>
      <x:c r="F265" s="12" t="inlineStr">
        <x:is>
          <x:t xml:space="preserve">2026-08-25T16:07:55-0700</x:t>
        </x:is>
      </x:c>
      <x:c r="G265" s="17" t="inlineStr">
        <x:is>
          <x:t xml:space="preserve">sources/raw/src-peer-high-impact-athletes.txt</x:t>
        </x:is>
      </x:c>
      <x:c r="H265" s="12" t="inlineStr">
        <x:is>
          <x:t xml:space="preserve">text/plain; charset=utf-8</x:t>
        </x:is>
      </x:c>
      <x:c r="I265" s="12" t="n">
        <x:v>1330</x:v>
      </x:c>
      <x:c r="J265" s="13" t="inlineStr">
        <x:is>
          <x:t xml:space="preserve">8ef20d50255124ff024e3636e92f3d211cb242ff243fc73f7fa6eebc0289b5f0</x:t>
        </x:is>
      </x:c>
      <x:c r="K265" s="12" t="n"/>
      <x:c r="L265" s="12" t="inlineStr">
        <x:is>
          <x:t xml:space="preserve">87-3955308</x:t>
        </x:is>
      </x:c>
      <x:c r="M265" s="12" t="n"/>
      <x:c r="N265" s="12" t="inlineStr">
        <x:is>
          <x:t xml:space="preserve">derivative</x:t>
        </x:is>
      </x:c>
      <x:c r="O265" s="13" t="inlineStr">
        <x:is>
          <x:t xml:space="preserve">Public Form 990 rendering, organization profile, or filing-derived scale record</x:t>
        </x:is>
      </x:c>
      <x:c r="P265" s="13" t="inlineStr">
        <x:is>
          <x:t xml:space="preserve">expanded_reference_set.csv and prior frozen peer profile</x:t>
        </x:is>
      </x:c>
      <x:c r="Q265" s="13" t="inlineStr">
        <x:is>
          <x:t xml:space="preserve">Selection fields frozen without using compensation; full source-native profile page not archived.</x:t>
        </x:is>
      </x:c>
    </x:row>
    <x:row r="266">
      <x:c r="A266" s="12" t="inlineStr">
        <x:is>
          <x:t xml:space="preserve">SRC-PEER-IDINSIGHT</x:t>
        </x:is>
      </x:c>
      <x:c r="B266" s="12" t="inlineStr">
        <x:is>
          <x:t xml:space="preserve">IDinsight</x:t>
        </x:is>
      </x:c>
      <x:c r="C266" s="12" t="inlineStr">
        <x:is>
          <x:t xml:space="preserve">Peer selection and scale profile</x:t>
        </x:is>
      </x:c>
      <x:c r="D266" s="16" t="inlineStr">
        <x:is>
          <x:t xml:space="preserve">https://www.causeiq.com/organizations/idinsight-usa%2C274933181/</x:t>
        </x:is>
      </x:c>
      <x:c r="E266" s="16" t="inlineStr">
        <x:is>
          <x:t xml:space="preserve">https://www.causeiq.com/organizations/idinsight-usa%2C274933181/</x:t>
        </x:is>
      </x:c>
      <x:c r="F266" s="12" t="inlineStr">
        <x:is>
          <x:t xml:space="preserve">2026-08-25T16:07:55-0700</x:t>
        </x:is>
      </x:c>
      <x:c r="G266" s="17" t="inlineStr">
        <x:is>
          <x:t xml:space="preserve">sources/raw/src-peer-idinsight.txt</x:t>
        </x:is>
      </x:c>
      <x:c r="H266" s="12" t="inlineStr">
        <x:is>
          <x:t xml:space="preserve">text/plain; charset=utf-8</x:t>
        </x:is>
      </x:c>
      <x:c r="I266" s="12" t="n">
        <x:v>1383</x:v>
      </x:c>
      <x:c r="J266" s="13" t="inlineStr">
        <x:is>
          <x:t xml:space="preserve">a190851d7e0db8178ee1fd378d247d4bf174910ff50a60b8103027a9676efadb</x:t>
        </x:is>
      </x:c>
      <x:c r="K266" s="12" t="n"/>
      <x:c r="L266" s="12" t="inlineStr">
        <x:is>
          <x:t xml:space="preserve">27-4933181</x:t>
        </x:is>
      </x:c>
      <x:c r="M266" s="12" t="n"/>
      <x:c r="N266" s="12" t="inlineStr">
        <x:is>
          <x:t xml:space="preserve">derivative</x:t>
        </x:is>
      </x:c>
      <x:c r="O266" s="13" t="inlineStr">
        <x:is>
          <x:t xml:space="preserve">Public Form 990 rendering, organization profile, or filing-derived scale record</x:t>
        </x:is>
      </x:c>
      <x:c r="P266" s="13" t="inlineStr">
        <x:is>
          <x:t xml:space="preserve">expanded_reference_set.csv and prior frozen peer profile</x:t>
        </x:is>
      </x:c>
      <x:c r="Q266" s="13" t="inlineStr">
        <x:is>
          <x:t xml:space="preserve">Selection fields frozen without using compensation; full source-native profile page not archived.</x:t>
        </x:is>
      </x:c>
    </x:row>
    <x:row r="267">
      <x:c r="A267" s="12" t="inlineStr">
        <x:is>
          <x:t xml:space="preserve">SRC-PEER-INDEPENDENT-SECTOR</x:t>
        </x:is>
      </x:c>
      <x:c r="B267" s="12" t="inlineStr">
        <x:is>
          <x:t xml:space="preserve">Independent Sector</x:t>
        </x:is>
      </x:c>
      <x:c r="C267" s="12" t="inlineStr">
        <x:is>
          <x:t xml:space="preserve">Peer selection and scale profile</x:t>
        </x:is>
      </x:c>
      <x:c r="D267" s="16" t="inlineStr">
        <x:is>
          <x:t xml:space="preserve">https://projects.propublica.org/nonprofits/organizations/521081024</x:t>
        </x:is>
      </x:c>
      <x:c r="E267" s="16" t="inlineStr">
        <x:is>
          <x:t xml:space="preserve">https://projects.propublica.org/nonprofits/organizations/521081024</x:t>
        </x:is>
      </x:c>
      <x:c r="F267" s="12" t="inlineStr">
        <x:is>
          <x:t xml:space="preserve">2026-08-25T16:07:55-0700</x:t>
        </x:is>
      </x:c>
      <x:c r="G267" s="17" t="inlineStr">
        <x:is>
          <x:t xml:space="preserve">sources/raw/src-peer-independent-sector.txt</x:t>
        </x:is>
      </x:c>
      <x:c r="H267" s="12" t="inlineStr">
        <x:is>
          <x:t xml:space="preserve">text/plain; charset=utf-8</x:t>
        </x:is>
      </x:c>
      <x:c r="I267" s="12" t="n">
        <x:v>1514</x:v>
      </x:c>
      <x:c r="J267" s="13" t="inlineStr">
        <x:is>
          <x:t xml:space="preserve">ebac494d532c23ec80d69b32209605b673fa3b811a605807a292916cbbf6f684</x:t>
        </x:is>
      </x:c>
      <x:c r="K267" s="12" t="inlineStr">
        <x:is>
          <x:t xml:space="preserve">2024.0</x:t>
        </x:is>
      </x:c>
      <x:c r="L267" s="12" t="inlineStr">
        <x:is>
          <x:t xml:space="preserve">52-1081024</x:t>
        </x:is>
      </x:c>
      <x:c r="M267" s="12" t="n"/>
      <x:c r="N267" s="12" t="inlineStr">
        <x:is>
          <x:t xml:space="preserve">derivative</x:t>
        </x:is>
      </x:c>
      <x:c r="O267" s="13" t="inlineStr">
        <x:is>
          <x:t xml:space="preserve">Public Form 990 rendering, organization profile, or filing-derived scale record</x:t>
        </x:is>
      </x:c>
      <x:c r="P267" s="13" t="inlineStr">
        <x:is>
          <x:t xml:space="preserve">expanded_reference_set.csv and prior frozen peer profile</x:t>
        </x:is>
      </x:c>
      <x:c r="Q267" s="13" t="inlineStr">
        <x:is>
          <x:t xml:space="preserve">Selection fields frozen without using compensation; full source-native profile page not archived.</x:t>
        </x:is>
      </x:c>
    </x:row>
    <x:row r="268">
      <x:c r="A268" s="13" t="inlineStr">
        <x:is>
          <x:t xml:space="preserve">SRC-PEER-INFORMATION-TECHNOLOGY-AND-INNOVATION-FOUNDATION</x:t>
        </x:is>
      </x:c>
      <x:c r="B268" s="13" t="inlineStr">
        <x:is>
          <x:t xml:space="preserve">Information Technology and Innovation Foundation</x:t>
        </x:is>
      </x:c>
      <x:c r="C268" s="12" t="inlineStr">
        <x:is>
          <x:t xml:space="preserve">Peer selection and scale profile</x:t>
        </x:is>
      </x:c>
      <x:c r="D268" s="16" t="inlineStr">
        <x:is>
          <x:t xml:space="preserve">https://projects.propublica.org/nonprofits/organizations/204403497</x:t>
        </x:is>
      </x:c>
      <x:c r="E268" s="16" t="inlineStr">
        <x:is>
          <x:t xml:space="preserve">https://projects.propublica.org/nonprofits/organizations/204403497</x:t>
        </x:is>
      </x:c>
      <x:c r="F268" s="12" t="inlineStr">
        <x:is>
          <x:t xml:space="preserve">2026-08-25T16:07:55-0700</x:t>
        </x:is>
      </x:c>
      <x:c r="G268" s="16" t="inlineStr">
        <x:is>
          <x:t xml:space="preserve">sources/raw/src-peer-information-technology-and-innovation-foundation.txt</x:t>
        </x:is>
      </x:c>
      <x:c r="H268" s="12" t="inlineStr">
        <x:is>
          <x:t xml:space="preserve">text/plain; charset=utf-8</x:t>
        </x:is>
      </x:c>
      <x:c r="I268" s="12" t="n">
        <x:v>1086</x:v>
      </x:c>
      <x:c r="J268" s="13" t="inlineStr">
        <x:is>
          <x:t xml:space="preserve">1a6213ebfa5da0e364390315856c205c5d3ac92ad68136568ea14ed28a393050</x:t>
        </x:is>
      </x:c>
      <x:c r="K268" s="12" t="inlineStr">
        <x:is>
          <x:t xml:space="preserve">2024.0</x:t>
        </x:is>
      </x:c>
      <x:c r="L268" s="12" t="inlineStr">
        <x:is>
          <x:t xml:space="preserve">20-4403497</x:t>
        </x:is>
      </x:c>
      <x:c r="M268" s="12" t="n"/>
      <x:c r="N268" s="12" t="inlineStr">
        <x:is>
          <x:t xml:space="preserve">derivative</x:t>
        </x:is>
      </x:c>
      <x:c r="O268" s="13" t="inlineStr">
        <x:is>
          <x:t xml:space="preserve">Public Form 990 rendering, organization profile, or filing-derived scale record</x:t>
        </x:is>
      </x:c>
      <x:c r="P268" s="13" t="inlineStr">
        <x:is>
          <x:t xml:space="preserve">expanded_reference_set.csv and prior frozen peer profile</x:t>
        </x:is>
      </x:c>
      <x:c r="Q268" s="13" t="inlineStr">
        <x:is>
          <x:t xml:space="preserve">Selection fields frozen without using compensation; full source-native profile page not archived.</x:t>
        </x:is>
      </x:c>
    </x:row>
    <x:row r="269">
      <x:c r="A269" s="12" t="inlineStr">
        <x:is>
          <x:t xml:space="preserve">SRC-PEER-INNOVATIONS-FOR-POVERTY-ACTION</x:t>
        </x:is>
      </x:c>
      <x:c r="B269" s="12" t="inlineStr">
        <x:is>
          <x:t xml:space="preserve">Innovations for Poverty Action</x:t>
        </x:is>
      </x:c>
      <x:c r="C269" s="12" t="inlineStr">
        <x:is>
          <x:t xml:space="preserve">Peer selection and scale profile</x:t>
        </x:is>
      </x:c>
      <x:c r="D269" s="16" t="inlineStr">
        <x:is>
          <x:t xml:space="preserve">https://www.causeiq.com/organizations/innovations-for-poverty-action%2C061660068/</x:t>
        </x:is>
      </x:c>
      <x:c r="E269" s="16" t="inlineStr">
        <x:is>
          <x:t xml:space="preserve">https://www.causeiq.com/organizations/innovations-for-poverty-action%2C061660068/</x:t>
        </x:is>
      </x:c>
      <x:c r="F269" s="12" t="inlineStr">
        <x:is>
          <x:t xml:space="preserve">2026-08-25T16:07:55-0700</x:t>
        </x:is>
      </x:c>
      <x:c r="G269" s="16" t="inlineStr">
        <x:is>
          <x:t xml:space="preserve">sources/raw/src-peer-innovations-for-poverty-action.txt</x:t>
        </x:is>
      </x:c>
      <x:c r="H269" s="12" t="inlineStr">
        <x:is>
          <x:t xml:space="preserve">text/plain; charset=utf-8</x:t>
        </x:is>
      </x:c>
      <x:c r="I269" s="12" t="n">
        <x:v>1491</x:v>
      </x:c>
      <x:c r="J269" s="13" t="inlineStr">
        <x:is>
          <x:t xml:space="preserve">2829daec7aafb36071b874d452b826b8cfc972ad98068026ce9db7b0bc6a63a2</x:t>
        </x:is>
      </x:c>
      <x:c r="K269" s="12" t="inlineStr">
        <x:is>
          <x:t xml:space="preserve">2024.0</x:t>
        </x:is>
      </x:c>
      <x:c r="L269" s="12" t="inlineStr">
        <x:is>
          <x:t xml:space="preserve">06-1660068</x:t>
        </x:is>
      </x:c>
      <x:c r="M269" s="12" t="n"/>
      <x:c r="N269" s="12" t="inlineStr">
        <x:is>
          <x:t xml:space="preserve">derivative</x:t>
        </x:is>
      </x:c>
      <x:c r="O269" s="13" t="inlineStr">
        <x:is>
          <x:t xml:space="preserve">Public Form 990 rendering, organization profile, or filing-derived scale record</x:t>
        </x:is>
      </x:c>
      <x:c r="P269" s="13" t="inlineStr">
        <x:is>
          <x:t xml:space="preserve">expanded_reference_set.csv and prior frozen peer profile</x:t>
        </x:is>
      </x:c>
      <x:c r="Q269" s="13" t="inlineStr">
        <x:is>
          <x:t xml:space="preserve">Selection fields frozen without using compensation; full source-native profile page not archived.</x:t>
        </x:is>
      </x:c>
    </x:row>
    <x:row r="270">
      <x:c r="A270" s="13" t="inlineStr">
        <x:is>
          <x:t xml:space="preserve">SRC-PEER-INSTITUTE-FOR-ENERGY-ECONOMICS-AND-FINANCIAL-ANALYSIS</x:t>
        </x:is>
      </x:c>
      <x:c r="B270" s="13" t="inlineStr">
        <x:is>
          <x:t xml:space="preserve">Institute for Energy Economics and Financial Analysis</x:t>
        </x:is>
      </x:c>
      <x:c r="C270" s="12" t="inlineStr">
        <x:is>
          <x:t xml:space="preserve">Peer selection and scale profile</x:t>
        </x:is>
      </x:c>
      <x:c r="D270" s="16" t="inlineStr">
        <x:is>
          <x:t xml:space="preserve">https://projects.propublica.org/nonprofits/organizations/454244605</x:t>
        </x:is>
      </x:c>
      <x:c r="E270" s="16" t="inlineStr">
        <x:is>
          <x:t xml:space="preserve">https://projects.propublica.org/nonprofits/organizations/454244605</x:t>
        </x:is>
      </x:c>
      <x:c r="F270" s="12" t="inlineStr">
        <x:is>
          <x:t xml:space="preserve">2026-08-25T16:07:55-0700</x:t>
        </x:is>
      </x:c>
      <x:c r="G270" s="16" t="inlineStr">
        <x:is>
          <x:t xml:space="preserve">sources/raw/src-peer-institute-for-energy-economics-and-financial-analysis.txt</x:t>
        </x:is>
      </x:c>
      <x:c r="H270" s="12" t="inlineStr">
        <x:is>
          <x:t xml:space="preserve">text/plain; charset=utf-8</x:t>
        </x:is>
      </x:c>
      <x:c r="I270" s="12" t="n">
        <x:v>1094</x:v>
      </x:c>
      <x:c r="J270" s="13" t="inlineStr">
        <x:is>
          <x:t xml:space="preserve">5852340c4b4812b546dc2eed799cf401ea6996ae6f9e97617655aaadfbda22e0</x:t>
        </x:is>
      </x:c>
      <x:c r="K270" s="12" t="inlineStr">
        <x:is>
          <x:t xml:space="preserve">2024.0</x:t>
        </x:is>
      </x:c>
      <x:c r="L270" s="12" t="inlineStr">
        <x:is>
          <x:t xml:space="preserve">45-4244605</x:t>
        </x:is>
      </x:c>
      <x:c r="M270" s="12" t="n"/>
      <x:c r="N270" s="12" t="inlineStr">
        <x:is>
          <x:t xml:space="preserve">derivative</x:t>
        </x:is>
      </x:c>
      <x:c r="O270" s="13" t="inlineStr">
        <x:is>
          <x:t xml:space="preserve">Public Form 990 rendering, organization profile, or filing-derived scale record</x:t>
        </x:is>
      </x:c>
      <x:c r="P270" s="13" t="inlineStr">
        <x:is>
          <x:t xml:space="preserve">expanded_reference_set.csv and prior frozen peer profile</x:t>
        </x:is>
      </x:c>
      <x:c r="Q270" s="13" t="inlineStr">
        <x:is>
          <x:t xml:space="preserve">Selection fields frozen without using compensation; full source-native profile page not archived.</x:t>
        </x:is>
      </x:c>
    </x:row>
    <x:row r="271">
      <x:c r="A271" s="12" t="inlineStr">
        <x:is>
          <x:t xml:space="preserve">SRC-PEER-INSTITUTE-FOR-NONPROFIT-NEWS</x:t>
        </x:is>
      </x:c>
      <x:c r="B271" s="12" t="inlineStr">
        <x:is>
          <x:t xml:space="preserve">Institute for Nonprofit News</x:t>
        </x:is>
      </x:c>
      <x:c r="C271" s="12" t="inlineStr">
        <x:is>
          <x:t xml:space="preserve">Peer selection and scale profile</x:t>
        </x:is>
      </x:c>
      <x:c r="D271" s="16" t="inlineStr">
        <x:is>
          <x:t xml:space="preserve">https://projects.propublica.org/nonprofits/organizations/272614911</x:t>
        </x:is>
      </x:c>
      <x:c r="E271" s="16" t="inlineStr">
        <x:is>
          <x:t xml:space="preserve">https://projects.propublica.org/nonprofits/organizations/272614911</x:t>
        </x:is>
      </x:c>
      <x:c r="F271" s="12" t="inlineStr">
        <x:is>
          <x:t xml:space="preserve">2026-08-25T16:07:55-0700</x:t>
        </x:is>
      </x:c>
      <x:c r="G271" s="16" t="inlineStr">
        <x:is>
          <x:t xml:space="preserve">sources/raw/src-peer-institute-for-nonprofit-news.txt</x:t>
        </x:is>
      </x:c>
      <x:c r="H271" s="12" t="inlineStr">
        <x:is>
          <x:t xml:space="preserve">text/plain; charset=utf-8</x:t>
        </x:is>
      </x:c>
      <x:c r="I271" s="12" t="n">
        <x:v>1095</x:v>
      </x:c>
      <x:c r="J271" s="13" t="inlineStr">
        <x:is>
          <x:t xml:space="preserve">603416aa012ae988f24f0fc600291b1015ce9129abcd44521a6f51171d57b332</x:t>
        </x:is>
      </x:c>
      <x:c r="K271" s="12" t="inlineStr">
        <x:is>
          <x:t xml:space="preserve">2024.0</x:t>
        </x:is>
      </x:c>
      <x:c r="L271" s="12" t="inlineStr">
        <x:is>
          <x:t xml:space="preserve">27-2614911</x:t>
        </x:is>
      </x:c>
      <x:c r="M271" s="12" t="n"/>
      <x:c r="N271" s="12" t="inlineStr">
        <x:is>
          <x:t xml:space="preserve">derivative</x:t>
        </x:is>
      </x:c>
      <x:c r="O271" s="13" t="inlineStr">
        <x:is>
          <x:t xml:space="preserve">Public Form 990 rendering, organization profile, or filing-derived scale record</x:t>
        </x:is>
      </x:c>
      <x:c r="P271" s="13" t="inlineStr">
        <x:is>
          <x:t xml:space="preserve">expanded_reference_set.csv and prior frozen peer profile</x:t>
        </x:is>
      </x:c>
      <x:c r="Q271" s="13" t="inlineStr">
        <x:is>
          <x:t xml:space="preserve">Selection fields frozen without using compensation; full source-native profile page not archived.</x:t>
        </x:is>
      </x:c>
    </x:row>
    <x:row r="272">
      <x:c r="A272" s="12" t="inlineStr">
        <x:is>
          <x:t xml:space="preserve">SRC-PEER-INSTITUTE-FOR-POLICY-STUDIES</x:t>
        </x:is>
      </x:c>
      <x:c r="B272" s="12" t="inlineStr">
        <x:is>
          <x:t xml:space="preserve">Institute for Policy Studies</x:t>
        </x:is>
      </x:c>
      <x:c r="C272" s="12" t="inlineStr">
        <x:is>
          <x:t xml:space="preserve">Peer selection and scale profile</x:t>
        </x:is>
      </x:c>
      <x:c r="D272" s="16" t="inlineStr">
        <x:is>
          <x:t xml:space="preserve">https://projects.propublica.org/nonprofits/organizations/520788947</x:t>
        </x:is>
      </x:c>
      <x:c r="E272" s="16" t="inlineStr">
        <x:is>
          <x:t xml:space="preserve">https://projects.propublica.org/nonprofits/organizations/520788947</x:t>
        </x:is>
      </x:c>
      <x:c r="F272" s="12" t="inlineStr">
        <x:is>
          <x:t xml:space="preserve">2026-08-25T16:07:55-0700</x:t>
        </x:is>
      </x:c>
      <x:c r="G272" s="16" t="inlineStr">
        <x:is>
          <x:t xml:space="preserve">sources/raw/src-peer-institute-for-policy-studies.txt</x:t>
        </x:is>
      </x:c>
      <x:c r="H272" s="12" t="inlineStr">
        <x:is>
          <x:t xml:space="preserve">text/plain; charset=utf-8</x:t>
        </x:is>
      </x:c>
      <x:c r="I272" s="12" t="n">
        <x:v>1085</x:v>
      </x:c>
      <x:c r="J272" s="13" t="inlineStr">
        <x:is>
          <x:t xml:space="preserve">a19a9461d42fe94218cae977c7275afc6ba093c7beb0d5d1658d2990ceb8347d</x:t>
        </x:is>
      </x:c>
      <x:c r="K272" s="12" t="inlineStr">
        <x:is>
          <x:t xml:space="preserve">2024.0</x:t>
        </x:is>
      </x:c>
      <x:c r="L272" s="12" t="inlineStr">
        <x:is>
          <x:t xml:space="preserve">52-0788947</x:t>
        </x:is>
      </x:c>
      <x:c r="M272" s="12" t="n"/>
      <x:c r="N272" s="12" t="inlineStr">
        <x:is>
          <x:t xml:space="preserve">derivative</x:t>
        </x:is>
      </x:c>
      <x:c r="O272" s="13" t="inlineStr">
        <x:is>
          <x:t xml:space="preserve">Public Form 990 rendering, organization profile, or filing-derived scale record</x:t>
        </x:is>
      </x:c>
      <x:c r="P272" s="13" t="inlineStr">
        <x:is>
          <x:t xml:space="preserve">expanded_reference_set.csv and prior frozen peer profile</x:t>
        </x:is>
      </x:c>
      <x:c r="Q272" s="13" t="inlineStr">
        <x:is>
          <x:t xml:space="preserve">Selection fields frozen without using compensation; full source-native profile page not archived.</x:t>
        </x:is>
      </x:c>
    </x:row>
    <x:row r="273">
      <x:c r="A273" s="13" t="inlineStr">
        <x:is>
          <x:t xml:space="preserve">SRC-PEER-INSTITUTE-FOR-SECURITY-AND-TECHNOLOGY</x:t>
        </x:is>
      </x:c>
      <x:c r="B273" s="12" t="inlineStr">
        <x:is>
          <x:t xml:space="preserve">Institute for Security and Technology</x:t>
        </x:is>
      </x:c>
      <x:c r="C273" s="12" t="inlineStr">
        <x:is>
          <x:t xml:space="preserve">Peer selection and scale profile</x:t>
        </x:is>
      </x:c>
      <x:c r="D273" s="16" t="inlineStr">
        <x:is>
          <x:t xml:space="preserve">https://projects.propublica.org/nonprofits/organizations/475677755</x:t>
        </x:is>
      </x:c>
      <x:c r="E273" s="16" t="inlineStr">
        <x:is>
          <x:t xml:space="preserve">https://projects.propublica.org/nonprofits/organizations/475677755</x:t>
        </x:is>
      </x:c>
      <x:c r="F273" s="12" t="inlineStr">
        <x:is>
          <x:t xml:space="preserve">2026-08-25T16:07:55-0700</x:t>
        </x:is>
      </x:c>
      <x:c r="G273" s="16" t="inlineStr">
        <x:is>
          <x:t xml:space="preserve">sources/raw/src-peer-institute-for-security-and-technology.txt</x:t>
        </x:is>
      </x:c>
      <x:c r="H273" s="12" t="inlineStr">
        <x:is>
          <x:t xml:space="preserve">text/plain; charset=utf-8</x:t>
        </x:is>
      </x:c>
      <x:c r="I273" s="12" t="n">
        <x:v>1072</x:v>
      </x:c>
      <x:c r="J273" s="13" t="inlineStr">
        <x:is>
          <x:t xml:space="preserve">7b38072cf04c9eeb2ad37edcc293e1a520413bf80a8362d8c3e95e980c8abd7f</x:t>
        </x:is>
      </x:c>
      <x:c r="K273" s="12" t="inlineStr">
        <x:is>
          <x:t xml:space="preserve">2024.0</x:t>
        </x:is>
      </x:c>
      <x:c r="L273" s="12" t="inlineStr">
        <x:is>
          <x:t xml:space="preserve">47-5677755</x:t>
        </x:is>
      </x:c>
      <x:c r="M273" s="12" t="n"/>
      <x:c r="N273" s="12" t="inlineStr">
        <x:is>
          <x:t xml:space="preserve">derivative</x:t>
        </x:is>
      </x:c>
      <x:c r="O273" s="13" t="inlineStr">
        <x:is>
          <x:t xml:space="preserve">Public Form 990 rendering, organization profile, or filing-derived scale record</x:t>
        </x:is>
      </x:c>
      <x:c r="P273" s="13" t="inlineStr">
        <x:is>
          <x:t xml:space="preserve">expanded_reference_set.csv and prior frozen peer profile</x:t>
        </x:is>
      </x:c>
      <x:c r="Q273" s="13" t="inlineStr">
        <x:is>
          <x:t xml:space="preserve">Selection fields frozen without using compensation; full source-native profile page not archived.</x:t>
        </x:is>
      </x:c>
    </x:row>
    <x:row r="274">
      <x:c r="A274" s="13" t="inlineStr">
        <x:is>
          <x:t xml:space="preserve">SRC-PEER-INSTITUTE-FOR-WOMEN-S-POLICY-RESEARCH</x:t>
        </x:is>
      </x:c>
      <x:c r="B274" s="12" t="inlineStr">
        <x:is>
          <x:t xml:space="preserve">Institute for Women’s Policy Research</x:t>
        </x:is>
      </x:c>
      <x:c r="C274" s="12" t="inlineStr">
        <x:is>
          <x:t xml:space="preserve">Peer selection and scale profile</x:t>
        </x:is>
      </x:c>
      <x:c r="D274" s="16" t="inlineStr">
        <x:is>
          <x:t xml:space="preserve">https://www.causeiq.com/organizations/institute-for-womens-policy-research%2C521549572/</x:t>
        </x:is>
      </x:c>
      <x:c r="E274" s="16" t="inlineStr">
        <x:is>
          <x:t xml:space="preserve">https://www.causeiq.com/organizations/institute-for-womens-policy-research%2C521549572/</x:t>
        </x:is>
      </x:c>
      <x:c r="F274" s="12" t="inlineStr">
        <x:is>
          <x:t xml:space="preserve">2026-08-25T16:07:55-0700</x:t>
        </x:is>
      </x:c>
      <x:c r="G274" s="16" t="inlineStr">
        <x:is>
          <x:t xml:space="preserve">sources/raw/src-peer-institute-for-women-s-policy-research.txt</x:t>
        </x:is>
      </x:c>
      <x:c r="H274" s="12" t="inlineStr">
        <x:is>
          <x:t xml:space="preserve">text/plain; charset=utf-8</x:t>
        </x:is>
      </x:c>
      <x:c r="I274" s="12" t="n">
        <x:v>1406</x:v>
      </x:c>
      <x:c r="J274" s="13" t="inlineStr">
        <x:is>
          <x:t xml:space="preserve">33086299011c01c128b6d818dcc73366b5688f38f3698068b49206bec338da2d</x:t>
        </x:is>
      </x:c>
      <x:c r="K274" s="12" t="n"/>
      <x:c r="L274" s="12" t="inlineStr">
        <x:is>
          <x:t xml:space="preserve">52-1549572</x:t>
        </x:is>
      </x:c>
      <x:c r="M274" s="12" t="n"/>
      <x:c r="N274" s="12" t="inlineStr">
        <x:is>
          <x:t xml:space="preserve">derivative</x:t>
        </x:is>
      </x:c>
      <x:c r="O274" s="13" t="inlineStr">
        <x:is>
          <x:t xml:space="preserve">Public Form 990 rendering, organization profile, or filing-derived scale record</x:t>
        </x:is>
      </x:c>
      <x:c r="P274" s="13" t="inlineStr">
        <x:is>
          <x:t xml:space="preserve">expanded_reference_set.csv and prior frozen peer profile</x:t>
        </x:is>
      </x:c>
      <x:c r="Q274" s="13" t="inlineStr">
        <x:is>
          <x:t xml:space="preserve">Selection fields frozen without using compensation; full source-native profile page not archived.</x:t>
        </x:is>
      </x:c>
    </x:row>
    <x:row r="275">
      <x:c r="A275" s="12" t="inlineStr">
        <x:is>
          <x:t xml:space="preserve">SRC-PEER-INSTITUTE-FOR-THE-STUDY-OF-WAR</x:t>
        </x:is>
      </x:c>
      <x:c r="B275" s="12" t="inlineStr">
        <x:is>
          <x:t xml:space="preserve">Institute for the Study of War</x:t>
        </x:is>
      </x:c>
      <x:c r="C275" s="12" t="inlineStr">
        <x:is>
          <x:t xml:space="preserve">Peer selection and scale profile</x:t>
        </x:is>
      </x:c>
      <x:c r="D275" s="16" t="inlineStr">
        <x:is>
          <x:t xml:space="preserve">https://projects.propublica.org/nonprofits/organizations/260273675</x:t>
        </x:is>
      </x:c>
      <x:c r="E275" s="16" t="inlineStr">
        <x:is>
          <x:t xml:space="preserve">https://projects.propublica.org/nonprofits/organizations/260273675</x:t>
        </x:is>
      </x:c>
      <x:c r="F275" s="12" t="inlineStr">
        <x:is>
          <x:t xml:space="preserve">2026-08-25T16:07:55-0700</x:t>
        </x:is>
      </x:c>
      <x:c r="G275" s="16" t="inlineStr">
        <x:is>
          <x:t xml:space="preserve">sources/raw/src-peer-institute-for-the-study-of-war.txt</x:t>
        </x:is>
      </x:c>
      <x:c r="H275" s="12" t="inlineStr">
        <x:is>
          <x:t xml:space="preserve">text/plain; charset=utf-8</x:t>
        </x:is>
      </x:c>
      <x:c r="I275" s="12" t="n">
        <x:v>1083</x:v>
      </x:c>
      <x:c r="J275" s="13" t="inlineStr">
        <x:is>
          <x:t xml:space="preserve">7844cb65c4e73660003b71bf7eb11cbd14eb82d6e3645ec6858040001b094f75</x:t>
        </x:is>
      </x:c>
      <x:c r="K275" s="12" t="inlineStr">
        <x:is>
          <x:t xml:space="preserve">2024.0</x:t>
        </x:is>
      </x:c>
      <x:c r="L275" s="12" t="inlineStr">
        <x:is>
          <x:t xml:space="preserve">26-0273675</x:t>
        </x:is>
      </x:c>
      <x:c r="M275" s="12" t="n"/>
      <x:c r="N275" s="12" t="inlineStr">
        <x:is>
          <x:t xml:space="preserve">derivative</x:t>
        </x:is>
      </x:c>
      <x:c r="O275" s="13" t="inlineStr">
        <x:is>
          <x:t xml:space="preserve">Public Form 990 rendering, organization profile, or filing-derived scale record</x:t>
        </x:is>
      </x:c>
      <x:c r="P275" s="13" t="inlineStr">
        <x:is>
          <x:t xml:space="preserve">expanded_reference_set.csv and prior frozen peer profile</x:t>
        </x:is>
      </x:c>
      <x:c r="Q275" s="13" t="inlineStr">
        <x:is>
          <x:t xml:space="preserve">Selection fields frozen without using compensation; full source-native profile page not archived.</x:t>
        </x:is>
      </x:c>
    </x:row>
    <x:row r="276">
      <x:c r="A276" s="13" t="inlineStr">
        <x:is>
          <x:t xml:space="preserve">SRC-PEER-INSTITUTE-ON-TAXATION-AND-ECONOMIC-POLICY</x:t>
        </x:is>
      </x:c>
      <x:c r="B276" s="12" t="inlineStr">
        <x:is>
          <x:t xml:space="preserve">Institute on Taxation and Economic Policy</x:t>
        </x:is>
      </x:c>
      <x:c r="C276" s="12" t="inlineStr">
        <x:is>
          <x:t xml:space="preserve">Peer selection and scale profile</x:t>
        </x:is>
      </x:c>
      <x:c r="D276" s="16" t="inlineStr">
        <x:is>
          <x:t xml:space="preserve">https://projects.propublica.org/nonprofits/organizations/042688165</x:t>
        </x:is>
      </x:c>
      <x:c r="E276" s="16" t="inlineStr">
        <x:is>
          <x:t xml:space="preserve">https://projects.propublica.org/nonprofits/organizations/042688165</x:t>
        </x:is>
      </x:c>
      <x:c r="F276" s="12" t="inlineStr">
        <x:is>
          <x:t xml:space="preserve">2026-08-25T16:07:55-0700</x:t>
        </x:is>
      </x:c>
      <x:c r="G276" s="16" t="inlineStr">
        <x:is>
          <x:t xml:space="preserve">sources/raw/src-peer-institute-on-taxation-and-economic-policy.txt</x:t>
        </x:is>
      </x:c>
      <x:c r="H276" s="12" t="inlineStr">
        <x:is>
          <x:t xml:space="preserve">text/plain; charset=utf-8</x:t>
        </x:is>
      </x:c>
      <x:c r="I276" s="12" t="n">
        <x:v>1097</x:v>
      </x:c>
      <x:c r="J276" s="13" t="inlineStr">
        <x:is>
          <x:t xml:space="preserve">96f7648340ec54940f2f34f99c7551aed4e75d497000ad783f0f1d12c72f473e</x:t>
        </x:is>
      </x:c>
      <x:c r="K276" s="12" t="inlineStr">
        <x:is>
          <x:t xml:space="preserve">2025.0</x:t>
        </x:is>
      </x:c>
      <x:c r="L276" s="12" t="inlineStr">
        <x:is>
          <x:t xml:space="preserve">04-2688165</x:t>
        </x:is>
      </x:c>
      <x:c r="M276" s="12" t="n"/>
      <x:c r="N276" s="12" t="inlineStr">
        <x:is>
          <x:t xml:space="preserve">derivative</x:t>
        </x:is>
      </x:c>
      <x:c r="O276" s="13" t="inlineStr">
        <x:is>
          <x:t xml:space="preserve">Public Form 990 rendering, organization profile, or filing-derived scale record</x:t>
        </x:is>
      </x:c>
      <x:c r="P276" s="13" t="inlineStr">
        <x:is>
          <x:t xml:space="preserve">expanded_reference_set.csv and prior frozen peer profile</x:t>
        </x:is>
      </x:c>
      <x:c r="Q276" s="13" t="inlineStr">
        <x:is>
          <x:t xml:space="preserve">Selection fields frozen without using compensation; full source-native profile page not archived.</x:t>
        </x:is>
      </x:c>
    </x:row>
    <x:row r="277">
      <x:c r="A277" s="12" t="inlineStr">
        <x:is>
          <x:t xml:space="preserve">SRC-PEER-INTERNET-SECURITY-RESEARCH-GROUP</x:t>
        </x:is>
      </x:c>
      <x:c r="B277" s="12" t="inlineStr">
        <x:is>
          <x:t xml:space="preserve">Internet Security Research Group</x:t>
        </x:is>
      </x:c>
      <x:c r="C277" s="12" t="inlineStr">
        <x:is>
          <x:t xml:space="preserve">Peer selection and scale profile</x:t>
        </x:is>
      </x:c>
      <x:c r="D277" s="16" t="inlineStr">
        <x:is>
          <x:t xml:space="preserve">https://projects.propublica.org/nonprofits/organizations/463344200</x:t>
        </x:is>
      </x:c>
      <x:c r="E277" s="16" t="inlineStr">
        <x:is>
          <x:t xml:space="preserve">https://projects.propublica.org/nonprofits/organizations/463344200</x:t>
        </x:is>
      </x:c>
      <x:c r="F277" s="12" t="inlineStr">
        <x:is>
          <x:t xml:space="preserve">2026-08-25T16:07:55-0700</x:t>
        </x:is>
      </x:c>
      <x:c r="G277" s="16" t="inlineStr">
        <x:is>
          <x:t xml:space="preserve">sources/raw/src-peer-internet-security-research-group.txt</x:t>
        </x:is>
      </x:c>
      <x:c r="H277" s="12" t="inlineStr">
        <x:is>
          <x:t xml:space="preserve">text/plain; charset=utf-8</x:t>
        </x:is>
      </x:c>
      <x:c r="I277" s="12" t="n">
        <x:v>1094</x:v>
      </x:c>
      <x:c r="J277" s="13" t="inlineStr">
        <x:is>
          <x:t xml:space="preserve">b860ae41d640379d766c6bee58a9f472bd0468e778137e2858f3e45d989ba5f7</x:t>
        </x:is>
      </x:c>
      <x:c r="K277" s="12" t="inlineStr">
        <x:is>
          <x:t xml:space="preserve">2024.0</x:t>
        </x:is>
      </x:c>
      <x:c r="L277" s="12" t="inlineStr">
        <x:is>
          <x:t xml:space="preserve">46-3344200</x:t>
        </x:is>
      </x:c>
      <x:c r="M277" s="12" t="n"/>
      <x:c r="N277" s="12" t="inlineStr">
        <x:is>
          <x:t xml:space="preserve">derivative</x:t>
        </x:is>
      </x:c>
      <x:c r="O277" s="13" t="inlineStr">
        <x:is>
          <x:t xml:space="preserve">Public Form 990 rendering, organization profile, or filing-derived scale record</x:t>
        </x:is>
      </x:c>
      <x:c r="P277" s="13" t="inlineStr">
        <x:is>
          <x:t xml:space="preserve">expanded_reference_set.csv and prior frozen peer profile</x:t>
        </x:is>
      </x:c>
      <x:c r="Q277" s="13" t="inlineStr">
        <x:is>
          <x:t xml:space="preserve">Selection fields frozen without using compensation; full source-native profile page not archived.</x:t>
        </x:is>
      </x:c>
    </x:row>
    <x:row r="278">
      <x:c r="A278" s="12" t="inlineStr">
        <x:is>
          <x:t xml:space="preserve">SRC-PEER-JAIN-FAMILY-INSTITUTE</x:t>
        </x:is>
      </x:c>
      <x:c r="B278" s="12" t="inlineStr">
        <x:is>
          <x:t xml:space="preserve">Jain Family Institute</x:t>
        </x:is>
      </x:c>
      <x:c r="C278" s="12" t="inlineStr">
        <x:is>
          <x:t xml:space="preserve">Peer selection and scale profile</x:t>
        </x:is>
      </x:c>
      <x:c r="D278" s="16" t="inlineStr">
        <x:is>
          <x:t xml:space="preserve">https://projects.propublica.org/nonprofits/organizations/474407203</x:t>
        </x:is>
      </x:c>
      <x:c r="E278" s="16" t="inlineStr">
        <x:is>
          <x:t xml:space="preserve">https://projects.propublica.org/nonprofits/organizations/474407203</x:t>
        </x:is>
      </x:c>
      <x:c r="F278" s="12" t="inlineStr">
        <x:is>
          <x:t xml:space="preserve">2026-08-25T16:07:55-0700</x:t>
        </x:is>
      </x:c>
      <x:c r="G278" s="16" t="inlineStr">
        <x:is>
          <x:t xml:space="preserve">sources/raw/src-peer-jain-family-institute.txt</x:t>
        </x:is>
      </x:c>
      <x:c r="H278" s="12" t="inlineStr">
        <x:is>
          <x:t xml:space="preserve">text/plain; charset=utf-8</x:t>
        </x:is>
      </x:c>
      <x:c r="I278" s="12" t="n">
        <x:v>1033</x:v>
      </x:c>
      <x:c r="J278" s="13" t="inlineStr">
        <x:is>
          <x:t xml:space="preserve">da796014665ab132f27f0fa93f58c0fb12f35d69ed2e1d5de6fe44dc3bde718d</x:t>
        </x:is>
      </x:c>
      <x:c r="K278" s="12" t="inlineStr">
        <x:is>
          <x:t xml:space="preserve">2024.0</x:t>
        </x:is>
      </x:c>
      <x:c r="L278" s="12" t="inlineStr">
        <x:is>
          <x:t xml:space="preserve">47-4407203</x:t>
        </x:is>
      </x:c>
      <x:c r="M278" s="12" t="n"/>
      <x:c r="N278" s="12" t="inlineStr">
        <x:is>
          <x:t xml:space="preserve">derivative</x:t>
        </x:is>
      </x:c>
      <x:c r="O278" s="13" t="inlineStr">
        <x:is>
          <x:t xml:space="preserve">Public Form 990 rendering, organization profile, or filing-derived scale record</x:t>
        </x:is>
      </x:c>
      <x:c r="P278" s="13" t="inlineStr">
        <x:is>
          <x:t xml:space="preserve">expanded_reference_set.csv and prior frozen peer profile</x:t>
        </x:is>
      </x:c>
      <x:c r="Q278" s="13" t="inlineStr">
        <x:is>
          <x:t xml:space="preserve">Selection fields frozen without using compensation; full source-native profile page not archived.</x:t>
        </x:is>
      </x:c>
    </x:row>
    <x:row r="279">
      <x:c r="A279" s="12" t="inlineStr">
        <x:is>
          <x:t xml:space="preserve">SRC-PEER-LAST-MILE-HEALTH</x:t>
        </x:is>
      </x:c>
      <x:c r="B279" s="12" t="inlineStr">
        <x:is>
          <x:t xml:space="preserve">Last Mile Health</x:t>
        </x:is>
      </x:c>
      <x:c r="C279" s="12" t="inlineStr">
        <x:is>
          <x:t xml:space="preserve">Peer selection and scale profile</x:t>
        </x:is>
      </x:c>
      <x:c r="D279" s="16" t="inlineStr">
        <x:is>
          <x:t xml:space="preserve">https://www.causeiq.com/organizations/last-mile-health%2C261401736/</x:t>
        </x:is>
      </x:c>
      <x:c r="E279" s="16" t="inlineStr">
        <x:is>
          <x:t xml:space="preserve">https://www.causeiq.com/organizations/last-mile-health%2C261401736/</x:t>
        </x:is>
      </x:c>
      <x:c r="F279" s="12" t="inlineStr">
        <x:is>
          <x:t xml:space="preserve">2026-08-25T16:07:55-0700</x:t>
        </x:is>
      </x:c>
      <x:c r="G279" s="17" t="inlineStr">
        <x:is>
          <x:t xml:space="preserve">sources/raw/src-peer-last-mile-health.txt</x:t>
        </x:is>
      </x:c>
      <x:c r="H279" s="12" t="inlineStr">
        <x:is>
          <x:t xml:space="preserve">text/plain; charset=utf-8</x:t>
        </x:is>
      </x:c>
      <x:c r="I279" s="12" t="n">
        <x:v>1498</x:v>
      </x:c>
      <x:c r="J279" s="13" t="inlineStr">
        <x:is>
          <x:t xml:space="preserve">570806dbb22436f4936e15233bf1e1f57249f45deb81879ac007630f48f97404</x:t>
        </x:is>
      </x:c>
      <x:c r="K279" s="12" t="inlineStr">
        <x:is>
          <x:t xml:space="preserve">2024.0</x:t>
        </x:is>
      </x:c>
      <x:c r="L279" s="12" t="inlineStr">
        <x:is>
          <x:t xml:space="preserve">26-1401736</x:t>
        </x:is>
      </x:c>
      <x:c r="M279" s="12" t="n"/>
      <x:c r="N279" s="12" t="inlineStr">
        <x:is>
          <x:t xml:space="preserve">derivative</x:t>
        </x:is>
      </x:c>
      <x:c r="O279" s="13" t="inlineStr">
        <x:is>
          <x:t xml:space="preserve">Public Form 990 rendering, organization profile, or filing-derived scale record</x:t>
        </x:is>
      </x:c>
      <x:c r="P279" s="13" t="inlineStr">
        <x:is>
          <x:t xml:space="preserve">expanded_reference_set.csv and prior frozen peer profile</x:t>
        </x:is>
      </x:c>
      <x:c r="Q279" s="13" t="inlineStr">
        <x:is>
          <x:t xml:space="preserve">Selection fields frozen without using compensation; full source-native profile page not archived.</x:t>
        </x:is>
      </x:c>
    </x:row>
    <x:row r="280">
      <x:c r="A280" s="12" t="inlineStr">
        <x:is>
          <x:t xml:space="preserve">SRC-PEER-LEARNING-POLICY-INSTITUTE</x:t>
        </x:is>
      </x:c>
      <x:c r="B280" s="12" t="inlineStr">
        <x:is>
          <x:t xml:space="preserve">Learning Policy Institute</x:t>
        </x:is>
      </x:c>
      <x:c r="C280" s="12" t="inlineStr">
        <x:is>
          <x:t xml:space="preserve">Peer selection and scale profile</x:t>
        </x:is>
      </x:c>
      <x:c r="D280" s="16" t="inlineStr">
        <x:is>
          <x:t xml:space="preserve">https://projects.propublica.org/nonprofits/organizations/472772048</x:t>
        </x:is>
      </x:c>
      <x:c r="E280" s="16" t="inlineStr">
        <x:is>
          <x:t xml:space="preserve">https://projects.propublica.org/nonprofits/organizations/472772048</x:t>
        </x:is>
      </x:c>
      <x:c r="F280" s="12" t="inlineStr">
        <x:is>
          <x:t xml:space="preserve">2026-08-25T16:07:55-0700</x:t>
        </x:is>
      </x:c>
      <x:c r="G280" s="16" t="inlineStr">
        <x:is>
          <x:t xml:space="preserve">sources/raw/src-peer-learning-policy-institute.txt</x:t>
        </x:is>
      </x:c>
      <x:c r="H280" s="12" t="inlineStr">
        <x:is>
          <x:t xml:space="preserve">text/plain; charset=utf-8</x:t>
        </x:is>
      </x:c>
      <x:c r="I280" s="12" t="n">
        <x:v>1042</x:v>
      </x:c>
      <x:c r="J280" s="13" t="inlineStr">
        <x:is>
          <x:t xml:space="preserve">63c90d126bd3a9f4c1a72d3d3b68f72f6d8e8a1cf50683f7fb6f29ab30c18bd3</x:t>
        </x:is>
      </x:c>
      <x:c r="K280" s="12" t="inlineStr">
        <x:is>
          <x:t xml:space="preserve">2024.0</x:t>
        </x:is>
      </x:c>
      <x:c r="L280" s="12" t="inlineStr">
        <x:is>
          <x:t xml:space="preserve">47-2772048</x:t>
        </x:is>
      </x:c>
      <x:c r="M280" s="12" t="n"/>
      <x:c r="N280" s="12" t="inlineStr">
        <x:is>
          <x:t xml:space="preserve">derivative</x:t>
        </x:is>
      </x:c>
      <x:c r="O280" s="13" t="inlineStr">
        <x:is>
          <x:t xml:space="preserve">Public Form 990 rendering, organization profile, or filing-derived scale record</x:t>
        </x:is>
      </x:c>
      <x:c r="P280" s="13" t="inlineStr">
        <x:is>
          <x:t xml:space="preserve">expanded_reference_set.csv and prior frozen peer profile</x:t>
        </x:is>
      </x:c>
      <x:c r="Q280" s="13" t="inlineStr">
        <x:is>
          <x:t xml:space="preserve">Selection fields frozen without using compensation; full source-native profile page not archived.</x:t>
        </x:is>
      </x:c>
    </x:row>
    <x:row r="281">
      <x:c r="A281" s="12" t="inlineStr">
        <x:is>
          <x:t xml:space="preserve">SRC-PEER-LEGAL-PRIORITIES-PROJECT</x:t>
        </x:is>
      </x:c>
      <x:c r="B281" s="12" t="inlineStr">
        <x:is>
          <x:t xml:space="preserve">Legal Priorities Project</x:t>
        </x:is>
      </x:c>
      <x:c r="C281" s="12" t="inlineStr">
        <x:is>
          <x:t xml:space="preserve">Peer selection and scale profile</x:t>
        </x:is>
      </x:c>
      <x:c r="D281" s="16" t="inlineStr">
        <x:is>
          <x:t xml:space="preserve">https://www.causeiq.com/organizations/legal-priorities%2C851024198/</x:t>
        </x:is>
      </x:c>
      <x:c r="E281" s="16" t="inlineStr">
        <x:is>
          <x:t xml:space="preserve">https://www.causeiq.com/organizations/legal-priorities%2C851024198/</x:t>
        </x:is>
      </x:c>
      <x:c r="F281" s="12" t="inlineStr">
        <x:is>
          <x:t xml:space="preserve">2026-08-25T16:07:55-0700</x:t>
        </x:is>
      </x:c>
      <x:c r="G281" s="16" t="inlineStr">
        <x:is>
          <x:t xml:space="preserve">sources/raw/src-peer-legal-priorities-project.txt</x:t>
        </x:is>
      </x:c>
      <x:c r="H281" s="12" t="inlineStr">
        <x:is>
          <x:t xml:space="preserve">text/plain; charset=utf-8</x:t>
        </x:is>
      </x:c>
      <x:c r="I281" s="12" t="n">
        <x:v>1446</x:v>
      </x:c>
      <x:c r="J281" s="13" t="inlineStr">
        <x:is>
          <x:t xml:space="preserve">63c1930e291aef557fc38f5a693ea598694789cb584564940141433cd06f06da</x:t>
        </x:is>
      </x:c>
      <x:c r="K281" s="12" t="n"/>
      <x:c r="L281" s="12" t="inlineStr">
        <x:is>
          <x:t xml:space="preserve">85-1024198</x:t>
        </x:is>
      </x:c>
      <x:c r="M281" s="12" t="n"/>
      <x:c r="N281" s="12" t="inlineStr">
        <x:is>
          <x:t xml:space="preserve">derivative</x:t>
        </x:is>
      </x:c>
      <x:c r="O281" s="13" t="inlineStr">
        <x:is>
          <x:t xml:space="preserve">Public Form 990 rendering, organization profile, or filing-derived scale record</x:t>
        </x:is>
      </x:c>
      <x:c r="P281" s="13" t="inlineStr">
        <x:is>
          <x:t xml:space="preserve">expanded_reference_set.csv and prior frozen peer profile</x:t>
        </x:is>
      </x:c>
      <x:c r="Q281" s="13" t="inlineStr">
        <x:is>
          <x:t xml:space="preserve">Selection fields frozen without using compensation; full source-native profile page not archived.</x:t>
        </x:is>
      </x:c>
    </x:row>
    <x:row r="282">
      <x:c r="A282" s="12" t="inlineStr">
        <x:is>
          <x:t xml:space="preserve">SRC-PEER-LIVING-GOODS</x:t>
        </x:is>
      </x:c>
      <x:c r="B282" s="12" t="inlineStr">
        <x:is>
          <x:t xml:space="preserve">Living Goods</x:t>
        </x:is>
      </x:c>
      <x:c r="C282" s="12" t="inlineStr">
        <x:is>
          <x:t xml:space="preserve">Peer selection and scale profile</x:t>
        </x:is>
      </x:c>
      <x:c r="D282" s="16" t="inlineStr">
        <x:is>
          <x:t xml:space="preserve">https://www.causeiq.com/organizations/living-goods%2C205010527/</x:t>
        </x:is>
      </x:c>
      <x:c r="E282" s="16" t="inlineStr">
        <x:is>
          <x:t xml:space="preserve">https://www.causeiq.com/organizations/living-goods%2C205010527/</x:t>
        </x:is>
      </x:c>
      <x:c r="F282" s="12" t="inlineStr">
        <x:is>
          <x:t xml:space="preserve">2026-08-25T16:07:55-0700</x:t>
        </x:is>
      </x:c>
      <x:c r="G282" s="17" t="inlineStr">
        <x:is>
          <x:t xml:space="preserve">sources/raw/src-peer-living-goods.txt</x:t>
        </x:is>
      </x:c>
      <x:c r="H282" s="12" t="inlineStr">
        <x:is>
          <x:t xml:space="preserve">text/plain; charset=utf-8</x:t>
        </x:is>
      </x:c>
      <x:c r="I282" s="12" t="n">
        <x:v>1481</x:v>
      </x:c>
      <x:c r="J282" s="13" t="inlineStr">
        <x:is>
          <x:t xml:space="preserve">202f67589ddcbaa9776ba4763a3ac86062065dacf58748605f55fb4624a3d516</x:t>
        </x:is>
      </x:c>
      <x:c r="K282" s="12" t="inlineStr">
        <x:is>
          <x:t xml:space="preserve">2023.0</x:t>
        </x:is>
      </x:c>
      <x:c r="L282" s="12" t="inlineStr">
        <x:is>
          <x:t xml:space="preserve">20-5010527</x:t>
        </x:is>
      </x:c>
      <x:c r="M282" s="12" t="n"/>
      <x:c r="N282" s="12" t="inlineStr">
        <x:is>
          <x:t xml:space="preserve">derivative</x:t>
        </x:is>
      </x:c>
      <x:c r="O282" s="13" t="inlineStr">
        <x:is>
          <x:t xml:space="preserve">Public Form 990 rendering, organization profile, or filing-derived scale record</x:t>
        </x:is>
      </x:c>
      <x:c r="P282" s="13" t="inlineStr">
        <x:is>
          <x:t xml:space="preserve">expanded_reference_set.csv and prior frozen peer profile</x:t>
        </x:is>
      </x:c>
      <x:c r="Q282" s="13" t="inlineStr">
        <x:is>
          <x:t xml:space="preserve">Selection fields frozen without using compensation; full source-native profile page not archived.</x:t>
        </x:is>
      </x:c>
    </x:row>
    <x:row r="283">
      <x:c r="A283" s="12" t="inlineStr">
        <x:is>
          <x:t xml:space="preserve">SRC-PEER-METR</x:t>
        </x:is>
      </x:c>
      <x:c r="B283" s="12" t="inlineStr">
        <x:is>
          <x:t xml:space="preserve">METR</x:t>
        </x:is>
      </x:c>
      <x:c r="C283" s="12" t="inlineStr">
        <x:is>
          <x:t xml:space="preserve">Peer selection and scale profile</x:t>
        </x:is>
      </x:c>
      <x:c r="D283" s="16" t="inlineStr">
        <x:is>
          <x:t xml:space="preserve">https://www.causeiq.com/organizations/model-evaluation-and-threat-research%2C991219864/</x:t>
        </x:is>
      </x:c>
      <x:c r="E283" s="16" t="inlineStr">
        <x:is>
          <x:t xml:space="preserve">https://www.causeiq.com/organizations/model-evaluation-and-threat-research%2C991219864/</x:t>
        </x:is>
      </x:c>
      <x:c r="F283" s="12" t="inlineStr">
        <x:is>
          <x:t xml:space="preserve">2026-08-25T16:07:55-0700</x:t>
        </x:is>
      </x:c>
      <x:c r="G283" s="17" t="inlineStr">
        <x:is>
          <x:t xml:space="preserve">sources/raw/src-peer-metr.txt</x:t>
        </x:is>
      </x:c>
      <x:c r="H283" s="12" t="inlineStr">
        <x:is>
          <x:t xml:space="preserve">text/plain; charset=utf-8</x:t>
        </x:is>
      </x:c>
      <x:c r="I283" s="12" t="n">
        <x:v>1314</x:v>
      </x:c>
      <x:c r="J283" s="13" t="inlineStr">
        <x:is>
          <x:t xml:space="preserve">8d8d1bf387793866ab84be17f7e6ed3bf58c3a9144c274b6683cda641e1de792</x:t>
        </x:is>
      </x:c>
      <x:c r="K283" s="12" t="n"/>
      <x:c r="L283" s="12" t="inlineStr">
        <x:is>
          <x:t xml:space="preserve">99-1219864</x:t>
        </x:is>
      </x:c>
      <x:c r="M283" s="12" t="n"/>
      <x:c r="N283" s="12" t="inlineStr">
        <x:is>
          <x:t xml:space="preserve">derivative</x:t>
        </x:is>
      </x:c>
      <x:c r="O283" s="13" t="inlineStr">
        <x:is>
          <x:t xml:space="preserve">Public Form 990 rendering, organization profile, or filing-derived scale record</x:t>
        </x:is>
      </x:c>
      <x:c r="P283" s="13" t="inlineStr">
        <x:is>
          <x:t xml:space="preserve">expanded_reference_set.csv and prior frozen peer profile</x:t>
        </x:is>
      </x:c>
      <x:c r="Q283" s="13" t="inlineStr">
        <x:is>
          <x:t xml:space="preserve">Selection fields frozen without using compensation; full source-native profile page not archived.</x:t>
        </x:is>
      </x:c>
    </x:row>
    <x:row r="284">
      <x:c r="A284" s="12" t="inlineStr">
        <x:is>
          <x:t xml:space="preserve">SRC-PEER-MERCY-FOR-ANIMALS</x:t>
        </x:is>
      </x:c>
      <x:c r="B284" s="12" t="inlineStr">
        <x:is>
          <x:t xml:space="preserve">Mercy For Animals</x:t>
        </x:is>
      </x:c>
      <x:c r="C284" s="12" t="inlineStr">
        <x:is>
          <x:t xml:space="preserve">Peer selection and scale profile</x:t>
        </x:is>
      </x:c>
      <x:c r="D284" s="16" t="inlineStr">
        <x:is>
          <x:t xml:space="preserve">https://www.causeiq.com/organizations/mercy-for-animals%2C542076145/</x:t>
        </x:is>
      </x:c>
      <x:c r="E284" s="16" t="inlineStr">
        <x:is>
          <x:t xml:space="preserve">https://www.causeiq.com/organizations/mercy-for-animals%2C542076145/</x:t>
        </x:is>
      </x:c>
      <x:c r="F284" s="12" t="inlineStr">
        <x:is>
          <x:t xml:space="preserve">2026-08-25T16:07:55-0700</x:t>
        </x:is>
      </x:c>
      <x:c r="G284" s="17" t="inlineStr">
        <x:is>
          <x:t xml:space="preserve">sources/raw/src-peer-mercy-for-animals.txt</x:t>
        </x:is>
      </x:c>
      <x:c r="H284" s="12" t="inlineStr">
        <x:is>
          <x:t xml:space="preserve">text/plain; charset=utf-8</x:t>
        </x:is>
      </x:c>
      <x:c r="I284" s="12" t="n">
        <x:v>1477</x:v>
      </x:c>
      <x:c r="J284" s="13" t="inlineStr">
        <x:is>
          <x:t xml:space="preserve">7a2d0a393a51de25f7372cfdc02837d8de82be50ae3ba7d3c423fe0ac2b39588</x:t>
        </x:is>
      </x:c>
      <x:c r="K284" s="12" t="inlineStr">
        <x:is>
          <x:t xml:space="preserve">2024.0</x:t>
        </x:is>
      </x:c>
      <x:c r="L284" s="12" t="inlineStr">
        <x:is>
          <x:t xml:space="preserve">54-2076145</x:t>
        </x:is>
      </x:c>
      <x:c r="M284" s="12" t="n"/>
      <x:c r="N284" s="12" t="inlineStr">
        <x:is>
          <x:t xml:space="preserve">derivative</x:t>
        </x:is>
      </x:c>
      <x:c r="O284" s="13" t="inlineStr">
        <x:is>
          <x:t xml:space="preserve">Public Form 990 rendering, organization profile, or filing-derived scale record</x:t>
        </x:is>
      </x:c>
      <x:c r="P284" s="13" t="inlineStr">
        <x:is>
          <x:t xml:space="preserve">expanded_reference_set.csv and prior frozen peer profile</x:t>
        </x:is>
      </x:c>
      <x:c r="Q284" s="13" t="inlineStr">
        <x:is>
          <x:t xml:space="preserve">Selection fields frozen without using compensation; full source-native profile page not archived.</x:t>
        </x:is>
      </x:c>
    </x:row>
    <x:row r="285">
      <x:c r="A285" s="12" t="inlineStr">
        <x:is>
          <x:t xml:space="preserve">SRC-PEER-MIGRATION-POLICY-INSTITUTE</x:t>
        </x:is>
      </x:c>
      <x:c r="B285" s="12" t="inlineStr">
        <x:is>
          <x:t xml:space="preserve">Migration Policy Institute</x:t>
        </x:is>
      </x:c>
      <x:c r="C285" s="12" t="inlineStr">
        <x:is>
          <x:t xml:space="preserve">Peer selection and scale profile</x:t>
        </x:is>
      </x:c>
      <x:c r="D285" s="16" t="inlineStr">
        <x:is>
          <x:t xml:space="preserve">https://www.causeiq.com/organizations/migration-policy-institute%2C522279789/</x:t>
        </x:is>
      </x:c>
      <x:c r="E285" s="16" t="inlineStr">
        <x:is>
          <x:t xml:space="preserve">https://www.causeiq.com/organizations/migration-policy-institute%2C522279789/</x:t>
        </x:is>
      </x:c>
      <x:c r="F285" s="12" t="inlineStr">
        <x:is>
          <x:t xml:space="preserve">2026-08-25T16:07:55-0700</x:t>
        </x:is>
      </x:c>
      <x:c r="G285" s="16" t="inlineStr">
        <x:is>
          <x:t xml:space="preserve">sources/raw/src-peer-migration-policy-institute.txt</x:t>
        </x:is>
      </x:c>
      <x:c r="H285" s="12" t="inlineStr">
        <x:is>
          <x:t xml:space="preserve">text/plain; charset=utf-8</x:t>
        </x:is>
      </x:c>
      <x:c r="I285" s="12" t="n">
        <x:v>1487</x:v>
      </x:c>
      <x:c r="J285" s="13" t="inlineStr">
        <x:is>
          <x:t xml:space="preserve">8802c6e06dbef335b8b8c771eb5ec6d45f54a70761f38d233fe61ba30eab3e00</x:t>
        </x:is>
      </x:c>
      <x:c r="K285" s="12" t="inlineStr">
        <x:is>
          <x:t xml:space="preserve">2024.0</x:t>
        </x:is>
      </x:c>
      <x:c r="L285" s="12" t="inlineStr">
        <x:is>
          <x:t xml:space="preserve">52-2279789</x:t>
        </x:is>
      </x:c>
      <x:c r="M285" s="12" t="n"/>
      <x:c r="N285" s="12" t="inlineStr">
        <x:is>
          <x:t xml:space="preserve">derivative</x:t>
        </x:is>
      </x:c>
      <x:c r="O285" s="13" t="inlineStr">
        <x:is>
          <x:t xml:space="preserve">Public Form 990 rendering, organization profile, or filing-derived scale record</x:t>
        </x:is>
      </x:c>
      <x:c r="P285" s="13" t="inlineStr">
        <x:is>
          <x:t xml:space="preserve">expanded_reference_set.csv and prior frozen peer profile</x:t>
        </x:is>
      </x:c>
      <x:c r="Q285" s="13" t="inlineStr">
        <x:is>
          <x:t xml:space="preserve">Selection fields frozen without using compensation; full source-native profile page not archived.</x:t>
        </x:is>
      </x:c>
    </x:row>
    <x:row r="286">
      <x:c r="A286" s="12" t="inlineStr">
        <x:is>
          <x:t xml:space="preserve">SRC-PEER-MUCKROCK-FOUNDATION</x:t>
        </x:is>
      </x:c>
      <x:c r="B286" s="12" t="inlineStr">
        <x:is>
          <x:t xml:space="preserve">MuckRock Foundation</x:t>
        </x:is>
      </x:c>
      <x:c r="C286" s="12" t="inlineStr">
        <x:is>
          <x:t xml:space="preserve">Peer selection and scale profile</x:t>
        </x:is>
      </x:c>
      <x:c r="D286" s="16" t="inlineStr">
        <x:is>
          <x:t xml:space="preserve">https://projects.propublica.org/nonprofits/organizations/811485228</x:t>
        </x:is>
      </x:c>
      <x:c r="E286" s="16" t="inlineStr">
        <x:is>
          <x:t xml:space="preserve">https://projects.propublica.org/nonprofits/organizations/811485228</x:t>
        </x:is>
      </x:c>
      <x:c r="F286" s="12" t="inlineStr">
        <x:is>
          <x:t xml:space="preserve">2026-08-25T16:07:55-0700</x:t>
        </x:is>
      </x:c>
      <x:c r="G286" s="17" t="inlineStr">
        <x:is>
          <x:t xml:space="preserve">sources/raw/src-peer-muckrock-foundation.txt</x:t>
        </x:is>
      </x:c>
      <x:c r="H286" s="12" t="inlineStr">
        <x:is>
          <x:t xml:space="preserve">text/plain; charset=utf-8</x:t>
        </x:is>
      </x:c>
      <x:c r="I286" s="12" t="n">
        <x:v>1049</x:v>
      </x:c>
      <x:c r="J286" s="13" t="inlineStr">
        <x:is>
          <x:t xml:space="preserve">3e1ece234b16aa9cd0e4738af31b2fbb2165707197299070cd0bd480956761df</x:t>
        </x:is>
      </x:c>
      <x:c r="K286" s="12" t="inlineStr">
        <x:is>
          <x:t xml:space="preserve">2023.0</x:t>
        </x:is>
      </x:c>
      <x:c r="L286" s="12" t="inlineStr">
        <x:is>
          <x:t xml:space="preserve">81-1485228</x:t>
        </x:is>
      </x:c>
      <x:c r="M286" s="12" t="n"/>
      <x:c r="N286" s="12" t="inlineStr">
        <x:is>
          <x:t xml:space="preserve">derivative</x:t>
        </x:is>
      </x:c>
      <x:c r="O286" s="13" t="inlineStr">
        <x:is>
          <x:t xml:space="preserve">Public Form 990 rendering, organization profile, or filing-derived scale record</x:t>
        </x:is>
      </x:c>
      <x:c r="P286" s="13" t="inlineStr">
        <x:is>
          <x:t xml:space="preserve">expanded_reference_set.csv and prior frozen peer profile</x:t>
        </x:is>
      </x:c>
      <x:c r="Q286" s="13" t="inlineStr">
        <x:is>
          <x:t xml:space="preserve">Selection fields frozen without using compensation; full source-native profile page not archived.</x:t>
        </x:is>
      </x:c>
    </x:row>
    <x:row r="287">
      <x:c r="A287" s="13" t="inlineStr">
        <x:is>
          <x:t xml:space="preserve">SRC-PEER-NATIONAL-ACADEMY-FOR-STATE-HEALTH-POLICY</x:t>
        </x:is>
      </x:c>
      <x:c r="B287" s="12" t="inlineStr">
        <x:is>
          <x:t xml:space="preserve">National Academy for State Health Policy</x:t>
        </x:is>
      </x:c>
      <x:c r="C287" s="12" t="inlineStr">
        <x:is>
          <x:t xml:space="preserve">Peer selection and scale profile</x:t>
        </x:is>
      </x:c>
      <x:c r="D287" s="16" t="inlineStr">
        <x:is>
          <x:t xml:space="preserve">https://projects.propublica.org/nonprofits/organizations/521576801</x:t>
        </x:is>
      </x:c>
      <x:c r="E287" s="16" t="inlineStr">
        <x:is>
          <x:t xml:space="preserve">https://projects.propublica.org/nonprofits/organizations/521576801</x:t>
        </x:is>
      </x:c>
      <x:c r="F287" s="12" t="inlineStr">
        <x:is>
          <x:t xml:space="preserve">2026-08-25T16:07:55-0700</x:t>
        </x:is>
      </x:c>
      <x:c r="G287" s="16" t="inlineStr">
        <x:is>
          <x:t xml:space="preserve">sources/raw/src-peer-national-academy-for-state-health-policy.txt</x:t>
        </x:is>
      </x:c>
      <x:c r="H287" s="12" t="inlineStr">
        <x:is>
          <x:t xml:space="preserve">text/plain; charset=utf-8</x:t>
        </x:is>
      </x:c>
      <x:c r="I287" s="12" t="n">
        <x:v>1080</x:v>
      </x:c>
      <x:c r="J287" s="13" t="inlineStr">
        <x:is>
          <x:t xml:space="preserve">54138055f81e3f312349276524d848005b3f261544b414886372fec765159759</x:t>
        </x:is>
      </x:c>
      <x:c r="K287" s="12" t="inlineStr">
        <x:is>
          <x:t xml:space="preserve">2024.0</x:t>
        </x:is>
      </x:c>
      <x:c r="L287" s="12" t="inlineStr">
        <x:is>
          <x:t xml:space="preserve">52-1576801</x:t>
        </x:is>
      </x:c>
      <x:c r="M287" s="12" t="n"/>
      <x:c r="N287" s="12" t="inlineStr">
        <x:is>
          <x:t xml:space="preserve">derivative</x:t>
        </x:is>
      </x:c>
      <x:c r="O287" s="13" t="inlineStr">
        <x:is>
          <x:t xml:space="preserve">Public Form 990 rendering, organization profile, or filing-derived scale record</x:t>
        </x:is>
      </x:c>
      <x:c r="P287" s="13" t="inlineStr">
        <x:is>
          <x:t xml:space="preserve">expanded_reference_set.csv and prior frozen peer profile</x:t>
        </x:is>
      </x:c>
      <x:c r="Q287" s="13" t="inlineStr">
        <x:is>
          <x:t xml:space="preserve">Selection fields frozen without using compensation; full source-native profile page not archived.</x:t>
        </x:is>
      </x:c>
    </x:row>
    <x:row r="288">
      <x:c r="A288" s="13" t="inlineStr">
        <x:is>
          <x:t xml:space="preserve">SRC-PEER-NATIONAL-COMMITTEE-FOR-RESPONSIVE-PHILANTHROPY</x:t>
        </x:is>
      </x:c>
      <x:c r="B288" s="13" t="inlineStr">
        <x:is>
          <x:t xml:space="preserve">National Committee for Responsive Philanthropy</x:t>
        </x:is>
      </x:c>
      <x:c r="C288" s="12" t="inlineStr">
        <x:is>
          <x:t xml:space="preserve">Peer selection and scale profile</x:t>
        </x:is>
      </x:c>
      <x:c r="D288" s="16" t="inlineStr">
        <x:is>
          <x:t xml:space="preserve">https://projects.propublica.org/nonprofits/organizations/521072749</x:t>
        </x:is>
      </x:c>
      <x:c r="E288" s="16" t="inlineStr">
        <x:is>
          <x:t xml:space="preserve">https://projects.propublica.org/nonprofits/organizations/521072749</x:t>
        </x:is>
      </x:c>
      <x:c r="F288" s="12" t="inlineStr">
        <x:is>
          <x:t xml:space="preserve">2026-08-25T16:07:55-0700</x:t>
        </x:is>
      </x:c>
      <x:c r="G288" s="16" t="inlineStr">
        <x:is>
          <x:t xml:space="preserve">sources/raw/src-peer-national-committee-for-responsive-philanthropy.txt</x:t>
        </x:is>
      </x:c>
      <x:c r="H288" s="12" t="inlineStr">
        <x:is>
          <x:t xml:space="preserve">text/plain; charset=utf-8</x:t>
        </x:is>
      </x:c>
      <x:c r="I288" s="12" t="n">
        <x:v>1514</x:v>
      </x:c>
      <x:c r="J288" s="13" t="inlineStr">
        <x:is>
          <x:t xml:space="preserve">12f55e1d275cae4bba2254f6c3f99dd58d11b976344033f2578891a5718559e4</x:t>
        </x:is>
      </x:c>
      <x:c r="K288" s="12" t="inlineStr">
        <x:is>
          <x:t xml:space="preserve">2024.0</x:t>
        </x:is>
      </x:c>
      <x:c r="L288" s="12" t="inlineStr">
        <x:is>
          <x:t xml:space="preserve">52-1072749</x:t>
        </x:is>
      </x:c>
      <x:c r="M288" s="12" t="n"/>
      <x:c r="N288" s="12" t="inlineStr">
        <x:is>
          <x:t xml:space="preserve">derivative</x:t>
        </x:is>
      </x:c>
      <x:c r="O288" s="13" t="inlineStr">
        <x:is>
          <x:t xml:space="preserve">Public Form 990 rendering, organization profile, or filing-derived scale record</x:t>
        </x:is>
      </x:c>
      <x:c r="P288" s="13" t="inlineStr">
        <x:is>
          <x:t xml:space="preserve">expanded_reference_set.csv and prior frozen peer profile</x:t>
        </x:is>
      </x:c>
      <x:c r="Q288" s="13" t="inlineStr">
        <x:is>
          <x:t xml:space="preserve">Selection fields frozen without using compensation; full source-native profile page not archived.</x:t>
        </x:is>
      </x:c>
    </x:row>
    <x:row r="289">
      <x:c r="A289" s="12" t="inlineStr">
        <x:is>
          <x:t xml:space="preserve">SRC-PEER-NATIONAL-EMPLOYMENT-LAW-PROJECT</x:t>
        </x:is>
      </x:c>
      <x:c r="B289" s="12" t="inlineStr">
        <x:is>
          <x:t xml:space="preserve">National Employment Law Project</x:t>
        </x:is>
      </x:c>
      <x:c r="C289" s="12" t="inlineStr">
        <x:is>
          <x:t xml:space="preserve">Peer selection and scale profile</x:t>
        </x:is>
      </x:c>
      <x:c r="D289" s="16" t="inlineStr">
        <x:is>
          <x:t xml:space="preserve">https://projects.propublica.org/nonprofits/organizations/132758558</x:t>
        </x:is>
      </x:c>
      <x:c r="E289" s="16" t="inlineStr">
        <x:is>
          <x:t xml:space="preserve">https://projects.propublica.org/nonprofits/organizations/132758558</x:t>
        </x:is>
      </x:c>
      <x:c r="F289" s="12" t="inlineStr">
        <x:is>
          <x:t xml:space="preserve">2026-08-25T16:07:55-0700</x:t>
        </x:is>
      </x:c>
      <x:c r="G289" s="16" t="inlineStr">
        <x:is>
          <x:t xml:space="preserve">sources/raw/src-peer-national-employment-law-project.txt</x:t>
        </x:is>
      </x:c>
      <x:c r="H289" s="12" t="inlineStr">
        <x:is>
          <x:t xml:space="preserve">text/plain; charset=utf-8</x:t>
        </x:is>
      </x:c>
      <x:c r="I289" s="12" t="n">
        <x:v>1084</x:v>
      </x:c>
      <x:c r="J289" s="13" t="inlineStr">
        <x:is>
          <x:t xml:space="preserve">c3ba2ec3b46f4b3e9fc6fef3b33fd3f77f6a57a140c9316d72cb61e911f55f33</x:t>
        </x:is>
      </x:c>
      <x:c r="K289" s="12" t="inlineStr">
        <x:is>
          <x:t xml:space="preserve">2024.0</x:t>
        </x:is>
      </x:c>
      <x:c r="L289" s="12" t="inlineStr">
        <x:is>
          <x:t xml:space="preserve">13-2758558</x:t>
        </x:is>
      </x:c>
      <x:c r="M289" s="12" t="n"/>
      <x:c r="N289" s="12" t="inlineStr">
        <x:is>
          <x:t xml:space="preserve">derivative</x:t>
        </x:is>
      </x:c>
      <x:c r="O289" s="13" t="inlineStr">
        <x:is>
          <x:t xml:space="preserve">Public Form 990 rendering, organization profile, or filing-derived scale record</x:t>
        </x:is>
      </x:c>
      <x:c r="P289" s="13" t="inlineStr">
        <x:is>
          <x:t xml:space="preserve">expanded_reference_set.csv and prior frozen peer profile</x:t>
        </x:is>
      </x:c>
      <x:c r="Q289" s="13" t="inlineStr">
        <x:is>
          <x:t xml:space="preserve">Selection fields frozen without using compensation; full source-native profile page not archived.</x:t>
        </x:is>
      </x:c>
    </x:row>
    <x:row r="290">
      <x:c r="A290" s="12" t="inlineStr">
        <x:is>
          <x:t xml:space="preserve">SRC-PEER-NEW-AMERICA</x:t>
        </x:is>
      </x:c>
      <x:c r="B290" s="12" t="inlineStr">
        <x:is>
          <x:t xml:space="preserve">New America</x:t>
        </x:is>
      </x:c>
      <x:c r="C290" s="12" t="inlineStr">
        <x:is>
          <x:t xml:space="preserve">Peer selection and scale profile</x:t>
        </x:is>
      </x:c>
      <x:c r="D290" s="16" t="inlineStr">
        <x:is>
          <x:t xml:space="preserve">https://projects.propublica.org/nonprofits/organizations/522096845</x:t>
        </x:is>
      </x:c>
      <x:c r="E290" s="16" t="inlineStr">
        <x:is>
          <x:t xml:space="preserve">https://projects.propublica.org/nonprofits/organizations/522096845</x:t>
        </x:is>
      </x:c>
      <x:c r="F290" s="12" t="inlineStr">
        <x:is>
          <x:t xml:space="preserve">2026-08-25T16:07:55-0700</x:t>
        </x:is>
      </x:c>
      <x:c r="G290" s="17" t="inlineStr">
        <x:is>
          <x:t xml:space="preserve">sources/raw/src-peer-new-america.txt</x:t>
        </x:is>
      </x:c>
      <x:c r="H290" s="12" t="inlineStr">
        <x:is>
          <x:t xml:space="preserve">text/plain; charset=utf-8</x:t>
        </x:is>
      </x:c>
      <x:c r="I290" s="12" t="n">
        <x:v>1056</x:v>
      </x:c>
      <x:c r="J290" s="13" t="inlineStr">
        <x:is>
          <x:t xml:space="preserve">b01f58402c4a0226671b672158f55628171a8b5b712ad46c159ad5e7f03e0547</x:t>
        </x:is>
      </x:c>
      <x:c r="K290" s="12" t="inlineStr">
        <x:is>
          <x:t xml:space="preserve">2024.0</x:t>
        </x:is>
      </x:c>
      <x:c r="L290" s="12" t="inlineStr">
        <x:is>
          <x:t xml:space="preserve">52-2096845</x:t>
        </x:is>
      </x:c>
      <x:c r="M290" s="12" t="n"/>
      <x:c r="N290" s="12" t="inlineStr">
        <x:is>
          <x:t xml:space="preserve">derivative</x:t>
        </x:is>
      </x:c>
      <x:c r="O290" s="13" t="inlineStr">
        <x:is>
          <x:t xml:space="preserve">Public Form 990 rendering, organization profile, or filing-derived scale record</x:t>
        </x:is>
      </x:c>
      <x:c r="P290" s="13" t="inlineStr">
        <x:is>
          <x:t xml:space="preserve">expanded_reference_set.csv and prior frozen peer profile</x:t>
        </x:is>
      </x:c>
      <x:c r="Q290" s="13" t="inlineStr">
        <x:is>
          <x:t xml:space="preserve">Selection fields frozen without using compensation; full source-native profile page not archived.</x:t>
        </x:is>
      </x:c>
    </x:row>
    <x:row r="291">
      <x:c r="A291" s="12" t="inlineStr">
        <x:is>
          <x:t xml:space="preserve">SRC-PEER-NEW-HARVEST</x:t>
        </x:is>
      </x:c>
      <x:c r="B291" s="12" t="inlineStr">
        <x:is>
          <x:t xml:space="preserve">New Harvest</x:t>
        </x:is>
      </x:c>
      <x:c r="C291" s="12" t="inlineStr">
        <x:is>
          <x:t xml:space="preserve">Peer selection and scale profile</x:t>
        </x:is>
      </x:c>
      <x:c r="D291" s="16" t="inlineStr">
        <x:is>
          <x:t xml:space="preserve">https://www.causeiq.com/organizations/new-harvest%2C201425438/</x:t>
        </x:is>
      </x:c>
      <x:c r="E291" s="16" t="inlineStr">
        <x:is>
          <x:t xml:space="preserve">https://www.causeiq.com/organizations/new-harvest%2C201425438/</x:t>
        </x:is>
      </x:c>
      <x:c r="F291" s="12" t="inlineStr">
        <x:is>
          <x:t xml:space="preserve">2026-08-25T16:07:55-0700</x:t>
        </x:is>
      </x:c>
      <x:c r="G291" s="17" t="inlineStr">
        <x:is>
          <x:t xml:space="preserve">sources/raw/src-peer-new-harvest.txt</x:t>
        </x:is>
      </x:c>
      <x:c r="H291" s="12" t="inlineStr">
        <x:is>
          <x:t xml:space="preserve">text/plain; charset=utf-8</x:t>
        </x:is>
      </x:c>
      <x:c r="I291" s="12" t="n">
        <x:v>1248</x:v>
      </x:c>
      <x:c r="J291" s="13" t="inlineStr">
        <x:is>
          <x:t xml:space="preserve">ccffbe5d499e588d944bf48191efa4535007c5104c56ae9af81809abcedc134d</x:t>
        </x:is>
      </x:c>
      <x:c r="K291" s="12" t="n"/>
      <x:c r="L291" s="12" t="inlineStr">
        <x:is>
          <x:t xml:space="preserve">20-1425438</x:t>
        </x:is>
      </x:c>
      <x:c r="M291" s="12" t="n"/>
      <x:c r="N291" s="12" t="inlineStr">
        <x:is>
          <x:t xml:space="preserve">derivative</x:t>
        </x:is>
      </x:c>
      <x:c r="O291" s="13" t="inlineStr">
        <x:is>
          <x:t xml:space="preserve">Public Form 990 rendering, organization profile, or filing-derived scale record</x:t>
        </x:is>
      </x:c>
      <x:c r="P291" s="13" t="inlineStr">
        <x:is>
          <x:t xml:space="preserve">expanded_reference_set.csv and prior frozen peer profile</x:t>
        </x:is>
      </x:c>
      <x:c r="Q291" s="13" t="inlineStr">
        <x:is>
          <x:t xml:space="preserve">Selection fields frozen without using compensation; full source-native profile page not archived.</x:t>
        </x:is>
      </x:c>
    </x:row>
    <x:row r="292">
      <x:c r="A292" s="12" t="inlineStr">
        <x:is>
          <x:t xml:space="preserve">SRC-PEER-NEW-ROOTS-INSTITUTE</x:t>
        </x:is>
      </x:c>
      <x:c r="B292" s="12" t="inlineStr">
        <x:is>
          <x:t xml:space="preserve">New Roots Institute</x:t>
        </x:is>
      </x:c>
      <x:c r="C292" s="12" t="inlineStr">
        <x:is>
          <x:t xml:space="preserve">Peer selection and scale profile</x:t>
        </x:is>
      </x:c>
      <x:c r="D292" s="16" t="inlineStr">
        <x:is>
          <x:t xml:space="preserve">https://www.causeiq.com/organizations/factory-farming-awareness-coalition%2C824594246/</x:t>
        </x:is>
      </x:c>
      <x:c r="E292" s="16" t="inlineStr">
        <x:is>
          <x:t xml:space="preserve">https://www.causeiq.com/organizations/factory-farming-awareness-coalition%2C824594246/</x:t>
        </x:is>
      </x:c>
      <x:c r="F292" s="12" t="inlineStr">
        <x:is>
          <x:t xml:space="preserve">2026-08-25T16:07:55-0700</x:t>
        </x:is>
      </x:c>
      <x:c r="G292" s="17" t="inlineStr">
        <x:is>
          <x:t xml:space="preserve">sources/raw/src-peer-new-roots-institute.txt</x:t>
        </x:is>
      </x:c>
      <x:c r="H292" s="12" t="inlineStr">
        <x:is>
          <x:t xml:space="preserve">text/plain; charset=utf-8</x:t>
        </x:is>
      </x:c>
      <x:c r="I292" s="12" t="n">
        <x:v>1572</x:v>
      </x:c>
      <x:c r="J292" s="13" t="inlineStr">
        <x:is>
          <x:t xml:space="preserve">fb984836e44650cda0cc2b16112a9049f355a1c5e01c114a92e91e97bd5939ee</x:t>
        </x:is>
      </x:c>
      <x:c r="K292" s="12" t="inlineStr">
        <x:is>
          <x:t xml:space="preserve">2024.0</x:t>
        </x:is>
      </x:c>
      <x:c r="L292" s="12" t="inlineStr">
        <x:is>
          <x:t xml:space="preserve">82-4594246</x:t>
        </x:is>
      </x:c>
      <x:c r="M292" s="12" t="n"/>
      <x:c r="N292" s="12" t="inlineStr">
        <x:is>
          <x:t xml:space="preserve">derivative</x:t>
        </x:is>
      </x:c>
      <x:c r="O292" s="13" t="inlineStr">
        <x:is>
          <x:t xml:space="preserve">Public Form 990 rendering, organization profile, or filing-derived scale record</x:t>
        </x:is>
      </x:c>
      <x:c r="P292" s="13" t="inlineStr">
        <x:is>
          <x:t xml:space="preserve">expanded_reference_set.csv and prior frozen peer profile</x:t>
        </x:is>
      </x:c>
      <x:c r="Q292" s="13" t="inlineStr">
        <x:is>
          <x:t xml:space="preserve">Selection fields frozen without using compensation; full source-native profile page not archived.</x:t>
        </x:is>
      </x:c>
    </x:row>
    <x:row r="293">
      <x:c r="A293" s="12" t="inlineStr">
        <x:is>
          <x:t xml:space="preserve">SRC-PEER-NISKANEN-CENTER</x:t>
        </x:is>
      </x:c>
      <x:c r="B293" s="12" t="inlineStr">
        <x:is>
          <x:t xml:space="preserve">Niskanen Center</x:t>
        </x:is>
      </x:c>
      <x:c r="C293" s="12" t="inlineStr">
        <x:is>
          <x:t xml:space="preserve">Peer selection and scale profile</x:t>
        </x:is>
      </x:c>
      <x:c r="D293" s="16" t="inlineStr">
        <x:is>
          <x:t xml:space="preserve">https://projects.propublica.org/nonprofits/organizations/455308952</x:t>
        </x:is>
      </x:c>
      <x:c r="E293" s="16" t="inlineStr">
        <x:is>
          <x:t xml:space="preserve">https://projects.propublica.org/nonprofits/organizations/455308952</x:t>
        </x:is>
      </x:c>
      <x:c r="F293" s="12" t="inlineStr">
        <x:is>
          <x:t xml:space="preserve">2026-08-25T16:07:55-0700</x:t>
        </x:is>
      </x:c>
      <x:c r="G293" s="17" t="inlineStr">
        <x:is>
          <x:t xml:space="preserve">sources/raw/src-peer-niskanen-center.txt</x:t>
        </x:is>
      </x:c>
      <x:c r="H293" s="12" t="inlineStr">
        <x:is>
          <x:t xml:space="preserve">text/plain; charset=utf-8</x:t>
        </x:is>
      </x:c>
      <x:c r="I293" s="12" t="n">
        <x:v>1060</x:v>
      </x:c>
      <x:c r="J293" s="13" t="inlineStr">
        <x:is>
          <x:t xml:space="preserve">930b3eb12dfaa69e2a6fee849efec0b2e01938f2698c30ac61f204527ede649d</x:t>
        </x:is>
      </x:c>
      <x:c r="K293" s="12" t="inlineStr">
        <x:is>
          <x:t xml:space="preserve">2024.0</x:t>
        </x:is>
      </x:c>
      <x:c r="L293" s="12" t="inlineStr">
        <x:is>
          <x:t xml:space="preserve">45-5308952</x:t>
        </x:is>
      </x:c>
      <x:c r="M293" s="12" t="n"/>
      <x:c r="N293" s="12" t="inlineStr">
        <x:is>
          <x:t xml:space="preserve">derivative</x:t>
        </x:is>
      </x:c>
      <x:c r="O293" s="13" t="inlineStr">
        <x:is>
          <x:t xml:space="preserve">Public Form 990 rendering, organization profile, or filing-derived scale record</x:t>
        </x:is>
      </x:c>
      <x:c r="P293" s="13" t="inlineStr">
        <x:is>
          <x:t xml:space="preserve">expanded_reference_set.csv and prior frozen peer profile</x:t>
        </x:is>
      </x:c>
      <x:c r="Q293" s="13" t="inlineStr">
        <x:is>
          <x:t xml:space="preserve">Selection fields frozen without using compensation; full source-native profile page not archived.</x:t>
        </x:is>
      </x:c>
    </x:row>
    <x:row r="294">
      <x:c r="A294" s="12" t="inlineStr">
        <x:is>
          <x:t xml:space="preserve">SRC-PEER-NONHUMAN-RIGHTS-PROJECT</x:t>
        </x:is>
      </x:c>
      <x:c r="B294" s="12" t="inlineStr">
        <x:is>
          <x:t xml:space="preserve">Nonhuman Rights Project</x:t>
        </x:is>
      </x:c>
      <x:c r="C294" s="12" t="inlineStr">
        <x:is>
          <x:t xml:space="preserve">Peer selection and scale profile</x:t>
        </x:is>
      </x:c>
      <x:c r="D294" s="16" t="inlineStr">
        <x:is>
          <x:t xml:space="preserve">https://www.causeiq.com/organizations/nonhuman-rights-project%2C043289466/</x:t>
        </x:is>
      </x:c>
      <x:c r="E294" s="16" t="inlineStr">
        <x:is>
          <x:t xml:space="preserve">https://www.causeiq.com/organizations/nonhuman-rights-project%2C043289466/</x:t>
        </x:is>
      </x:c>
      <x:c r="F294" s="12" t="inlineStr">
        <x:is>
          <x:t xml:space="preserve">2026-08-25T16:07:55-0700</x:t>
        </x:is>
      </x:c>
      <x:c r="G294" s="16" t="inlineStr">
        <x:is>
          <x:t xml:space="preserve">sources/raw/src-peer-nonhuman-rights-project.txt</x:t>
        </x:is>
      </x:c>
      <x:c r="H294" s="12" t="inlineStr">
        <x:is>
          <x:t xml:space="preserve">text/plain; charset=utf-8</x:t>
        </x:is>
      </x:c>
      <x:c r="I294" s="12" t="n">
        <x:v>1345</x:v>
      </x:c>
      <x:c r="J294" s="13" t="inlineStr">
        <x:is>
          <x:t xml:space="preserve">2e628b5256a774bc2647271aefe07dc6d59c2577f847b6a9379475bbf0f4658e</x:t>
        </x:is>
      </x:c>
      <x:c r="K294" s="12" t="n"/>
      <x:c r="L294" s="12" t="inlineStr">
        <x:is>
          <x:t xml:space="preserve">04-3289466</x:t>
        </x:is>
      </x:c>
      <x:c r="M294" s="12" t="n"/>
      <x:c r="N294" s="12" t="inlineStr">
        <x:is>
          <x:t xml:space="preserve">derivative</x:t>
        </x:is>
      </x:c>
      <x:c r="O294" s="13" t="inlineStr">
        <x:is>
          <x:t xml:space="preserve">Public Form 990 rendering, organization profile, or filing-derived scale record</x:t>
        </x:is>
      </x:c>
      <x:c r="P294" s="13" t="inlineStr">
        <x:is>
          <x:t xml:space="preserve">expanded_reference_set.csv and prior frozen peer profile</x:t>
        </x:is>
      </x:c>
      <x:c r="Q294" s="13" t="inlineStr">
        <x:is>
          <x:t xml:space="preserve">Selection fields frozen without using compensation; full source-native profile page not archived.</x:t>
        </x:is>
      </x:c>
    </x:row>
    <x:row r="295">
      <x:c r="A295" s="12" t="inlineStr">
        <x:is>
          <x:t xml:space="preserve">SRC-PEER-NUCLEAR-INNOVATION-ALLIANCE</x:t>
        </x:is>
      </x:c>
      <x:c r="B295" s="12" t="inlineStr">
        <x:is>
          <x:t xml:space="preserve">Nuclear Innovation Alliance</x:t>
        </x:is>
      </x:c>
      <x:c r="C295" s="12" t="inlineStr">
        <x:is>
          <x:t xml:space="preserve">Peer selection and scale profile</x:t>
        </x:is>
      </x:c>
      <x:c r="D295" s="16" t="inlineStr">
        <x:is>
          <x:t xml:space="preserve">https://projects.propublica.org/nonprofits/organizations/371859117</x:t>
        </x:is>
      </x:c>
      <x:c r="E295" s="16" t="inlineStr">
        <x:is>
          <x:t xml:space="preserve">https://projects.propublica.org/nonprofits/organizations/371859117</x:t>
        </x:is>
      </x:c>
      <x:c r="F295" s="12" t="inlineStr">
        <x:is>
          <x:t xml:space="preserve">2026-08-25T16:07:55-0700</x:t>
        </x:is>
      </x:c>
      <x:c r="G295" s="16" t="inlineStr">
        <x:is>
          <x:t xml:space="preserve">sources/raw/src-peer-nuclear-innovation-alliance.txt</x:t>
        </x:is>
      </x:c>
      <x:c r="H295" s="12" t="inlineStr">
        <x:is>
          <x:t xml:space="preserve">text/plain; charset=utf-8</x:t>
        </x:is>
      </x:c>
      <x:c r="I295" s="12" t="n">
        <x:v>1048</x:v>
      </x:c>
      <x:c r="J295" s="13" t="inlineStr">
        <x:is>
          <x:t xml:space="preserve">363f349ab693a9b2e269193fe3bac3033920b7cbd5fd02481f52e7970723e5a3</x:t>
        </x:is>
      </x:c>
      <x:c r="K295" s="12" t="inlineStr">
        <x:is>
          <x:t xml:space="preserve">2025.0</x:t>
        </x:is>
      </x:c>
      <x:c r="L295" s="12" t="inlineStr">
        <x:is>
          <x:t xml:space="preserve">37-1859117</x:t>
        </x:is>
      </x:c>
      <x:c r="M295" s="12" t="n"/>
      <x:c r="N295" s="12" t="inlineStr">
        <x:is>
          <x:t xml:space="preserve">derivative</x:t>
        </x:is>
      </x:c>
      <x:c r="O295" s="13" t="inlineStr">
        <x:is>
          <x:t xml:space="preserve">Public Form 990 rendering, organization profile, or filing-derived scale record</x:t>
        </x:is>
      </x:c>
      <x:c r="P295" s="13" t="inlineStr">
        <x:is>
          <x:t xml:space="preserve">expanded_reference_set.csv and prior frozen peer profile</x:t>
        </x:is>
      </x:c>
      <x:c r="Q295" s="13" t="inlineStr">
        <x:is>
          <x:t xml:space="preserve">Selection fields frozen without using compensation; full source-native profile page not archived.</x:t>
        </x:is>
      </x:c>
    </x:row>
    <x:row r="296">
      <x:c r="A296" s="12" t="inlineStr">
        <x:is>
          <x:t xml:space="preserve">SRC-PEER-NUCLEAR-THREAT-INITIATIVE</x:t>
        </x:is>
      </x:c>
      <x:c r="B296" s="12" t="inlineStr">
        <x:is>
          <x:t xml:space="preserve">Nuclear Threat Initiative</x:t>
        </x:is>
      </x:c>
      <x:c r="C296" s="12" t="inlineStr">
        <x:is>
          <x:t xml:space="preserve">Peer selection and scale profile</x:t>
        </x:is>
      </x:c>
      <x:c r="D296" s="16" t="inlineStr">
        <x:is>
          <x:t xml:space="preserve">https://www.causeiq.com/organizations/nuclear-threat-initiative%2C522289435/</x:t>
        </x:is>
      </x:c>
      <x:c r="E296" s="16" t="inlineStr">
        <x:is>
          <x:t xml:space="preserve">https://www.causeiq.com/organizations/nuclear-threat-initiative%2C522289435/</x:t>
        </x:is>
      </x:c>
      <x:c r="F296" s="12" t="inlineStr">
        <x:is>
          <x:t xml:space="preserve">2026-08-25T16:07:55-0700</x:t>
        </x:is>
      </x:c>
      <x:c r="G296" s="16" t="inlineStr">
        <x:is>
          <x:t xml:space="preserve">sources/raw/src-peer-nuclear-threat-initiative.txt</x:t>
        </x:is>
      </x:c>
      <x:c r="H296" s="12" t="inlineStr">
        <x:is>
          <x:t xml:space="preserve">text/plain; charset=utf-8</x:t>
        </x:is>
      </x:c>
      <x:c r="I296" s="12" t="n">
        <x:v>1585</x:v>
      </x:c>
      <x:c r="J296" s="13" t="inlineStr">
        <x:is>
          <x:t xml:space="preserve">4971f69be06af5a1f7b80ca2b5ef5a73218e5d1763e09b913acf8cb3d8372835</x:t>
        </x:is>
      </x:c>
      <x:c r="K296" s="12" t="inlineStr">
        <x:is>
          <x:t xml:space="preserve">2024.0</x:t>
        </x:is>
      </x:c>
      <x:c r="L296" s="12" t="inlineStr">
        <x:is>
          <x:t xml:space="preserve">52-2289435</x:t>
        </x:is>
      </x:c>
      <x:c r="M296" s="12" t="n"/>
      <x:c r="N296" s="12" t="inlineStr">
        <x:is>
          <x:t xml:space="preserve">derivative</x:t>
        </x:is>
      </x:c>
      <x:c r="O296" s="13" t="inlineStr">
        <x:is>
          <x:t xml:space="preserve">Public Form 990 rendering, organization profile, or filing-derived scale record</x:t>
        </x:is>
      </x:c>
      <x:c r="P296" s="13" t="inlineStr">
        <x:is>
          <x:t xml:space="preserve">expanded_reference_set.csv and prior frozen peer profile</x:t>
        </x:is>
      </x:c>
      <x:c r="Q296" s="13" t="inlineStr">
        <x:is>
          <x:t xml:space="preserve">Selection fields frozen without using compensation; full source-native profile page not archived.</x:t>
        </x:is>
      </x:c>
    </x:row>
    <x:row r="297">
      <x:c r="A297" s="12" t="inlineStr">
        <x:is>
          <x:t xml:space="preserve">SRC-PEER-NUMFOCUS</x:t>
        </x:is>
      </x:c>
      <x:c r="B297" s="12" t="inlineStr">
        <x:is>
          <x:t xml:space="preserve">NumFOCUS</x:t>
        </x:is>
      </x:c>
      <x:c r="C297" s="12" t="inlineStr">
        <x:is>
          <x:t xml:space="preserve">Peer selection and scale profile</x:t>
        </x:is>
      </x:c>
      <x:c r="D297" s="16" t="inlineStr">
        <x:is>
          <x:t xml:space="preserve">https://projects.propublica.org/nonprofits/organizations/454547709</x:t>
        </x:is>
      </x:c>
      <x:c r="E297" s="16" t="inlineStr">
        <x:is>
          <x:t xml:space="preserve">https://projects.propublica.org/nonprofits/organizations/454547709</x:t>
        </x:is>
      </x:c>
      <x:c r="F297" s="12" t="inlineStr">
        <x:is>
          <x:t xml:space="preserve">2026-08-25T16:07:55-0700</x:t>
        </x:is>
      </x:c>
      <x:c r="G297" s="17" t="inlineStr">
        <x:is>
          <x:t xml:space="preserve">sources/raw/src-peer-numfocus.txt</x:t>
        </x:is>
      </x:c>
      <x:c r="H297" s="12" t="inlineStr">
        <x:is>
          <x:t xml:space="preserve">text/plain; charset=utf-8</x:t>
        </x:is>
      </x:c>
      <x:c r="I297" s="12" t="n">
        <x:v>1063</x:v>
      </x:c>
      <x:c r="J297" s="13" t="inlineStr">
        <x:is>
          <x:t xml:space="preserve">a9c210aa46a7fccfc878f60f6cd22b7d7ebb638caf2fcb301f9bf2f25a0654d0</x:t>
        </x:is>
      </x:c>
      <x:c r="K297" s="12" t="inlineStr">
        <x:is>
          <x:t xml:space="preserve">2024.0</x:t>
        </x:is>
      </x:c>
      <x:c r="L297" s="12" t="inlineStr">
        <x:is>
          <x:t xml:space="preserve">45-4547709</x:t>
        </x:is>
      </x:c>
      <x:c r="M297" s="12" t="n"/>
      <x:c r="N297" s="12" t="inlineStr">
        <x:is>
          <x:t xml:space="preserve">derivative</x:t>
        </x:is>
      </x:c>
      <x:c r="O297" s="13" t="inlineStr">
        <x:is>
          <x:t xml:space="preserve">Public Form 990 rendering, organization profile, or filing-derived scale record</x:t>
        </x:is>
      </x:c>
      <x:c r="P297" s="13" t="inlineStr">
        <x:is>
          <x:t xml:space="preserve">expanded_reference_set.csv and prior frozen peer profile</x:t>
        </x:is>
      </x:c>
      <x:c r="Q297" s="13" t="inlineStr">
        <x:is>
          <x:t xml:space="preserve">Selection fields frozen without using compensation; full source-native profile page not archived.</x:t>
        </x:is>
      </x:c>
    </x:row>
    <x:row r="298">
      <x:c r="A298" s="12" t="inlineStr">
        <x:is>
          <x:t xml:space="preserve">SRC-PEER-ORCID</x:t>
        </x:is>
      </x:c>
      <x:c r="B298" s="12" t="inlineStr">
        <x:is>
          <x:t xml:space="preserve">ORCID</x:t>
        </x:is>
      </x:c>
      <x:c r="C298" s="12" t="inlineStr">
        <x:is>
          <x:t xml:space="preserve">Peer selection and scale profile</x:t>
        </x:is>
      </x:c>
      <x:c r="D298" s="16" t="inlineStr">
        <x:is>
          <x:t xml:space="preserve">https://projects.propublica.org/nonprofits/organizations/275142743</x:t>
        </x:is>
      </x:c>
      <x:c r="E298" s="16" t="inlineStr">
        <x:is>
          <x:t xml:space="preserve">https://projects.propublica.org/nonprofits/organizations/275142743</x:t>
        </x:is>
      </x:c>
      <x:c r="F298" s="12" t="inlineStr">
        <x:is>
          <x:t xml:space="preserve">2026-08-25T16:07:55-0700</x:t>
        </x:is>
      </x:c>
      <x:c r="G298" s="17" t="inlineStr">
        <x:is>
          <x:t xml:space="preserve">sources/raw/src-peer-orcid.txt</x:t>
        </x:is>
      </x:c>
      <x:c r="H298" s="12" t="inlineStr">
        <x:is>
          <x:t xml:space="preserve">text/plain; charset=utf-8</x:t>
        </x:is>
      </x:c>
      <x:c r="I298" s="12" t="n">
        <x:v>1041</x:v>
      </x:c>
      <x:c r="J298" s="13" t="inlineStr">
        <x:is>
          <x:t xml:space="preserve">5018e3683b815a6489aefc4b2c1db988e5439a2ae147869a67b38f5c89ee6a82</x:t>
        </x:is>
      </x:c>
      <x:c r="K298" s="12" t="inlineStr">
        <x:is>
          <x:t xml:space="preserve">2024.0</x:t>
        </x:is>
      </x:c>
      <x:c r="L298" s="12" t="inlineStr">
        <x:is>
          <x:t xml:space="preserve">27-5142743</x:t>
        </x:is>
      </x:c>
      <x:c r="M298" s="12" t="n"/>
      <x:c r="N298" s="12" t="inlineStr">
        <x:is>
          <x:t xml:space="preserve">derivative</x:t>
        </x:is>
      </x:c>
      <x:c r="O298" s="13" t="inlineStr">
        <x:is>
          <x:t xml:space="preserve">Public Form 990 rendering, organization profile, or filing-derived scale record</x:t>
        </x:is>
      </x:c>
      <x:c r="P298" s="13" t="inlineStr">
        <x:is>
          <x:t xml:space="preserve">expanded_reference_set.csv and prior frozen peer profile</x:t>
        </x:is>
      </x:c>
      <x:c r="Q298" s="13" t="inlineStr">
        <x:is>
          <x:t xml:space="preserve">Selection fields frozen without using compensation; full source-native profile page not archived.</x:t>
        </x:is>
      </x:c>
    </x:row>
    <x:row r="299">
      <x:c r="A299" s="12" t="inlineStr">
        <x:is>
          <x:t xml:space="preserve">SRC-PEER-ONE-FOR-THE-WORLD</x:t>
        </x:is>
      </x:c>
      <x:c r="B299" s="12" t="inlineStr">
        <x:is>
          <x:t xml:space="preserve">One for the World</x:t>
        </x:is>
      </x:c>
      <x:c r="C299" s="12" t="inlineStr">
        <x:is>
          <x:t xml:space="preserve">Peer selection and scale profile</x:t>
        </x:is>
      </x:c>
      <x:c r="D299" s="16" t="inlineStr">
        <x:is>
          <x:t xml:space="preserve">https://www.causeiq.com/organizations/one-for-the-world%2C842124550/</x:t>
        </x:is>
      </x:c>
      <x:c r="E299" s="16" t="inlineStr">
        <x:is>
          <x:t xml:space="preserve">https://www.causeiq.com/organizations/one-for-the-world%2C842124550/</x:t>
        </x:is>
      </x:c>
      <x:c r="F299" s="12" t="inlineStr">
        <x:is>
          <x:t xml:space="preserve">2026-08-25T16:07:55-0700</x:t>
        </x:is>
      </x:c>
      <x:c r="G299" s="17" t="inlineStr">
        <x:is>
          <x:t xml:space="preserve">sources/raw/src-peer-one-for-the-world.txt</x:t>
        </x:is>
      </x:c>
      <x:c r="H299" s="12" t="inlineStr">
        <x:is>
          <x:t xml:space="preserve">text/plain; charset=utf-8</x:t>
        </x:is>
      </x:c>
      <x:c r="I299" s="12" t="n">
        <x:v>1275</x:v>
      </x:c>
      <x:c r="J299" s="13" t="inlineStr">
        <x:is>
          <x:t xml:space="preserve">1763410c32df538dec3b646ec76bb7a3e367af9ede5708912273241c6ee53700</x:t>
        </x:is>
      </x:c>
      <x:c r="K299" s="12" t="n"/>
      <x:c r="L299" s="12" t="inlineStr">
        <x:is>
          <x:t xml:space="preserve">84-2124550</x:t>
        </x:is>
      </x:c>
      <x:c r="M299" s="12" t="n"/>
      <x:c r="N299" s="12" t="inlineStr">
        <x:is>
          <x:t xml:space="preserve">derivative</x:t>
        </x:is>
      </x:c>
      <x:c r="O299" s="13" t="inlineStr">
        <x:is>
          <x:t xml:space="preserve">Public Form 990 rendering, organization profile, or filing-derived scale record</x:t>
        </x:is>
      </x:c>
      <x:c r="P299" s="13" t="inlineStr">
        <x:is>
          <x:t xml:space="preserve">expanded_reference_set.csv and prior frozen peer profile</x:t>
        </x:is>
      </x:c>
      <x:c r="Q299" s="13" t="inlineStr">
        <x:is>
          <x:t xml:space="preserve">Selection fields frozen without using compensation; full source-native profile page not archived.</x:t>
        </x:is>
      </x:c>
    </x:row>
    <x:row r="300">
      <x:c r="A300" s="12" t="inlineStr">
        <x:is>
          <x:t xml:space="preserve">SRC-PEER-OPEN-MARKETS-INSTITUTE</x:t>
        </x:is>
      </x:c>
      <x:c r="B300" s="12" t="inlineStr">
        <x:is>
          <x:t xml:space="preserve">Open Markets Institute</x:t>
        </x:is>
      </x:c>
      <x:c r="C300" s="12" t="inlineStr">
        <x:is>
          <x:t xml:space="preserve">Peer selection and scale profile</x:t>
        </x:is>
      </x:c>
      <x:c r="D300" s="16" t="inlineStr">
        <x:is>
          <x:t xml:space="preserve">https://projects.propublica.org/nonprofits/organizations/822529375</x:t>
        </x:is>
      </x:c>
      <x:c r="E300" s="16" t="inlineStr">
        <x:is>
          <x:t xml:space="preserve">https://projects.propublica.org/nonprofits/organizations/822529375</x:t>
        </x:is>
      </x:c>
      <x:c r="F300" s="12" t="inlineStr">
        <x:is>
          <x:t xml:space="preserve">2026-08-25T16:07:55-0700</x:t>
        </x:is>
      </x:c>
      <x:c r="G300" s="16" t="inlineStr">
        <x:is>
          <x:t xml:space="preserve">sources/raw/src-peer-open-markets-institute.txt</x:t>
        </x:is>
      </x:c>
      <x:c r="H300" s="12" t="inlineStr">
        <x:is>
          <x:t xml:space="preserve">text/plain; charset=utf-8</x:t>
        </x:is>
      </x:c>
      <x:c r="I300" s="12" t="n">
        <x:v>1080</x:v>
      </x:c>
      <x:c r="J300" s="13" t="inlineStr">
        <x:is>
          <x:t xml:space="preserve">c036d46f153972911d7a168287002d19c00456c5b9d081b0272a9c461665f53d</x:t>
        </x:is>
      </x:c>
      <x:c r="K300" s="12" t="inlineStr">
        <x:is>
          <x:t xml:space="preserve">2024.0</x:t>
        </x:is>
      </x:c>
      <x:c r="L300" s="12" t="inlineStr">
        <x:is>
          <x:t xml:space="preserve">82-2529375</x:t>
        </x:is>
      </x:c>
      <x:c r="M300" s="12" t="n"/>
      <x:c r="N300" s="12" t="inlineStr">
        <x:is>
          <x:t xml:space="preserve">derivative</x:t>
        </x:is>
      </x:c>
      <x:c r="O300" s="13" t="inlineStr">
        <x:is>
          <x:t xml:space="preserve">Public Form 990 rendering, organization profile, or filing-derived scale record</x:t>
        </x:is>
      </x:c>
      <x:c r="P300" s="13" t="inlineStr">
        <x:is>
          <x:t xml:space="preserve">expanded_reference_set.csv and prior frozen peer profile</x:t>
        </x:is>
      </x:c>
      <x:c r="Q300" s="13" t="inlineStr">
        <x:is>
          <x:t xml:space="preserve">Selection fields frozen without using compensation; full source-native profile page not archived.</x:t>
        </x:is>
      </x:c>
    </x:row>
    <x:row r="301">
      <x:c r="A301" s="12" t="inlineStr">
        <x:is>
          <x:t xml:space="preserve">SRC-PEER-OPEN-SOURCE-INITIATIVE</x:t>
        </x:is>
      </x:c>
      <x:c r="B301" s="12" t="inlineStr">
        <x:is>
          <x:t xml:space="preserve">Open Source Initiative</x:t>
        </x:is>
      </x:c>
      <x:c r="C301" s="12" t="inlineStr">
        <x:is>
          <x:t xml:space="preserve">Peer selection and scale profile</x:t>
        </x:is>
      </x:c>
      <x:c r="D301" s="16" t="inlineStr">
        <x:is>
          <x:t xml:space="preserve">https://projects.propublica.org/nonprofits/organizations/912037395</x:t>
        </x:is>
      </x:c>
      <x:c r="E301" s="16" t="inlineStr">
        <x:is>
          <x:t xml:space="preserve">https://projects.propublica.org/nonprofits/organizations/912037395</x:t>
        </x:is>
      </x:c>
      <x:c r="F301" s="12" t="inlineStr">
        <x:is>
          <x:t xml:space="preserve">2026-08-25T16:07:55-0700</x:t>
        </x:is>
      </x:c>
      <x:c r="G301" s="16" t="inlineStr">
        <x:is>
          <x:t xml:space="preserve">sources/raw/src-peer-open-source-initiative.txt</x:t>
        </x:is>
      </x:c>
      <x:c r="H301" s="12" t="inlineStr">
        <x:is>
          <x:t xml:space="preserve">text/plain; charset=utf-8</x:t>
        </x:is>
      </x:c>
      <x:c r="I301" s="12" t="n">
        <x:v>1059</x:v>
      </x:c>
      <x:c r="J301" s="13" t="inlineStr">
        <x:is>
          <x:t xml:space="preserve">f8b144c3be0ba59a2c9e31a888b749c23b4bb3dd64326da952257a3986a29ce5</x:t>
        </x:is>
      </x:c>
      <x:c r="K301" s="12" t="inlineStr">
        <x:is>
          <x:t xml:space="preserve">2024.0</x:t>
        </x:is>
      </x:c>
      <x:c r="L301" s="12" t="inlineStr">
        <x:is>
          <x:t xml:space="preserve">91-2037395</x:t>
        </x:is>
      </x:c>
      <x:c r="M301" s="12" t="n"/>
      <x:c r="N301" s="12" t="inlineStr">
        <x:is>
          <x:t xml:space="preserve">derivative</x:t>
        </x:is>
      </x:c>
      <x:c r="O301" s="13" t="inlineStr">
        <x:is>
          <x:t xml:space="preserve">Public Form 990 rendering, organization profile, or filing-derived scale record</x:t>
        </x:is>
      </x:c>
      <x:c r="P301" s="13" t="inlineStr">
        <x:is>
          <x:t xml:space="preserve">expanded_reference_set.csv and prior frozen peer profile</x:t>
        </x:is>
      </x:c>
      <x:c r="Q301" s="13" t="inlineStr">
        <x:is>
          <x:t xml:space="preserve">Selection fields frozen without using compensation; full source-native profile page not archived.</x:t>
        </x:is>
      </x:c>
    </x:row>
    <x:row r="302">
      <x:c r="A302" s="12" t="inlineStr">
        <x:is>
          <x:t xml:space="preserve">SRC-PEER-OPENSECRETS</x:t>
        </x:is>
      </x:c>
      <x:c r="B302" s="12" t="inlineStr">
        <x:is>
          <x:t xml:space="preserve">OpenSecrets</x:t>
        </x:is>
      </x:c>
      <x:c r="C302" s="12" t="inlineStr">
        <x:is>
          <x:t xml:space="preserve">Peer selection and scale profile</x:t>
        </x:is>
      </x:c>
      <x:c r="D302" s="16" t="inlineStr">
        <x:is>
          <x:t xml:space="preserve">https://projects.propublica.org/nonprofits/organizations/521275227</x:t>
        </x:is>
      </x:c>
      <x:c r="E302" s="16" t="inlineStr">
        <x:is>
          <x:t xml:space="preserve">https://projects.propublica.org/nonprofits/organizations/521275227</x:t>
        </x:is>
      </x:c>
      <x:c r="F302" s="12" t="inlineStr">
        <x:is>
          <x:t xml:space="preserve">2026-08-25T16:07:55-0700</x:t>
        </x:is>
      </x:c>
      <x:c r="G302" s="17" t="inlineStr">
        <x:is>
          <x:t xml:space="preserve">sources/raw/src-peer-opensecrets.txt</x:t>
        </x:is>
      </x:c>
      <x:c r="H302" s="12" t="inlineStr">
        <x:is>
          <x:t xml:space="preserve">text/plain; charset=utf-8</x:t>
        </x:is>
      </x:c>
      <x:c r="I302" s="12" t="n">
        <x:v>1042</x:v>
      </x:c>
      <x:c r="J302" s="13" t="inlineStr">
        <x:is>
          <x:t xml:space="preserve">35ddee4c2144848c5d976aee0598ce476ed383cd96abc62533eb275f60713531</x:t>
        </x:is>
      </x:c>
      <x:c r="K302" s="12" t="inlineStr">
        <x:is>
          <x:t xml:space="preserve">2025.0</x:t>
        </x:is>
      </x:c>
      <x:c r="L302" s="12" t="inlineStr">
        <x:is>
          <x:t xml:space="preserve">52-1275227</x:t>
        </x:is>
      </x:c>
      <x:c r="M302" s="12" t="n"/>
      <x:c r="N302" s="12" t="inlineStr">
        <x:is>
          <x:t xml:space="preserve">derivative</x:t>
        </x:is>
      </x:c>
      <x:c r="O302" s="13" t="inlineStr">
        <x:is>
          <x:t xml:space="preserve">Public Form 990 rendering, organization profile, or filing-derived scale record</x:t>
        </x:is>
      </x:c>
      <x:c r="P302" s="13" t="inlineStr">
        <x:is>
          <x:t xml:space="preserve">expanded_reference_set.csv and prior frozen peer profile</x:t>
        </x:is>
      </x:c>
      <x:c r="Q302" s="13" t="inlineStr">
        <x:is>
          <x:t xml:space="preserve">Selection fields frozen without using compensation; full source-native profile page not archived.</x:t>
        </x:is>
      </x:c>
    </x:row>
    <x:row r="303">
      <x:c r="A303" s="12" t="inlineStr">
        <x:is>
          <x:t xml:space="preserve">SRC-PEER-PEAK-GRANTMAKING</x:t>
        </x:is>
      </x:c>
      <x:c r="B303" s="12" t="inlineStr">
        <x:is>
          <x:t xml:space="preserve">PEAK Grantmaking</x:t>
        </x:is>
      </x:c>
      <x:c r="C303" s="12" t="inlineStr">
        <x:is>
          <x:t xml:space="preserve">Peer selection and scale profile</x:t>
        </x:is>
      </x:c>
      <x:c r="D303" s="16" t="inlineStr">
        <x:is>
          <x:t xml:space="preserve">https://projects.propublica.org/nonprofits/organizations/743158155</x:t>
        </x:is>
      </x:c>
      <x:c r="E303" s="16" t="inlineStr">
        <x:is>
          <x:t xml:space="preserve">https://projects.propublica.org/nonprofits/organizations/743158155</x:t>
        </x:is>
      </x:c>
      <x:c r="F303" s="12" t="inlineStr">
        <x:is>
          <x:t xml:space="preserve">2026-08-25T16:07:55-0700</x:t>
        </x:is>
      </x:c>
      <x:c r="G303" s="17" t="inlineStr">
        <x:is>
          <x:t xml:space="preserve">sources/raw/src-peer-peak-grantmaking.txt</x:t>
        </x:is>
      </x:c>
      <x:c r="H303" s="12" t="inlineStr">
        <x:is>
          <x:t xml:space="preserve">text/plain; charset=utf-8</x:t>
        </x:is>
      </x:c>
      <x:c r="I303" s="12" t="n">
        <x:v>1518</x:v>
      </x:c>
      <x:c r="J303" s="13" t="inlineStr">
        <x:is>
          <x:t xml:space="preserve">8ec959834145b33d4ca35e5c92d68b5885925213a76733040dbbc947c9e843be</x:t>
        </x:is>
      </x:c>
      <x:c r="K303" s="12" t="inlineStr">
        <x:is>
          <x:t xml:space="preserve">2024.0</x:t>
        </x:is>
      </x:c>
      <x:c r="L303" s="12" t="inlineStr">
        <x:is>
          <x:t xml:space="preserve">74-3158155</x:t>
        </x:is>
      </x:c>
      <x:c r="M303" s="12" t="n"/>
      <x:c r="N303" s="12" t="inlineStr">
        <x:is>
          <x:t xml:space="preserve">derivative</x:t>
        </x:is>
      </x:c>
      <x:c r="O303" s="13" t="inlineStr">
        <x:is>
          <x:t xml:space="preserve">Public Form 990 rendering, organization profile, or filing-derived scale record</x:t>
        </x:is>
      </x:c>
      <x:c r="P303" s="13" t="inlineStr">
        <x:is>
          <x:t xml:space="preserve">expanded_reference_set.csv and prior frozen peer profile</x:t>
        </x:is>
      </x:c>
      <x:c r="Q303" s="13" t="inlineStr">
        <x:is>
          <x:t xml:space="preserve">Selection fields frozen without using compensation; full source-native profile page not archived.</x:t>
        </x:is>
      </x:c>
    </x:row>
    <x:row r="304">
      <x:c r="A304" s="12" t="inlineStr">
        <x:is>
          <x:t xml:space="preserve">SRC-PEER-PARTNERSHIP-ON-AI</x:t>
        </x:is>
      </x:c>
      <x:c r="B304" s="12" t="inlineStr">
        <x:is>
          <x:t xml:space="preserve">Partnership on AI</x:t>
        </x:is>
      </x:c>
      <x:c r="C304" s="12" t="inlineStr">
        <x:is>
          <x:t xml:space="preserve">Peer selection and scale profile</x:t>
        </x:is>
      </x:c>
      <x:c r="D304" s="16" t="inlineStr">
        <x:is>
          <x:t xml:space="preserve">https://www.causeiq.com/organizations/partnership-on-ai-to-benefit-people-and-society%2C320518917/</x:t>
        </x:is>
      </x:c>
      <x:c r="E304" s="16" t="inlineStr">
        <x:is>
          <x:t xml:space="preserve">https://www.causeiq.com/organizations/partnership-on-ai-to-benefit-people-and-society%2C320518917/</x:t>
        </x:is>
      </x:c>
      <x:c r="F304" s="12" t="inlineStr">
        <x:is>
          <x:t xml:space="preserve">2026-08-25T16:07:55-0700</x:t>
        </x:is>
      </x:c>
      <x:c r="G304" s="17" t="inlineStr">
        <x:is>
          <x:t xml:space="preserve">sources/raw/src-peer-partnership-on-ai.txt</x:t>
        </x:is>
      </x:c>
      <x:c r="H304" s="12" t="inlineStr">
        <x:is>
          <x:t xml:space="preserve">text/plain; charset=utf-8</x:t>
        </x:is>
      </x:c>
      <x:c r="I304" s="12" t="n">
        <x:v>1554</x:v>
      </x:c>
      <x:c r="J304" s="13" t="inlineStr">
        <x:is>
          <x:t xml:space="preserve">c7be70ee319e3d847f097337e4c4a0c21cd8da350dd56fefba7e347ee4903a6c</x:t>
        </x:is>
      </x:c>
      <x:c r="K304" s="12" t="inlineStr">
        <x:is>
          <x:t xml:space="preserve">2024.0</x:t>
        </x:is>
      </x:c>
      <x:c r="L304" s="12" t="inlineStr">
        <x:is>
          <x:t xml:space="preserve">32-0518917</x:t>
        </x:is>
      </x:c>
      <x:c r="M304" s="12" t="n"/>
      <x:c r="N304" s="12" t="inlineStr">
        <x:is>
          <x:t xml:space="preserve">derivative</x:t>
        </x:is>
      </x:c>
      <x:c r="O304" s="13" t="inlineStr">
        <x:is>
          <x:t xml:space="preserve">Public Form 990 rendering, organization profile, or filing-derived scale record</x:t>
        </x:is>
      </x:c>
      <x:c r="P304" s="13" t="inlineStr">
        <x:is>
          <x:t xml:space="preserve">expanded_reference_set.csv and prior frozen peer profile</x:t>
        </x:is>
      </x:c>
      <x:c r="Q304" s="13" t="inlineStr">
        <x:is>
          <x:t xml:space="preserve">Selection fields frozen without using compensation; full source-native profile page not archived.</x:t>
        </x:is>
      </x:c>
    </x:row>
    <x:row r="305">
      <x:c r="A305" s="13" t="inlineStr">
        <x:is>
          <x:t xml:space="preserve">SRC-PEER-PETERSON-INSTITUTE-FOR-INTERNATIONAL-ECONOMICS</x:t>
        </x:is>
      </x:c>
      <x:c r="B305" s="13" t="inlineStr">
        <x:is>
          <x:t xml:space="preserve">Peterson Institute for International Economics</x:t>
        </x:is>
      </x:c>
      <x:c r="C305" s="12" t="inlineStr">
        <x:is>
          <x:t xml:space="preserve">Peer selection and scale profile</x:t>
        </x:is>
      </x:c>
      <x:c r="D305" s="16" t="inlineStr">
        <x:is>
          <x:t xml:space="preserve">https://www.causeiq.com/organizations/peterson-institute-for-international-economics%2C521226967/</x:t>
        </x:is>
      </x:c>
      <x:c r="E305" s="16" t="inlineStr">
        <x:is>
          <x:t xml:space="preserve">https://www.causeiq.com/organizations/peterson-institute-for-international-economics%2C521226967/</x:t>
        </x:is>
      </x:c>
      <x:c r="F305" s="12" t="inlineStr">
        <x:is>
          <x:t xml:space="preserve">2026-08-25T16:07:55-0700</x:t>
        </x:is>
      </x:c>
      <x:c r="G305" s="16" t="inlineStr">
        <x:is>
          <x:t xml:space="preserve">sources/raw/src-peer-peterson-institute-for-international-economics.txt</x:t>
        </x:is>
      </x:c>
      <x:c r="H305" s="12" t="inlineStr">
        <x:is>
          <x:t xml:space="preserve">text/plain; charset=utf-8</x:t>
        </x:is>
      </x:c>
      <x:c r="I305" s="12" t="n">
        <x:v>1533</x:v>
      </x:c>
      <x:c r="J305" s="13" t="inlineStr">
        <x:is>
          <x:t xml:space="preserve">2814b7ef3bb6b5133b284af6e723c37cb87d1f53562fe45debd36a2ce370d921</x:t>
        </x:is>
      </x:c>
      <x:c r="K305" s="12" t="inlineStr">
        <x:is>
          <x:t xml:space="preserve">2024.0</x:t>
        </x:is>
      </x:c>
      <x:c r="L305" s="12" t="inlineStr">
        <x:is>
          <x:t xml:space="preserve">52-1226967</x:t>
        </x:is>
      </x:c>
      <x:c r="M305" s="12" t="n"/>
      <x:c r="N305" s="12" t="inlineStr">
        <x:is>
          <x:t xml:space="preserve">derivative</x:t>
        </x:is>
      </x:c>
      <x:c r="O305" s="13" t="inlineStr">
        <x:is>
          <x:t xml:space="preserve">Public Form 990 rendering, organization profile, or filing-derived scale record</x:t>
        </x:is>
      </x:c>
      <x:c r="P305" s="13" t="inlineStr">
        <x:is>
          <x:t xml:space="preserve">expanded_reference_set.csv and prior frozen peer profile</x:t>
        </x:is>
      </x:c>
      <x:c r="Q305" s="13" t="inlineStr">
        <x:is>
          <x:t xml:space="preserve">Selection fields frozen without using compensation; full source-native profile page not archived.</x:t>
        </x:is>
      </x:c>
    </x:row>
    <x:row r="306">
      <x:c r="A306" s="13" t="inlineStr">
        <x:is>
          <x:t xml:space="preserve">SRC-PEER-PHYSICIANS-COMMITTEE-FOR-RESPONSIBLE-MEDICINE</x:t>
        </x:is>
      </x:c>
      <x:c r="B306" s="12" t="inlineStr">
        <x:is>
          <x:t xml:space="preserve">Physicians Committee for Responsible Medicine</x:t>
        </x:is>
      </x:c>
      <x:c r="C306" s="12" t="inlineStr">
        <x:is>
          <x:t xml:space="preserve">Peer selection and scale profile</x:t>
        </x:is>
      </x:c>
      <x:c r="D306" s="16" t="inlineStr">
        <x:is>
          <x:t xml:space="preserve">https://www.causeiq.com/organizations/physicians-committee-for-responsible-medicine%2C521394893/</x:t>
        </x:is>
      </x:c>
      <x:c r="E306" s="16" t="inlineStr">
        <x:is>
          <x:t xml:space="preserve">https://www.causeiq.com/organizations/physicians-committee-for-responsible-medicine%2C521394893/</x:t>
        </x:is>
      </x:c>
      <x:c r="F306" s="12" t="inlineStr">
        <x:is>
          <x:t xml:space="preserve">2026-08-25T16:07:55-0700</x:t>
        </x:is>
      </x:c>
      <x:c r="G306" s="16" t="inlineStr">
        <x:is>
          <x:t xml:space="preserve">sources/raw/src-peer-physicians-committee-for-responsible-medicine.txt</x:t>
        </x:is>
      </x:c>
      <x:c r="H306" s="12" t="inlineStr">
        <x:is>
          <x:t xml:space="preserve">text/plain; charset=utf-8</x:t>
        </x:is>
      </x:c>
      <x:c r="I306" s="12" t="n">
        <x:v>1460</x:v>
      </x:c>
      <x:c r="J306" s="13" t="inlineStr">
        <x:is>
          <x:t xml:space="preserve">485734dfed0e6a6aee0c4137f8ce401e9389f132ce307785b154ae72e16b7636</x:t>
        </x:is>
      </x:c>
      <x:c r="K306" s="12" t="n"/>
      <x:c r="L306" s="12" t="inlineStr">
        <x:is>
          <x:t xml:space="preserve">52-1394893</x:t>
        </x:is>
      </x:c>
      <x:c r="M306" s="12" t="n"/>
      <x:c r="N306" s="12" t="inlineStr">
        <x:is>
          <x:t xml:space="preserve">derivative</x:t>
        </x:is>
      </x:c>
      <x:c r="O306" s="13" t="inlineStr">
        <x:is>
          <x:t xml:space="preserve">Public Form 990 rendering, organization profile, or filing-derived scale record</x:t>
        </x:is>
      </x:c>
      <x:c r="P306" s="13" t="inlineStr">
        <x:is>
          <x:t xml:space="preserve">expanded_reference_set.csv and prior frozen peer profile</x:t>
        </x:is>
      </x:c>
      <x:c r="Q306" s="13" t="inlineStr">
        <x:is>
          <x:t xml:space="preserve">Selection fields frozen without using compensation; full source-native profile page not archived.</x:t>
        </x:is>
      </x:c>
    </x:row>
    <x:row r="307">
      <x:c r="A307" s="12" t="inlineStr">
        <x:is>
          <x:t xml:space="preserve">SRC-PEER-PHYSICIANS-FOR-SOCIAL-RESPONSIBILITY</x:t>
        </x:is>
      </x:c>
      <x:c r="B307" s="12" t="inlineStr">
        <x:is>
          <x:t xml:space="preserve">Physicians for Social Responsibility</x:t>
        </x:is>
      </x:c>
      <x:c r="C307" s="12" t="inlineStr">
        <x:is>
          <x:t xml:space="preserve">Peer selection and scale profile</x:t>
        </x:is>
      </x:c>
      <x:c r="D307" s="16" t="inlineStr">
        <x:is>
          <x:t xml:space="preserve">https://projects.propublica.org/nonprofits/organizations/237059731</x:t>
        </x:is>
      </x:c>
      <x:c r="E307" s="16" t="inlineStr">
        <x:is>
          <x:t xml:space="preserve">https://projects.propublica.org/nonprofits/organizations/237059731</x:t>
        </x:is>
      </x:c>
      <x:c r="F307" s="12" t="inlineStr">
        <x:is>
          <x:t xml:space="preserve">2026-08-25T16:07:55-0700</x:t>
        </x:is>
      </x:c>
      <x:c r="G307" s="16" t="inlineStr">
        <x:is>
          <x:t xml:space="preserve">sources/raw/src-peer-physicians-for-social-responsibility.txt</x:t>
        </x:is>
      </x:c>
      <x:c r="H307" s="12" t="inlineStr">
        <x:is>
          <x:t xml:space="preserve">text/plain; charset=utf-8</x:t>
        </x:is>
      </x:c>
      <x:c r="I307" s="12" t="n">
        <x:v>1086</x:v>
      </x:c>
      <x:c r="J307" s="13" t="inlineStr">
        <x:is>
          <x:t xml:space="preserve">ed04e4ffbae456f951116c5826e047e94d9b399d55bb58b96545629e74d18553</x:t>
        </x:is>
      </x:c>
      <x:c r="K307" s="12" t="inlineStr">
        <x:is>
          <x:t xml:space="preserve">2024.0</x:t>
        </x:is>
      </x:c>
      <x:c r="L307" s="12" t="inlineStr">
        <x:is>
          <x:t xml:space="preserve">23-7059731</x:t>
        </x:is>
      </x:c>
      <x:c r="M307" s="12" t="n"/>
      <x:c r="N307" s="12" t="inlineStr">
        <x:is>
          <x:t xml:space="preserve">derivative</x:t>
        </x:is>
      </x:c>
      <x:c r="O307" s="13" t="inlineStr">
        <x:is>
          <x:t xml:space="preserve">Public Form 990 rendering, organization profile, or filing-derived scale record</x:t>
        </x:is>
      </x:c>
      <x:c r="P307" s="13" t="inlineStr">
        <x:is>
          <x:t xml:space="preserve">expanded_reference_set.csv and prior frozen peer profile</x:t>
        </x:is>
      </x:c>
      <x:c r="Q307" s="13" t="inlineStr">
        <x:is>
          <x:t xml:space="preserve">Selection fields frozen without using compensation; full source-native profile page not archived.</x:t>
        </x:is>
      </x:c>
    </x:row>
    <x:row r="308">
      <x:c r="A308" s="12" t="inlineStr">
        <x:is>
          <x:t xml:space="preserve">SRC-PEER-POPULATION-REFERENCE-BUREAU</x:t>
        </x:is>
      </x:c>
      <x:c r="B308" s="12" t="inlineStr">
        <x:is>
          <x:t xml:space="preserve">Population Reference Bureau</x:t>
        </x:is>
      </x:c>
      <x:c r="C308" s="12" t="inlineStr">
        <x:is>
          <x:t xml:space="preserve">Peer selection and scale profile</x:t>
        </x:is>
      </x:c>
      <x:c r="D308" s="16" t="inlineStr">
        <x:is>
          <x:t xml:space="preserve">https://www.causeiq.com/organizations/population-reference-bureau%2C530214030/</x:t>
        </x:is>
      </x:c>
      <x:c r="E308" s="16" t="inlineStr">
        <x:is>
          <x:t xml:space="preserve">https://www.causeiq.com/organizations/population-reference-bureau%2C530214030/</x:t>
        </x:is>
      </x:c>
      <x:c r="F308" s="12" t="inlineStr">
        <x:is>
          <x:t xml:space="preserve">2026-08-25T16:07:55-0700</x:t>
        </x:is>
      </x:c>
      <x:c r="G308" s="16" t="inlineStr">
        <x:is>
          <x:t xml:space="preserve">sources/raw/src-peer-population-reference-bureau.txt</x:t>
        </x:is>
      </x:c>
      <x:c r="H308" s="12" t="inlineStr">
        <x:is>
          <x:t xml:space="preserve">text/plain; charset=utf-8</x:t>
        </x:is>
      </x:c>
      <x:c r="I308" s="12" t="n">
        <x:v>1462</x:v>
      </x:c>
      <x:c r="J308" s="13" t="inlineStr">
        <x:is>
          <x:t xml:space="preserve">d6c695bb929aa5ef8189fd757b2b0381dfb4febe7cf5d8793630e27d9f735882</x:t>
        </x:is>
      </x:c>
      <x:c r="K308" s="12" t="inlineStr">
        <x:is>
          <x:t xml:space="preserve">2023.0</x:t>
        </x:is>
      </x:c>
      <x:c r="L308" s="12" t="inlineStr">
        <x:is>
          <x:t xml:space="preserve">53-0214030</x:t>
        </x:is>
      </x:c>
      <x:c r="M308" s="12" t="n"/>
      <x:c r="N308" s="12" t="inlineStr">
        <x:is>
          <x:t xml:space="preserve">derivative</x:t>
        </x:is>
      </x:c>
      <x:c r="O308" s="13" t="inlineStr">
        <x:is>
          <x:t xml:space="preserve">Public Form 990 rendering, organization profile, or filing-derived scale record</x:t>
        </x:is>
      </x:c>
      <x:c r="P308" s="13" t="inlineStr">
        <x:is>
          <x:t xml:space="preserve">expanded_reference_set.csv and prior frozen peer profile</x:t>
        </x:is>
      </x:c>
      <x:c r="Q308" s="13" t="inlineStr">
        <x:is>
          <x:t xml:space="preserve">Selection fields frozen without using compensation; full source-native profile page not archived.</x:t>
        </x:is>
      </x:c>
    </x:row>
    <x:row r="309">
      <x:c r="A309" s="12" t="inlineStr">
        <x:is>
          <x:t xml:space="preserve">SRC-PEER-PRECISION-DEVELOPMENT</x:t>
        </x:is>
      </x:c>
      <x:c r="B309" s="12" t="inlineStr">
        <x:is>
          <x:t xml:space="preserve">Precision Development</x:t>
        </x:is>
      </x:c>
      <x:c r="C309" s="12" t="inlineStr">
        <x:is>
          <x:t xml:space="preserve">Peer selection and scale profile</x:t>
        </x:is>
      </x:c>
      <x:c r="D309" s="16" t="inlineStr">
        <x:is>
          <x:t xml:space="preserve">https://www.causeiq.com/organizations/precision-agriculture-for-development%2C810779400/</x:t>
        </x:is>
      </x:c>
      <x:c r="E309" s="16" t="inlineStr">
        <x:is>
          <x:t xml:space="preserve">https://www.causeiq.com/organizations/precision-agriculture-for-development%2C810779400/</x:t>
        </x:is>
      </x:c>
      <x:c r="F309" s="12" t="inlineStr">
        <x:is>
          <x:t xml:space="preserve">2026-08-25T16:07:55-0700</x:t>
        </x:is>
      </x:c>
      <x:c r="G309" s="16" t="inlineStr">
        <x:is>
          <x:t xml:space="preserve">sources/raw/src-peer-precision-development.txt</x:t>
        </x:is>
      </x:c>
      <x:c r="H309" s="12" t="inlineStr">
        <x:is>
          <x:t xml:space="preserve">text/plain; charset=utf-8</x:t>
        </x:is>
      </x:c>
      <x:c r="I309" s="12" t="n">
        <x:v>1519</x:v>
      </x:c>
      <x:c r="J309" s="13" t="inlineStr">
        <x:is>
          <x:t xml:space="preserve">aa2b80d22f81b1d78daa3ba13248f126a63fcc3b480dfbbe8c68f8531596fa81</x:t>
        </x:is>
      </x:c>
      <x:c r="K309" s="12" t="inlineStr">
        <x:is>
          <x:t xml:space="preserve">2023.0</x:t>
        </x:is>
      </x:c>
      <x:c r="L309" s="12" t="inlineStr">
        <x:is>
          <x:t xml:space="preserve">81-0779400</x:t>
        </x:is>
      </x:c>
      <x:c r="M309" s="12" t="n"/>
      <x:c r="N309" s="12" t="inlineStr">
        <x:is>
          <x:t xml:space="preserve">derivative</x:t>
        </x:is>
      </x:c>
      <x:c r="O309" s="13" t="inlineStr">
        <x:is>
          <x:t xml:space="preserve">Public Form 990 rendering, organization profile, or filing-derived scale record</x:t>
        </x:is>
      </x:c>
      <x:c r="P309" s="13" t="inlineStr">
        <x:is>
          <x:t xml:space="preserve">expanded_reference_set.csv and prior frozen peer profile</x:t>
        </x:is>
      </x:c>
      <x:c r="Q309" s="13" t="inlineStr">
        <x:is>
          <x:t xml:space="preserve">Selection fields frozen without using compensation; full source-native profile page not archived.</x:t>
        </x:is>
      </x:c>
    </x:row>
    <x:row r="310">
      <x:c r="A310" s="12" t="inlineStr">
        <x:is>
          <x:t xml:space="preserve">SRC-PEER-PROJECT-DRAWDOWN</x:t>
        </x:is>
      </x:c>
      <x:c r="B310" s="12" t="inlineStr">
        <x:is>
          <x:t xml:space="preserve">Project Drawdown</x:t>
        </x:is>
      </x:c>
      <x:c r="C310" s="12" t="inlineStr">
        <x:is>
          <x:t xml:space="preserve">Peer selection and scale profile</x:t>
        </x:is>
      </x:c>
      <x:c r="D310" s="16" t="inlineStr">
        <x:is>
          <x:t xml:space="preserve">https://projects.propublica.org/nonprofits/organizations/383705448</x:t>
        </x:is>
      </x:c>
      <x:c r="E310" s="16" t="inlineStr">
        <x:is>
          <x:t xml:space="preserve">https://projects.propublica.org/nonprofits/organizations/383705448</x:t>
        </x:is>
      </x:c>
      <x:c r="F310" s="12" t="inlineStr">
        <x:is>
          <x:t xml:space="preserve">2026-08-25T16:07:55-0700</x:t>
        </x:is>
      </x:c>
      <x:c r="G310" s="17" t="inlineStr">
        <x:is>
          <x:t xml:space="preserve">sources/raw/src-peer-project-drawdown.txt</x:t>
        </x:is>
      </x:c>
      <x:c r="H310" s="12" t="inlineStr">
        <x:is>
          <x:t xml:space="preserve">text/plain; charset=utf-8</x:t>
        </x:is>
      </x:c>
      <x:c r="I310" s="12" t="n">
        <x:v>1046</x:v>
      </x:c>
      <x:c r="J310" s="13" t="inlineStr">
        <x:is>
          <x:t xml:space="preserve">858db2729429d17aa50dd98a2ec974d2e2b56943ed214a0a5e190017caf79ccc</x:t>
        </x:is>
      </x:c>
      <x:c r="K310" s="12" t="inlineStr">
        <x:is>
          <x:t xml:space="preserve">2024.0</x:t>
        </x:is>
      </x:c>
      <x:c r="L310" s="12" t="inlineStr">
        <x:is>
          <x:t xml:space="preserve">38-3705448</x:t>
        </x:is>
      </x:c>
      <x:c r="M310" s="12" t="n"/>
      <x:c r="N310" s="12" t="inlineStr">
        <x:is>
          <x:t xml:space="preserve">derivative</x:t>
        </x:is>
      </x:c>
      <x:c r="O310" s="13" t="inlineStr">
        <x:is>
          <x:t xml:space="preserve">Public Form 990 rendering, organization profile, or filing-derived scale record</x:t>
        </x:is>
      </x:c>
      <x:c r="P310" s="13" t="inlineStr">
        <x:is>
          <x:t xml:space="preserve">expanded_reference_set.csv and prior frozen peer profile</x:t>
        </x:is>
      </x:c>
      <x:c r="Q310" s="13" t="inlineStr">
        <x:is>
          <x:t xml:space="preserve">Selection fields frozen without using compensation; full source-native profile page not archived.</x:t>
        </x:is>
      </x:c>
    </x:row>
    <x:row r="311">
      <x:c r="A311" s="12" t="inlineStr">
        <x:is>
          <x:t xml:space="preserve">SRC-PEER-PROJECT-HEALTHY-CHILDREN</x:t>
        </x:is>
      </x:c>
      <x:c r="B311" s="12" t="inlineStr">
        <x:is>
          <x:t xml:space="preserve">Project Healthy Children</x:t>
        </x:is>
      </x:c>
      <x:c r="C311" s="12" t="inlineStr">
        <x:is>
          <x:t xml:space="preserve">Peer selection and scale profile</x:t>
        </x:is>
      </x:c>
      <x:c r="D311" s="16" t="inlineStr">
        <x:is>
          <x:t xml:space="preserve">https://projects.propublica.org/nonprofits/organizations/830396815</x:t>
        </x:is>
      </x:c>
      <x:c r="E311" s="16" t="inlineStr">
        <x:is>
          <x:t xml:space="preserve">https://projects.propublica.org/nonprofits/organizations/830396815</x:t>
        </x:is>
      </x:c>
      <x:c r="F311" s="12" t="inlineStr">
        <x:is>
          <x:t xml:space="preserve">2026-08-25T16:07:55-0700</x:t>
        </x:is>
      </x:c>
      <x:c r="G311" s="16" t="inlineStr">
        <x:is>
          <x:t xml:space="preserve">sources/raw/src-peer-project-healthy-children.txt</x:t>
        </x:is>
      </x:c>
      <x:c r="H311" s="12" t="inlineStr">
        <x:is>
          <x:t xml:space="preserve">text/plain; charset=utf-8</x:t>
        </x:is>
      </x:c>
      <x:c r="I311" s="12" t="n">
        <x:v>1092</x:v>
      </x:c>
      <x:c r="J311" s="13" t="inlineStr">
        <x:is>
          <x:t xml:space="preserve">1b0e31b46670f9a063c84452d555e898d8f5f7a45fdd4edbd507033613c92e82</x:t>
        </x:is>
      </x:c>
      <x:c r="K311" s="12" t="inlineStr">
        <x:is>
          <x:t xml:space="preserve">2022.0</x:t>
        </x:is>
      </x:c>
      <x:c r="L311" s="12" t="inlineStr">
        <x:is>
          <x:t xml:space="preserve">83-0396815</x:t>
        </x:is>
      </x:c>
      <x:c r="M311" s="12" t="n"/>
      <x:c r="N311" s="12" t="inlineStr">
        <x:is>
          <x:t xml:space="preserve">derivative</x:t>
        </x:is>
      </x:c>
      <x:c r="O311" s="13" t="inlineStr">
        <x:is>
          <x:t xml:space="preserve">Public Form 990 rendering, organization profile, or filing-derived scale record</x:t>
        </x:is>
      </x:c>
      <x:c r="P311" s="13" t="inlineStr">
        <x:is>
          <x:t xml:space="preserve">expanded_reference_set.csv and prior frozen peer profile</x:t>
        </x:is>
      </x:c>
      <x:c r="Q311" s="13" t="inlineStr">
        <x:is>
          <x:t xml:space="preserve">Selection fields frozen without using compensation; full source-native profile page not archived.</x:t>
        </x:is>
      </x:c>
    </x:row>
    <x:row r="312">
      <x:c r="A312" s="12" t="inlineStr">
        <x:is>
          <x:t xml:space="preserve">SRC-PEER-PUBLIC-AGENDA</x:t>
        </x:is>
      </x:c>
      <x:c r="B312" s="12" t="inlineStr">
        <x:is>
          <x:t xml:space="preserve">Public Agenda</x:t>
        </x:is>
      </x:c>
      <x:c r="C312" s="12" t="inlineStr">
        <x:is>
          <x:t xml:space="preserve">Peer selection and scale profile</x:t>
        </x:is>
      </x:c>
      <x:c r="D312" s="16" t="inlineStr">
        <x:is>
          <x:t xml:space="preserve">https://projects.propublica.org/nonprofits/organizations/132847587</x:t>
        </x:is>
      </x:c>
      <x:c r="E312" s="16" t="inlineStr">
        <x:is>
          <x:t xml:space="preserve">https://projects.propublica.org/nonprofits/organizations/132847587</x:t>
        </x:is>
      </x:c>
      <x:c r="F312" s="12" t="inlineStr">
        <x:is>
          <x:t xml:space="preserve">2026-08-25T16:07:55-0700</x:t>
        </x:is>
      </x:c>
      <x:c r="G312" s="17" t="inlineStr">
        <x:is>
          <x:t xml:space="preserve">sources/raw/src-peer-public-agenda.txt</x:t>
        </x:is>
      </x:c>
      <x:c r="H312" s="12" t="inlineStr">
        <x:is>
          <x:t xml:space="preserve">text/plain; charset=utf-8</x:t>
        </x:is>
      </x:c>
      <x:c r="I312" s="12" t="n">
        <x:v>1061</x:v>
      </x:c>
      <x:c r="J312" s="13" t="inlineStr">
        <x:is>
          <x:t xml:space="preserve">e7ec6b3bdbf464eea66875f6143b208fde413b503a750c1da804107d27174838</x:t>
        </x:is>
      </x:c>
      <x:c r="K312" s="12" t="inlineStr">
        <x:is>
          <x:t xml:space="preserve">2024.0</x:t>
        </x:is>
      </x:c>
      <x:c r="L312" s="12" t="inlineStr">
        <x:is>
          <x:t xml:space="preserve">13-2847587</x:t>
        </x:is>
      </x:c>
      <x:c r="M312" s="12" t="n"/>
      <x:c r="N312" s="12" t="inlineStr">
        <x:is>
          <x:t xml:space="preserve">derivative</x:t>
        </x:is>
      </x:c>
      <x:c r="O312" s="13" t="inlineStr">
        <x:is>
          <x:t xml:space="preserve">Public Form 990 rendering, organization profile, or filing-derived scale record</x:t>
        </x:is>
      </x:c>
      <x:c r="P312" s="13" t="inlineStr">
        <x:is>
          <x:t xml:space="preserve">expanded_reference_set.csv and prior frozen peer profile</x:t>
        </x:is>
      </x:c>
      <x:c r="Q312" s="13" t="inlineStr">
        <x:is>
          <x:t xml:space="preserve">Selection fields frozen without using compensation; full source-native profile page not archived.</x:t>
        </x:is>
      </x:c>
    </x:row>
    <x:row r="313">
      <x:c r="A313" s="12" t="inlineStr">
        <x:is>
          <x:t xml:space="preserve">SRC-PEER-PUBLIC-KNOWLEDGE</x:t>
        </x:is>
      </x:c>
      <x:c r="B313" s="12" t="inlineStr">
        <x:is>
          <x:t xml:space="preserve">Public Knowledge</x:t>
        </x:is>
      </x:c>
      <x:c r="C313" s="12" t="inlineStr">
        <x:is>
          <x:t xml:space="preserve">Peer selection and scale profile</x:t>
        </x:is>
      </x:c>
      <x:c r="D313" s="16" t="inlineStr">
        <x:is>
          <x:t xml:space="preserve">https://www.causeiq.com/organizations/public-knowledge%2C522336690/</x:t>
        </x:is>
      </x:c>
      <x:c r="E313" s="16" t="inlineStr">
        <x:is>
          <x:t xml:space="preserve">https://www.causeiq.com/organizations/public-knowledge%2C522336690/</x:t>
        </x:is>
      </x:c>
      <x:c r="F313" s="12" t="inlineStr">
        <x:is>
          <x:t xml:space="preserve">2026-08-25T16:07:55-0700</x:t>
        </x:is>
      </x:c>
      <x:c r="G313" s="17" t="inlineStr">
        <x:is>
          <x:t xml:space="preserve">sources/raw/src-peer-public-knowledge.txt</x:t>
        </x:is>
      </x:c>
      <x:c r="H313" s="12" t="inlineStr">
        <x:is>
          <x:t xml:space="preserve">text/plain; charset=utf-8</x:t>
        </x:is>
      </x:c>
      <x:c r="I313" s="12" t="n">
        <x:v>1513</x:v>
      </x:c>
      <x:c r="J313" s="13" t="inlineStr">
        <x:is>
          <x:t xml:space="preserve">302086c41c102f615149d287f663db49c64fe2df3d673ef5751ec3f7785d2ef0</x:t>
        </x:is>
      </x:c>
      <x:c r="K313" s="12" t="inlineStr">
        <x:is>
          <x:t xml:space="preserve">2024.0</x:t>
        </x:is>
      </x:c>
      <x:c r="L313" s="12" t="inlineStr">
        <x:is>
          <x:t xml:space="preserve">52-2336690</x:t>
        </x:is>
      </x:c>
      <x:c r="M313" s="12" t="n"/>
      <x:c r="N313" s="12" t="inlineStr">
        <x:is>
          <x:t xml:space="preserve">derivative</x:t>
        </x:is>
      </x:c>
      <x:c r="O313" s="13" t="inlineStr">
        <x:is>
          <x:t xml:space="preserve">Public Form 990 rendering, organization profile, or filing-derived scale record</x:t>
        </x:is>
      </x:c>
      <x:c r="P313" s="13" t="inlineStr">
        <x:is>
          <x:t xml:space="preserve">expanded_reference_set.csv and prior frozen peer profile</x:t>
        </x:is>
      </x:c>
      <x:c r="Q313" s="13" t="inlineStr">
        <x:is>
          <x:t xml:space="preserve">Selection fields frozen without using compensation; full source-native profile page not archived.</x:t>
        </x:is>
      </x:c>
    </x:row>
    <x:row r="314">
      <x:c r="A314" s="12" t="inlineStr">
        <x:is>
          <x:t xml:space="preserve">SRC-PEER-PUBLIC-LIBRARY-OF-SCIENCE</x:t>
        </x:is>
      </x:c>
      <x:c r="B314" s="12" t="inlineStr">
        <x:is>
          <x:t xml:space="preserve">Public Library of Science</x:t>
        </x:is>
      </x:c>
      <x:c r="C314" s="12" t="inlineStr">
        <x:is>
          <x:t xml:space="preserve">Peer selection and scale profile</x:t>
        </x:is>
      </x:c>
      <x:c r="D314" s="16" t="inlineStr">
        <x:is>
          <x:t xml:space="preserve">https://www.causeiq.com/organizations/public-library-of-science%2C680492065/</x:t>
        </x:is>
      </x:c>
      <x:c r="E314" s="16" t="inlineStr">
        <x:is>
          <x:t xml:space="preserve">https://www.causeiq.com/organizations/public-library-of-science%2C680492065/</x:t>
        </x:is>
      </x:c>
      <x:c r="F314" s="12" t="inlineStr">
        <x:is>
          <x:t xml:space="preserve">2026-08-25T16:07:55-0700</x:t>
        </x:is>
      </x:c>
      <x:c r="G314" s="16" t="inlineStr">
        <x:is>
          <x:t xml:space="preserve">sources/raw/src-peer-public-library-of-science.txt</x:t>
        </x:is>
      </x:c>
      <x:c r="H314" s="12" t="inlineStr">
        <x:is>
          <x:t xml:space="preserve">text/plain; charset=utf-8</x:t>
        </x:is>
      </x:c>
      <x:c r="I314" s="12" t="n">
        <x:v>1420</x:v>
      </x:c>
      <x:c r="J314" s="13" t="inlineStr">
        <x:is>
          <x:t xml:space="preserve">1095ffd74759bc959b03600b612567d423bedd616174457c80a37792ac47f69d</x:t>
        </x:is>
      </x:c>
      <x:c r="K314" s="12" t="n"/>
      <x:c r="L314" s="12" t="inlineStr">
        <x:is>
          <x:t xml:space="preserve">68-0492065</x:t>
        </x:is>
      </x:c>
      <x:c r="M314" s="12" t="n"/>
      <x:c r="N314" s="12" t="inlineStr">
        <x:is>
          <x:t xml:space="preserve">derivative</x:t>
        </x:is>
      </x:c>
      <x:c r="O314" s="13" t="inlineStr">
        <x:is>
          <x:t xml:space="preserve">Public Form 990 rendering, organization profile, or filing-derived scale record</x:t>
        </x:is>
      </x:c>
      <x:c r="P314" s="13" t="inlineStr">
        <x:is>
          <x:t xml:space="preserve">expanded_reference_set.csv and prior frozen peer profile</x:t>
        </x:is>
      </x:c>
      <x:c r="Q314" s="13" t="inlineStr">
        <x:is>
          <x:t xml:space="preserve">Selection fields frozen without using compensation; full source-native profile page not archived.</x:t>
        </x:is>
      </x:c>
    </x:row>
    <x:row r="315">
      <x:c r="A315" s="12" t="inlineStr">
        <x:is>
          <x:t xml:space="preserve">SRC-PEER-PURE-EARTH</x:t>
        </x:is>
      </x:c>
      <x:c r="B315" s="12" t="inlineStr">
        <x:is>
          <x:t xml:space="preserve">Pure Earth</x:t>
        </x:is>
      </x:c>
      <x:c r="C315" s="12" t="inlineStr">
        <x:is>
          <x:t xml:space="preserve">Peer selection and scale profile</x:t>
        </x:is>
      </x:c>
      <x:c r="D315" s="16" t="inlineStr">
        <x:is>
          <x:t xml:space="preserve">https://www.causeiq.com/organizations/pure-earth%2C134075779/</x:t>
        </x:is>
      </x:c>
      <x:c r="E315" s="16" t="inlineStr">
        <x:is>
          <x:t xml:space="preserve">https://www.causeiq.com/organizations/pure-earth%2C134075779/</x:t>
        </x:is>
      </x:c>
      <x:c r="F315" s="12" t="inlineStr">
        <x:is>
          <x:t xml:space="preserve">2026-08-25T16:07:55-0700</x:t>
        </x:is>
      </x:c>
      <x:c r="G315" s="17" t="inlineStr">
        <x:is>
          <x:t xml:space="preserve">sources/raw/src-peer-pure-earth.txt</x:t>
        </x:is>
      </x:c>
      <x:c r="H315" s="12" t="inlineStr">
        <x:is>
          <x:t xml:space="preserve">text/plain; charset=utf-8</x:t>
        </x:is>
      </x:c>
      <x:c r="I315" s="12" t="n">
        <x:v>1311</x:v>
      </x:c>
      <x:c r="J315" s="13" t="inlineStr">
        <x:is>
          <x:t xml:space="preserve">aa7a4db7e119e0c14604e4bb86f5080edf44d1a70031e7f3c59d773357b10a97</x:t>
        </x:is>
      </x:c>
      <x:c r="K315" s="12" t="n"/>
      <x:c r="L315" s="12" t="inlineStr">
        <x:is>
          <x:t xml:space="preserve">13-4075779</x:t>
        </x:is>
      </x:c>
      <x:c r="M315" s="12" t="n"/>
      <x:c r="N315" s="12" t="inlineStr">
        <x:is>
          <x:t xml:space="preserve">derivative</x:t>
        </x:is>
      </x:c>
      <x:c r="O315" s="13" t="inlineStr">
        <x:is>
          <x:t xml:space="preserve">Public Form 990 rendering, organization profile, or filing-derived scale record</x:t>
        </x:is>
      </x:c>
      <x:c r="P315" s="13" t="inlineStr">
        <x:is>
          <x:t xml:space="preserve">expanded_reference_set.csv and prior frozen peer profile</x:t>
        </x:is>
      </x:c>
      <x:c r="Q315" s="13" t="inlineStr">
        <x:is>
          <x:t xml:space="preserve">Selection fields frozen without using compensation; full source-native profile page not archived.</x:t>
        </x:is>
      </x:c>
    </x:row>
    <x:row r="316">
      <x:c r="A316" s="13" t="inlineStr">
        <x:is>
          <x:t xml:space="preserve">SRC-PEER-QUINCY-INSTITUTE-FOR-RESPONSIBLE-STATECRAFT</x:t>
        </x:is>
      </x:c>
      <x:c r="B316" s="12" t="inlineStr">
        <x:is>
          <x:t xml:space="preserve">Quincy Institute for Responsible Statecraft</x:t>
        </x:is>
      </x:c>
      <x:c r="C316" s="12" t="inlineStr">
        <x:is>
          <x:t xml:space="preserve">Peer selection and scale profile</x:t>
        </x:is>
      </x:c>
      <x:c r="D316" s="16" t="inlineStr">
        <x:is>
          <x:t xml:space="preserve">https://projects.propublica.org/nonprofits/organizations/842285143</x:t>
        </x:is>
      </x:c>
      <x:c r="E316" s="16" t="inlineStr">
        <x:is>
          <x:t xml:space="preserve">https://projects.propublica.org/nonprofits/organizations/842285143</x:t>
        </x:is>
      </x:c>
      <x:c r="F316" s="12" t="inlineStr">
        <x:is>
          <x:t xml:space="preserve">2026-08-25T16:07:55-0700</x:t>
        </x:is>
      </x:c>
      <x:c r="G316" s="16" t="inlineStr">
        <x:is>
          <x:t xml:space="preserve">sources/raw/src-peer-quincy-institute-for-responsible-statecraft.txt</x:t>
        </x:is>
      </x:c>
      <x:c r="H316" s="12" t="inlineStr">
        <x:is>
          <x:t xml:space="preserve">text/plain; charset=utf-8</x:t>
        </x:is>
      </x:c>
      <x:c r="I316" s="12" t="n">
        <x:v>1097</x:v>
      </x:c>
      <x:c r="J316" s="13" t="inlineStr">
        <x:is>
          <x:t xml:space="preserve">c5bdb72d0891a9b04684a432663b27f2b681492a60665a77fb3c46ff5d75a8e5</x:t>
        </x:is>
      </x:c>
      <x:c r="K316" s="12" t="inlineStr">
        <x:is>
          <x:t xml:space="preserve">2024.0</x:t>
        </x:is>
      </x:c>
      <x:c r="L316" s="12" t="inlineStr">
        <x:is>
          <x:t xml:space="preserve">84-2285143</x:t>
        </x:is>
      </x:c>
      <x:c r="M316" s="12" t="n"/>
      <x:c r="N316" s="12" t="inlineStr">
        <x:is>
          <x:t xml:space="preserve">derivative</x:t>
        </x:is>
      </x:c>
      <x:c r="O316" s="13" t="inlineStr">
        <x:is>
          <x:t xml:space="preserve">Public Form 990 rendering, organization profile, or filing-derived scale record</x:t>
        </x:is>
      </x:c>
      <x:c r="P316" s="13" t="inlineStr">
        <x:is>
          <x:t xml:space="preserve">expanded_reference_set.csv and prior frozen peer profile</x:t>
        </x:is>
      </x:c>
      <x:c r="Q316" s="13" t="inlineStr">
        <x:is>
          <x:t xml:space="preserve">Selection fields frozen without using compensation; full source-native profile page not archived.</x:t>
        </x:is>
      </x:c>
    </x:row>
    <x:row r="317">
      <x:c r="A317" s="12" t="inlineStr">
        <x:is>
          <x:t xml:space="preserve">SRC-PEER-REDWOOD-RESEARCH</x:t>
        </x:is>
      </x:c>
      <x:c r="B317" s="12" t="inlineStr">
        <x:is>
          <x:t xml:space="preserve">Redwood Research</x:t>
        </x:is>
      </x:c>
      <x:c r="C317" s="12" t="inlineStr">
        <x:is>
          <x:t xml:space="preserve">Peer selection and scale profile</x:t>
        </x:is>
      </x:c>
      <x:c r="D317" s="16" t="inlineStr">
        <x:is>
          <x:t xml:space="preserve">https://www.causeiq.com/organizations/redwood-research-group%2C871702255/</x:t>
        </x:is>
      </x:c>
      <x:c r="E317" s="16" t="inlineStr">
        <x:is>
          <x:t xml:space="preserve">https://www.causeiq.com/organizations/redwood-research-group%2C871702255/</x:t>
        </x:is>
      </x:c>
      <x:c r="F317" s="12" t="inlineStr">
        <x:is>
          <x:t xml:space="preserve">2026-08-25T16:07:55-0700</x:t>
        </x:is>
      </x:c>
      <x:c r="G317" s="17" t="inlineStr">
        <x:is>
          <x:t xml:space="preserve">sources/raw/src-peer-redwood-research.txt</x:t>
        </x:is>
      </x:c>
      <x:c r="H317" s="12" t="inlineStr">
        <x:is>
          <x:t xml:space="preserve">text/plain; charset=utf-8</x:t>
        </x:is>
      </x:c>
      <x:c r="I317" s="12" t="n">
        <x:v>1498</x:v>
      </x:c>
      <x:c r="J317" s="13" t="inlineStr">
        <x:is>
          <x:t xml:space="preserve">0c75a662083145beb01f4657f4919faddee264bdf716817b6350678b6ea3d7d4</x:t>
        </x:is>
      </x:c>
      <x:c r="K317" s="12" t="inlineStr">
        <x:is>
          <x:t xml:space="preserve">2024.0</x:t>
        </x:is>
      </x:c>
      <x:c r="L317" s="12" t="inlineStr">
        <x:is>
          <x:t xml:space="preserve">87-1702255</x:t>
        </x:is>
      </x:c>
      <x:c r="M317" s="12" t="n"/>
      <x:c r="N317" s="12" t="inlineStr">
        <x:is>
          <x:t xml:space="preserve">derivative</x:t>
        </x:is>
      </x:c>
      <x:c r="O317" s="13" t="inlineStr">
        <x:is>
          <x:t xml:space="preserve">Public Form 990 rendering, organization profile, or filing-derived scale record</x:t>
        </x:is>
      </x:c>
      <x:c r="P317" s="13" t="inlineStr">
        <x:is>
          <x:t xml:space="preserve">expanded_reference_set.csv and prior frozen peer profile</x:t>
        </x:is>
      </x:c>
      <x:c r="Q317" s="13" t="inlineStr">
        <x:is>
          <x:t xml:space="preserve">Selection fields frozen without using compensation; full source-native profile page not archived.</x:t>
        </x:is>
      </x:c>
    </x:row>
    <x:row r="318">
      <x:c r="A318" s="12" t="inlineStr">
        <x:is>
          <x:t xml:space="preserve">SRC-PEER-RESEARCH-AMERICA</x:t>
        </x:is>
      </x:c>
      <x:c r="B318" s="12" t="inlineStr">
        <x:is>
          <x:t xml:space="preserve">Research!America</x:t>
        </x:is>
      </x:c>
      <x:c r="C318" s="12" t="inlineStr">
        <x:is>
          <x:t xml:space="preserve">Peer selection and scale profile</x:t>
        </x:is>
      </x:c>
      <x:c r="D318" s="16" t="inlineStr">
        <x:is>
          <x:t xml:space="preserve">https://projects.propublica.org/nonprofits/organizations/521609875</x:t>
        </x:is>
      </x:c>
      <x:c r="E318" s="16" t="inlineStr">
        <x:is>
          <x:t xml:space="preserve">https://projects.propublica.org/nonprofits/organizations/521609875</x:t>
        </x:is>
      </x:c>
      <x:c r="F318" s="12" t="inlineStr">
        <x:is>
          <x:t xml:space="preserve">2026-08-25T16:07:55-0700</x:t>
        </x:is>
      </x:c>
      <x:c r="G318" s="17" t="inlineStr">
        <x:is>
          <x:t xml:space="preserve">sources/raw/src-peer-research-america.txt</x:t>
        </x:is>
      </x:c>
      <x:c r="H318" s="12" t="inlineStr">
        <x:is>
          <x:t xml:space="preserve">text/plain; charset=utf-8</x:t>
        </x:is>
      </x:c>
      <x:c r="I318" s="12" t="n">
        <x:v>1487</x:v>
      </x:c>
      <x:c r="J318" s="13" t="inlineStr">
        <x:is>
          <x:t xml:space="preserve">1f45d7e775245e31a365bab9cc21c88068af6d397c0ce190892158ea34405642</x:t>
        </x:is>
      </x:c>
      <x:c r="K318" s="12" t="inlineStr">
        <x:is>
          <x:t xml:space="preserve">2025.0</x:t>
        </x:is>
      </x:c>
      <x:c r="L318" s="12" t="inlineStr">
        <x:is>
          <x:t xml:space="preserve">52-1609875</x:t>
        </x:is>
      </x:c>
      <x:c r="M318" s="12" t="n"/>
      <x:c r="N318" s="12" t="inlineStr">
        <x:is>
          <x:t xml:space="preserve">derivative</x:t>
        </x:is>
      </x:c>
      <x:c r="O318" s="13" t="inlineStr">
        <x:is>
          <x:t xml:space="preserve">Public Form 990 rendering, organization profile, or filing-derived scale record</x:t>
        </x:is>
      </x:c>
      <x:c r="P318" s="13" t="inlineStr">
        <x:is>
          <x:t xml:space="preserve">expanded_reference_set.csv and prior frozen peer profile</x:t>
        </x:is>
      </x:c>
      <x:c r="Q318" s="13" t="inlineStr">
        <x:is>
          <x:t xml:space="preserve">Selection fields frozen without using compensation; full source-native profile page not archived.</x:t>
        </x:is>
      </x:c>
    </x:row>
    <x:row r="319">
      <x:c r="A319" s="12" t="inlineStr">
        <x:is>
          <x:t xml:space="preserve">SRC-PEER-RESOLVE-TO-SAVE-LIVES</x:t>
        </x:is>
      </x:c>
      <x:c r="B319" s="12" t="inlineStr">
        <x:is>
          <x:t xml:space="preserve">Resolve to Save Lives</x:t>
        </x:is>
      </x:c>
      <x:c r="C319" s="12" t="inlineStr">
        <x:is>
          <x:t xml:space="preserve">Peer selection and scale profile</x:t>
        </x:is>
      </x:c>
      <x:c r="D319" s="16" t="inlineStr">
        <x:is>
          <x:t xml:space="preserve">https://www.causeiq.com/organizations/resolve-to-save-lives%2C862254152/</x:t>
        </x:is>
      </x:c>
      <x:c r="E319" s="16" t="inlineStr">
        <x:is>
          <x:t xml:space="preserve">https://www.causeiq.com/organizations/resolve-to-save-lives%2C862254152/</x:t>
        </x:is>
      </x:c>
      <x:c r="F319" s="12" t="inlineStr">
        <x:is>
          <x:t xml:space="preserve">2026-08-25T16:07:55-0700</x:t>
        </x:is>
      </x:c>
      <x:c r="G319" s="16" t="inlineStr">
        <x:is>
          <x:t xml:space="preserve">sources/raw/src-peer-resolve-to-save-lives.txt</x:t>
        </x:is>
      </x:c>
      <x:c r="H319" s="12" t="inlineStr">
        <x:is>
          <x:t xml:space="preserve">text/plain; charset=utf-8</x:t>
        </x:is>
      </x:c>
      <x:c r="I319" s="12" t="n">
        <x:v>1304</x:v>
      </x:c>
      <x:c r="J319" s="13" t="inlineStr">
        <x:is>
          <x:t xml:space="preserve">1397a7af656744a57897635c7e296ab43d3c89cccae3661ca54600d4a4184f72</x:t>
        </x:is>
      </x:c>
      <x:c r="K319" s="12" t="n"/>
      <x:c r="L319" s="12" t="inlineStr">
        <x:is>
          <x:t xml:space="preserve">86-2254152</x:t>
        </x:is>
      </x:c>
      <x:c r="M319" s="12" t="n"/>
      <x:c r="N319" s="12" t="inlineStr">
        <x:is>
          <x:t xml:space="preserve">derivative</x:t>
        </x:is>
      </x:c>
      <x:c r="O319" s="13" t="inlineStr">
        <x:is>
          <x:t xml:space="preserve">Public Form 990 rendering, organization profile, or filing-derived scale record</x:t>
        </x:is>
      </x:c>
      <x:c r="P319" s="13" t="inlineStr">
        <x:is>
          <x:t xml:space="preserve">expanded_reference_set.csv and prior frozen peer profile</x:t>
        </x:is>
      </x:c>
      <x:c r="Q319" s="13" t="inlineStr">
        <x:is>
          <x:t xml:space="preserve">Selection fields frozen without using compensation; full source-native profile page not archived.</x:t>
        </x:is>
      </x:c>
    </x:row>
    <x:row r="320">
      <x:c r="A320" s="12" t="inlineStr">
        <x:is>
          <x:t xml:space="preserve">SRC-PEER-RESULTS-FOR-AMERICA</x:t>
        </x:is>
      </x:c>
      <x:c r="B320" s="12" t="inlineStr">
        <x:is>
          <x:t xml:space="preserve">Results for America</x:t>
        </x:is>
      </x:c>
      <x:c r="C320" s="12" t="inlineStr">
        <x:is>
          <x:t xml:space="preserve">Peer selection and scale profile</x:t>
        </x:is>
      </x:c>
      <x:c r="D320" s="16" t="inlineStr">
        <x:is>
          <x:t xml:space="preserve">https://projects.propublica.org/nonprofits/organizations/812709681</x:t>
        </x:is>
      </x:c>
      <x:c r="E320" s="16" t="inlineStr">
        <x:is>
          <x:t xml:space="preserve">https://projects.propublica.org/nonprofits/organizations/812709681</x:t>
        </x:is>
      </x:c>
      <x:c r="F320" s="12" t="inlineStr">
        <x:is>
          <x:t xml:space="preserve">2026-08-25T16:07:55-0700</x:t>
        </x:is>
      </x:c>
      <x:c r="G320" s="17" t="inlineStr">
        <x:is>
          <x:t xml:space="preserve">sources/raw/src-peer-results-for-america.txt</x:t>
        </x:is>
      </x:c>
      <x:c r="H320" s="12" t="inlineStr">
        <x:is>
          <x:t xml:space="preserve">text/plain; charset=utf-8</x:t>
        </x:is>
      </x:c>
      <x:c r="I320" s="12" t="n">
        <x:v>1067</x:v>
      </x:c>
      <x:c r="J320" s="13" t="inlineStr">
        <x:is>
          <x:t xml:space="preserve">1e4f1bf66461725dd6d115d78456d726f84c265c04df86f248173edec377a5fc</x:t>
        </x:is>
      </x:c>
      <x:c r="K320" s="12" t="inlineStr">
        <x:is>
          <x:t xml:space="preserve">2024.0</x:t>
        </x:is>
      </x:c>
      <x:c r="L320" s="12" t="inlineStr">
        <x:is>
          <x:t xml:space="preserve">81-2709681</x:t>
        </x:is>
      </x:c>
      <x:c r="M320" s="12" t="n"/>
      <x:c r="N320" s="12" t="inlineStr">
        <x:is>
          <x:t xml:space="preserve">derivative</x:t>
        </x:is>
      </x:c>
      <x:c r="O320" s="13" t="inlineStr">
        <x:is>
          <x:t xml:space="preserve">Public Form 990 rendering, organization profile, or filing-derived scale record</x:t>
        </x:is>
      </x:c>
      <x:c r="P320" s="13" t="inlineStr">
        <x:is>
          <x:t xml:space="preserve">expanded_reference_set.csv and prior frozen peer profile</x:t>
        </x:is>
      </x:c>
      <x:c r="Q320" s="13" t="inlineStr">
        <x:is>
          <x:t xml:space="preserve">Selection fields frozen without using compensation; full source-native profile page not archived.</x:t>
        </x:is>
      </x:c>
    </x:row>
    <x:row r="321">
      <x:c r="A321" s="12" t="inlineStr">
        <x:is>
          <x:t xml:space="preserve">SRC-PEER-RESULTS-FOR-DEVELOPMENT</x:t>
        </x:is>
      </x:c>
      <x:c r="B321" s="12" t="inlineStr">
        <x:is>
          <x:t xml:space="preserve">Results for Development</x:t>
        </x:is>
      </x:c>
      <x:c r="C321" s="12" t="inlineStr">
        <x:is>
          <x:t xml:space="preserve">Peer selection and scale profile</x:t>
        </x:is>
      </x:c>
      <x:c r="D321" s="16" t="inlineStr">
        <x:is>
          <x:t xml:space="preserve">https://www.causeiq.com/organizations/results-for-development%2C208530747/</x:t>
        </x:is>
      </x:c>
      <x:c r="E321" s="16" t="inlineStr">
        <x:is>
          <x:t xml:space="preserve">https://www.causeiq.com/organizations/results-for-development%2C208530747/</x:t>
        </x:is>
      </x:c>
      <x:c r="F321" s="12" t="inlineStr">
        <x:is>
          <x:t xml:space="preserve">2026-08-25T16:07:55-0700</x:t>
        </x:is>
      </x:c>
      <x:c r="G321" s="16" t="inlineStr">
        <x:is>
          <x:t xml:space="preserve">sources/raw/src-peer-results-for-development.txt</x:t>
        </x:is>
      </x:c>
      <x:c r="H321" s="12" t="inlineStr">
        <x:is>
          <x:t xml:space="preserve">text/plain; charset=utf-8</x:t>
        </x:is>
      </x:c>
      <x:c r="I321" s="12" t="n">
        <x:v>1484</x:v>
      </x:c>
      <x:c r="J321" s="13" t="inlineStr">
        <x:is>
          <x:t xml:space="preserve">be15427bb88676bdee5acb85c80dce63f2d9545da63c8b3f8320d537f7a7ec56</x:t>
        </x:is>
      </x:c>
      <x:c r="K321" s="12" t="inlineStr">
        <x:is>
          <x:t xml:space="preserve">2024.0</x:t>
        </x:is>
      </x:c>
      <x:c r="L321" s="12" t="inlineStr">
        <x:is>
          <x:t xml:space="preserve">20-8530747</x:t>
        </x:is>
      </x:c>
      <x:c r="M321" s="12" t="n"/>
      <x:c r="N321" s="12" t="inlineStr">
        <x:is>
          <x:t xml:space="preserve">derivative</x:t>
        </x:is>
      </x:c>
      <x:c r="O321" s="13" t="inlineStr">
        <x:is>
          <x:t xml:space="preserve">Public Form 990 rendering, organization profile, or filing-derived scale record</x:t>
        </x:is>
      </x:c>
      <x:c r="P321" s="13" t="inlineStr">
        <x:is>
          <x:t xml:space="preserve">expanded_reference_set.csv and prior frozen peer profile</x:t>
        </x:is>
      </x:c>
      <x:c r="Q321" s="13" t="inlineStr">
        <x:is>
          <x:t xml:space="preserve">Selection fields frozen without using compensation; full source-native profile page not archived.</x:t>
        </x:is>
      </x:c>
    </x:row>
    <x:row r="322">
      <x:c r="A322" s="12" t="inlineStr">
        <x:is>
          <x:t xml:space="preserve">SRC-PEER-ROOSEVELT-INSTITUTE</x:t>
        </x:is>
      </x:c>
      <x:c r="B322" s="12" t="inlineStr">
        <x:is>
          <x:t xml:space="preserve">Roosevelt Institute</x:t>
        </x:is>
      </x:c>
      <x:c r="C322" s="12" t="inlineStr">
        <x:is>
          <x:t xml:space="preserve">Peer selection and scale profile</x:t>
        </x:is>
      </x:c>
      <x:c r="D322" s="16" t="inlineStr">
        <x:is>
          <x:t xml:space="preserve">https://projects.propublica.org/nonprofits/organizations/237213592</x:t>
        </x:is>
      </x:c>
      <x:c r="E322" s="16" t="inlineStr">
        <x:is>
          <x:t xml:space="preserve">https://projects.propublica.org/nonprofits/organizations/237213592</x:t>
        </x:is>
      </x:c>
      <x:c r="F322" s="12" t="inlineStr">
        <x:is>
          <x:t xml:space="preserve">2026-08-25T16:07:55-0700</x:t>
        </x:is>
      </x:c>
      <x:c r="G322" s="17" t="inlineStr">
        <x:is>
          <x:t xml:space="preserve">sources/raw/src-peer-roosevelt-institute.txt</x:t>
        </x:is>
      </x:c>
      <x:c r="H322" s="12" t="inlineStr">
        <x:is>
          <x:t xml:space="preserve">text/plain; charset=utf-8</x:t>
        </x:is>
      </x:c>
      <x:c r="I322" s="12" t="n">
        <x:v>1074</x:v>
      </x:c>
      <x:c r="J322" s="13" t="inlineStr">
        <x:is>
          <x:t xml:space="preserve">8d2cbbb05f1ec9dca67d1eff5280025b185dc3f777b0a43f25cff21771cf016c</x:t>
        </x:is>
      </x:c>
      <x:c r="K322" s="12" t="inlineStr">
        <x:is>
          <x:t xml:space="preserve">2024.0</x:t>
        </x:is>
      </x:c>
      <x:c r="L322" s="12" t="inlineStr">
        <x:is>
          <x:t xml:space="preserve">23-7213592</x:t>
        </x:is>
      </x:c>
      <x:c r="M322" s="12" t="n"/>
      <x:c r="N322" s="12" t="inlineStr">
        <x:is>
          <x:t xml:space="preserve">derivative</x:t>
        </x:is>
      </x:c>
      <x:c r="O322" s="13" t="inlineStr">
        <x:is>
          <x:t xml:space="preserve">Public Form 990 rendering, organization profile, or filing-derived scale record</x:t>
        </x:is>
      </x:c>
      <x:c r="P322" s="13" t="inlineStr">
        <x:is>
          <x:t xml:space="preserve">expanded_reference_set.csv and prior frozen peer profile</x:t>
        </x:is>
      </x:c>
      <x:c r="Q322" s="13" t="inlineStr">
        <x:is>
          <x:t xml:space="preserve">Selection fields frozen without using compensation; full source-native profile page not archived.</x:t>
        </x:is>
      </x:c>
    </x:row>
    <x:row r="323">
      <x:c r="A323" s="12" t="inlineStr">
        <x:is>
          <x:t xml:space="preserve">SRC-PEER-SAN-FRANCISCO-ESTUARY-INSTITUTE</x:t>
        </x:is>
      </x:c>
      <x:c r="B323" s="12" t="inlineStr">
        <x:is>
          <x:t xml:space="preserve">San Francisco Estuary Institute</x:t>
        </x:is>
      </x:c>
      <x:c r="C323" s="12" t="inlineStr">
        <x:is>
          <x:t xml:space="preserve">Peer selection and scale profile</x:t>
        </x:is>
      </x:c>
      <x:c r="D323" s="16" t="inlineStr">
        <x:is>
          <x:t xml:space="preserve">https://www.causeiq.com/organizations/san-francisco-estuary-institute%2C942951373/</x:t>
        </x:is>
      </x:c>
      <x:c r="E323" s="16" t="inlineStr">
        <x:is>
          <x:t xml:space="preserve">https://www.causeiq.com/organizations/san-francisco-estuary-institute%2C942951373/</x:t>
        </x:is>
      </x:c>
      <x:c r="F323" s="12" t="inlineStr">
        <x:is>
          <x:t xml:space="preserve">2026-08-25T16:07:55-0700</x:t>
        </x:is>
      </x:c>
      <x:c r="G323" s="16" t="inlineStr">
        <x:is>
          <x:t xml:space="preserve">sources/raw/src-peer-san-francisco-estuary-institute.txt</x:t>
        </x:is>
      </x:c>
      <x:c r="H323" s="12" t="inlineStr">
        <x:is>
          <x:t xml:space="preserve">text/plain; charset=utf-8</x:t>
        </x:is>
      </x:c>
      <x:c r="I323" s="12" t="n">
        <x:v>1489</x:v>
      </x:c>
      <x:c r="J323" s="13" t="inlineStr">
        <x:is>
          <x:t xml:space="preserve">c10ab3767f34ded34c1fb4f669d85ea7ea448e5731146fc30bc2509cc0a12b0e</x:t>
        </x:is>
      </x:c>
      <x:c r="K323" s="12" t="inlineStr">
        <x:is>
          <x:t xml:space="preserve">2024.0</x:t>
        </x:is>
      </x:c>
      <x:c r="L323" s="12" t="inlineStr">
        <x:is>
          <x:t xml:space="preserve">94-2951373</x:t>
        </x:is>
      </x:c>
      <x:c r="M323" s="12" t="n"/>
      <x:c r="N323" s="12" t="inlineStr">
        <x:is>
          <x:t xml:space="preserve">derivative</x:t>
        </x:is>
      </x:c>
      <x:c r="O323" s="13" t="inlineStr">
        <x:is>
          <x:t xml:space="preserve">Public Form 990 rendering, organization profile, or filing-derived scale record</x:t>
        </x:is>
      </x:c>
      <x:c r="P323" s="13" t="inlineStr">
        <x:is>
          <x:t xml:space="preserve">expanded_reference_set.csv and prior frozen peer profile</x:t>
        </x:is>
      </x:c>
      <x:c r="Q323" s="13" t="inlineStr">
        <x:is>
          <x:t xml:space="preserve">Selection fields frozen without using compensation; full source-native profile page not archived.</x:t>
        </x:is>
      </x:c>
    </x:row>
    <x:row r="324">
      <x:c r="A324" s="12" t="inlineStr">
        <x:is>
          <x:t xml:space="preserve">SRC-PEER-SENTIENCE-INSTITUTE</x:t>
        </x:is>
      </x:c>
      <x:c r="B324" s="12" t="inlineStr">
        <x:is>
          <x:t xml:space="preserve">Sentience Institute</x:t>
        </x:is>
      </x:c>
      <x:c r="C324" s="12" t="inlineStr">
        <x:is>
          <x:t xml:space="preserve">Peer selection and scale profile</x:t>
        </x:is>
      </x:c>
      <x:c r="D324" s="16" t="inlineStr">
        <x:is>
          <x:t xml:space="preserve">https://www.causeiq.com/organizations/sentience-institute%2C822537926/</x:t>
        </x:is>
      </x:c>
      <x:c r="E324" s="16" t="inlineStr">
        <x:is>
          <x:t xml:space="preserve">https://www.causeiq.com/organizations/sentience-institute%2C822537926/</x:t>
        </x:is>
      </x:c>
      <x:c r="F324" s="12" t="inlineStr">
        <x:is>
          <x:t xml:space="preserve">2026-08-25T16:07:55-0700</x:t>
        </x:is>
      </x:c>
      <x:c r="G324" s="17" t="inlineStr">
        <x:is>
          <x:t xml:space="preserve">sources/raw/src-peer-sentience-institute.txt</x:t>
        </x:is>
      </x:c>
      <x:c r="H324" s="12" t="inlineStr">
        <x:is>
          <x:t xml:space="preserve">text/plain; charset=utf-8</x:t>
        </x:is>
      </x:c>
      <x:c r="I324" s="12" t="n">
        <x:v>1358</x:v>
      </x:c>
      <x:c r="J324" s="13" t="inlineStr">
        <x:is>
          <x:t xml:space="preserve">d8491c1679f0106ed6680381c2c80367579d1c7973124066c5edd4fa4b477a1f</x:t>
        </x:is>
      </x:c>
      <x:c r="K324" s="12" t="n"/>
      <x:c r="L324" s="12" t="inlineStr">
        <x:is>
          <x:t xml:space="preserve">82-2537926</x:t>
        </x:is>
      </x:c>
      <x:c r="M324" s="12" t="n"/>
      <x:c r="N324" s="12" t="inlineStr">
        <x:is>
          <x:t xml:space="preserve">derivative</x:t>
        </x:is>
      </x:c>
      <x:c r="O324" s="13" t="inlineStr">
        <x:is>
          <x:t xml:space="preserve">Public Form 990 rendering, organization profile, or filing-derived scale record</x:t>
        </x:is>
      </x:c>
      <x:c r="P324" s="13" t="inlineStr">
        <x:is>
          <x:t xml:space="preserve">expanded_reference_set.csv and prior frozen peer profile</x:t>
        </x:is>
      </x:c>
      <x:c r="Q324" s="13" t="inlineStr">
        <x:is>
          <x:t xml:space="preserve">Selection fields frozen without using compensation; full source-native profile page not archived.</x:t>
        </x:is>
      </x:c>
    </x:row>
    <x:row r="325">
      <x:c r="A325" s="12" t="inlineStr">
        <x:is>
          <x:t xml:space="preserve">SRC-PEER-SENTIENT-MEDIA</x:t>
        </x:is>
      </x:c>
      <x:c r="B325" s="12" t="inlineStr">
        <x:is>
          <x:t xml:space="preserve">Sentient Media</x:t>
        </x:is>
      </x:c>
      <x:c r="C325" s="12" t="inlineStr">
        <x:is>
          <x:t xml:space="preserve">Peer selection and scale profile</x:t>
        </x:is>
      </x:c>
      <x:c r="D325" s="16" t="inlineStr">
        <x:is>
          <x:t xml:space="preserve">https://projects.propublica.org/nonprofits/organizations/830804345</x:t>
        </x:is>
      </x:c>
      <x:c r="E325" s="16" t="inlineStr">
        <x:is>
          <x:t xml:space="preserve">https://projects.propublica.org/nonprofits/organizations/830804345</x:t>
        </x:is>
      </x:c>
      <x:c r="F325" s="12" t="inlineStr">
        <x:is>
          <x:t xml:space="preserve">2026-08-25T16:07:55-0700</x:t>
        </x:is>
      </x:c>
      <x:c r="G325" s="17" t="inlineStr">
        <x:is>
          <x:t xml:space="preserve">sources/raw/src-peer-sentient-media.txt</x:t>
        </x:is>
      </x:c>
      <x:c r="H325" s="12" t="inlineStr">
        <x:is>
          <x:t xml:space="preserve">text/plain; charset=utf-8</x:t>
        </x:is>
      </x:c>
      <x:c r="I325" s="12" t="n">
        <x:v>1053</x:v>
      </x:c>
      <x:c r="J325" s="13" t="inlineStr">
        <x:is>
          <x:t xml:space="preserve">d74dbbc7b97185c7dbaa58982e215f02fa7d859841990497dba7330f71e802a2</x:t>
        </x:is>
      </x:c>
      <x:c r="K325" s="12" t="inlineStr">
        <x:is>
          <x:t xml:space="preserve">2024.0</x:t>
        </x:is>
      </x:c>
      <x:c r="L325" s="12" t="inlineStr">
        <x:is>
          <x:t xml:space="preserve">83-0804345</x:t>
        </x:is>
      </x:c>
      <x:c r="M325" s="12" t="n"/>
      <x:c r="N325" s="12" t="inlineStr">
        <x:is>
          <x:t xml:space="preserve">derivative</x:t>
        </x:is>
      </x:c>
      <x:c r="O325" s="13" t="inlineStr">
        <x:is>
          <x:t xml:space="preserve">Public Form 990 rendering, organization profile, or filing-derived scale record</x:t>
        </x:is>
      </x:c>
      <x:c r="P325" s="13" t="inlineStr">
        <x:is>
          <x:t xml:space="preserve">expanded_reference_set.csv and prior frozen peer profile</x:t>
        </x:is>
      </x:c>
      <x:c r="Q325" s="13" t="inlineStr">
        <x:is>
          <x:t xml:space="preserve">Selection fields frozen without using compensation; full source-native profile page not archived.</x:t>
        </x:is>
      </x:c>
    </x:row>
    <x:row r="326">
      <x:c r="A326" s="12" t="inlineStr">
        <x:is>
          <x:t xml:space="preserve">SRC-PEER-SIGHTLINE-INSTITUTE</x:t>
        </x:is>
      </x:c>
      <x:c r="B326" s="12" t="inlineStr">
        <x:is>
          <x:t xml:space="preserve">Sightline Institute</x:t>
        </x:is>
      </x:c>
      <x:c r="C326" s="12" t="inlineStr">
        <x:is>
          <x:t xml:space="preserve">Peer selection and scale profile</x:t>
        </x:is>
      </x:c>
      <x:c r="D326" s="16" t="inlineStr">
        <x:is>
          <x:t xml:space="preserve">https://projects.propublica.org/nonprofits/organizations/521833599</x:t>
        </x:is>
      </x:c>
      <x:c r="E326" s="16" t="inlineStr">
        <x:is>
          <x:t xml:space="preserve">https://projects.propublica.org/nonprofits/organizations/521833599</x:t>
        </x:is>
      </x:c>
      <x:c r="F326" s="12" t="inlineStr">
        <x:is>
          <x:t xml:space="preserve">2026-08-25T16:07:55-0700</x:t>
        </x:is>
      </x:c>
      <x:c r="G326" s="17" t="inlineStr">
        <x:is>
          <x:t xml:space="preserve">sources/raw/src-peer-sightline-institute.txt</x:t>
        </x:is>
      </x:c>
      <x:c r="H326" s="12" t="inlineStr">
        <x:is>
          <x:t xml:space="preserve">text/plain; charset=utf-8</x:t>
        </x:is>
      </x:c>
      <x:c r="I326" s="12" t="n">
        <x:v>1051</x:v>
      </x:c>
      <x:c r="J326" s="13" t="inlineStr">
        <x:is>
          <x:t xml:space="preserve">20ce5941c1242a05d549571df5ad19fe1274b50bfe67f2d90ad52d0653b0955f</x:t>
        </x:is>
      </x:c>
      <x:c r="K326" s="12" t="inlineStr">
        <x:is>
          <x:t xml:space="preserve">2024.0</x:t>
        </x:is>
      </x:c>
      <x:c r="L326" s="12" t="inlineStr">
        <x:is>
          <x:t xml:space="preserve">52-1833599</x:t>
        </x:is>
      </x:c>
      <x:c r="M326" s="12" t="n"/>
      <x:c r="N326" s="12" t="inlineStr">
        <x:is>
          <x:t xml:space="preserve">derivative</x:t>
        </x:is>
      </x:c>
      <x:c r="O326" s="13" t="inlineStr">
        <x:is>
          <x:t xml:space="preserve">Public Form 990 rendering, organization profile, or filing-derived scale record</x:t>
        </x:is>
      </x:c>
      <x:c r="P326" s="13" t="inlineStr">
        <x:is>
          <x:t xml:space="preserve">expanded_reference_set.csv and prior frozen peer profile</x:t>
        </x:is>
      </x:c>
      <x:c r="Q326" s="13" t="inlineStr">
        <x:is>
          <x:t xml:space="preserve">Selection fields frozen without using compensation; full source-native profile page not archived.</x:t>
        </x:is>
      </x:c>
    </x:row>
    <x:row r="327">
      <x:c r="A327" s="12" t="inlineStr">
        <x:is>
          <x:t xml:space="preserve">SRC-PEER-SOCIAL-SCIENCE-RESEARCH-COUNCIL</x:t>
        </x:is>
      </x:c>
      <x:c r="B327" s="12" t="inlineStr">
        <x:is>
          <x:t xml:space="preserve">Social Science Research Council</x:t>
        </x:is>
      </x:c>
      <x:c r="C327" s="12" t="inlineStr">
        <x:is>
          <x:t xml:space="preserve">Peer selection and scale profile</x:t>
        </x:is>
      </x:c>
      <x:c r="D327" s="16" t="inlineStr">
        <x:is>
          <x:t xml:space="preserve">https://projects.propublica.org/nonprofits/organizations/131325070</x:t>
        </x:is>
      </x:c>
      <x:c r="E327" s="16" t="inlineStr">
        <x:is>
          <x:t xml:space="preserve">https://projects.propublica.org/nonprofits/organizations/131325070</x:t>
        </x:is>
      </x:c>
      <x:c r="F327" s="12" t="inlineStr">
        <x:is>
          <x:t xml:space="preserve">2026-08-25T16:07:55-0700</x:t>
        </x:is>
      </x:c>
      <x:c r="G327" s="16" t="inlineStr">
        <x:is>
          <x:t xml:space="preserve">sources/raw/src-peer-social-science-research-council.txt</x:t>
        </x:is>
      </x:c>
      <x:c r="H327" s="12" t="inlineStr">
        <x:is>
          <x:t xml:space="preserve">text/plain; charset=utf-8</x:t>
        </x:is>
      </x:c>
      <x:c r="I327" s="12" t="n">
        <x:v>1529</x:v>
      </x:c>
      <x:c r="J327" s="13" t="inlineStr">
        <x:is>
          <x:t xml:space="preserve">cf27ab56871102445570d3d40943e6ea02a72c993779995a6e7f48432340f4d2</x:t>
        </x:is>
      </x:c>
      <x:c r="K327" s="12" t="inlineStr">
        <x:is>
          <x:t xml:space="preserve">2024.0</x:t>
        </x:is>
      </x:c>
      <x:c r="L327" s="12" t="inlineStr">
        <x:is>
          <x:t xml:space="preserve">13-1325070</x:t>
        </x:is>
      </x:c>
      <x:c r="M327" s="12" t="n"/>
      <x:c r="N327" s="12" t="inlineStr">
        <x:is>
          <x:t xml:space="preserve">derivative</x:t>
        </x:is>
      </x:c>
      <x:c r="O327" s="13" t="inlineStr">
        <x:is>
          <x:t xml:space="preserve">Public Form 990 rendering, organization profile, or filing-derived scale record</x:t>
        </x:is>
      </x:c>
      <x:c r="P327" s="13" t="inlineStr">
        <x:is>
          <x:t xml:space="preserve">expanded_reference_set.csv and prior frozen peer profile</x:t>
        </x:is>
      </x:c>
      <x:c r="Q327" s="13" t="inlineStr">
        <x:is>
          <x:t xml:space="preserve">Selection fields frozen without using compensation; full source-native profile page not archived.</x:t>
        </x:is>
      </x:c>
    </x:row>
    <x:row r="328">
      <x:c r="A328" s="12" t="inlineStr">
        <x:is>
          <x:t xml:space="preserve">SRC-PEER-SOFTWARE-FREEDOM-CONSERVANCY</x:t>
        </x:is>
      </x:c>
      <x:c r="B328" s="12" t="inlineStr">
        <x:is>
          <x:t xml:space="preserve">Software Freedom Conservancy</x:t>
        </x:is>
      </x:c>
      <x:c r="C328" s="12" t="inlineStr">
        <x:is>
          <x:t xml:space="preserve">Peer selection and scale profile</x:t>
        </x:is>
      </x:c>
      <x:c r="D328" s="16" t="inlineStr">
        <x:is>
          <x:t xml:space="preserve">https://projects.propublica.org/nonprofits/organizations/412203632</x:t>
        </x:is>
      </x:c>
      <x:c r="E328" s="16" t="inlineStr">
        <x:is>
          <x:t xml:space="preserve">https://projects.propublica.org/nonprofits/organizations/412203632</x:t>
        </x:is>
      </x:c>
      <x:c r="F328" s="12" t="inlineStr">
        <x:is>
          <x:t xml:space="preserve">2026-08-25T16:07:55-0700</x:t>
        </x:is>
      </x:c>
      <x:c r="G328" s="16" t="inlineStr">
        <x:is>
          <x:t xml:space="preserve">sources/raw/src-peer-software-freedom-conservancy.txt</x:t>
        </x:is>
      </x:c>
      <x:c r="H328" s="12" t="inlineStr">
        <x:is>
          <x:t xml:space="preserve">text/plain; charset=utf-8</x:t>
        </x:is>
      </x:c>
      <x:c r="I328" s="12" t="n">
        <x:v>1099</x:v>
      </x:c>
      <x:c r="J328" s="13" t="inlineStr">
        <x:is>
          <x:t xml:space="preserve">f3c28e4c81713e3cba118e83a2631cc1306b3032bd75b5292b725977ec111880</x:t>
        </x:is>
      </x:c>
      <x:c r="K328" s="12" t="inlineStr">
        <x:is>
          <x:t xml:space="preserve">2024.0</x:t>
        </x:is>
      </x:c>
      <x:c r="L328" s="12" t="inlineStr">
        <x:is>
          <x:t xml:space="preserve">41-2203632</x:t>
        </x:is>
      </x:c>
      <x:c r="M328" s="12" t="n"/>
      <x:c r="N328" s="12" t="inlineStr">
        <x:is>
          <x:t xml:space="preserve">derivative</x:t>
        </x:is>
      </x:c>
      <x:c r="O328" s="13" t="inlineStr">
        <x:is>
          <x:t xml:space="preserve">Public Form 990 rendering, organization profile, or filing-derived scale record</x:t>
        </x:is>
      </x:c>
      <x:c r="P328" s="13" t="inlineStr">
        <x:is>
          <x:t xml:space="preserve">expanded_reference_set.csv and prior frozen peer profile</x:t>
        </x:is>
      </x:c>
      <x:c r="Q328" s="13" t="inlineStr">
        <x:is>
          <x:t xml:space="preserve">Selection fields frozen without using compensation; full source-native profile page not archived.</x:t>
        </x:is>
      </x:c>
    </x:row>
    <x:row r="329">
      <x:c r="A329" s="12" t="inlineStr">
        <x:is>
          <x:t xml:space="preserve">SRC-PEER-STIMSON-CENTER</x:t>
        </x:is>
      </x:c>
      <x:c r="B329" s="12" t="inlineStr">
        <x:is>
          <x:t xml:space="preserve">Stimson Center</x:t>
        </x:is>
      </x:c>
      <x:c r="C329" s="12" t="inlineStr">
        <x:is>
          <x:t xml:space="preserve">Peer selection and scale profile</x:t>
        </x:is>
      </x:c>
      <x:c r="D329" s="16" t="inlineStr">
        <x:is>
          <x:t xml:space="preserve">https://www.causeiq.com/organizations/stimson-center%2C521640938/</x:t>
        </x:is>
      </x:c>
      <x:c r="E329" s="16" t="inlineStr">
        <x:is>
          <x:t xml:space="preserve">https://www.causeiq.com/organizations/stimson-center%2C521640938/</x:t>
        </x:is>
      </x:c>
      <x:c r="F329" s="12" t="inlineStr">
        <x:is>
          <x:t xml:space="preserve">2026-08-25T16:07:55-0700</x:t>
        </x:is>
      </x:c>
      <x:c r="G329" s="17" t="inlineStr">
        <x:is>
          <x:t xml:space="preserve">sources/raw/src-peer-stimson-center.txt</x:t>
        </x:is>
      </x:c>
      <x:c r="H329" s="12" t="inlineStr">
        <x:is>
          <x:t xml:space="preserve">text/plain; charset=utf-8</x:t>
        </x:is>
      </x:c>
      <x:c r="I329" s="12" t="n">
        <x:v>1490</x:v>
      </x:c>
      <x:c r="J329" s="13" t="inlineStr">
        <x:is>
          <x:t xml:space="preserve">4c66612ee50f1c5d370d225ea2efd7a16c6eeefbab947a4fcace1dd865363889</x:t>
        </x:is>
      </x:c>
      <x:c r="K329" s="12" t="inlineStr">
        <x:is>
          <x:t xml:space="preserve">2024.0</x:t>
        </x:is>
      </x:c>
      <x:c r="L329" s="12" t="inlineStr">
        <x:is>
          <x:t xml:space="preserve">52-1640938</x:t>
        </x:is>
      </x:c>
      <x:c r="M329" s="12" t="n"/>
      <x:c r="N329" s="12" t="inlineStr">
        <x:is>
          <x:t xml:space="preserve">derivative</x:t>
        </x:is>
      </x:c>
      <x:c r="O329" s="13" t="inlineStr">
        <x:is>
          <x:t xml:space="preserve">Public Form 990 rendering, organization profile, or filing-derived scale record</x:t>
        </x:is>
      </x:c>
      <x:c r="P329" s="13" t="inlineStr">
        <x:is>
          <x:t xml:space="preserve">expanded_reference_set.csv and prior frozen peer profile</x:t>
        </x:is>
      </x:c>
      <x:c r="Q329" s="13" t="inlineStr">
        <x:is>
          <x:t xml:space="preserve">Selection fields frozen without using compensation; full source-native profile page not archived.</x:t>
        </x:is>
      </x:c>
    </x:row>
    <x:row r="330">
      <x:c r="A330" s="12" t="inlineStr">
        <x:is>
          <x:t xml:space="preserve">SRC-PEER-STRONGMINDS</x:t>
        </x:is>
      </x:c>
      <x:c r="B330" s="12" t="inlineStr">
        <x:is>
          <x:t xml:space="preserve">StrongMinds</x:t>
        </x:is>
      </x:c>
      <x:c r="C330" s="12" t="inlineStr">
        <x:is>
          <x:t xml:space="preserve">Peer selection and scale profile</x:t>
        </x:is>
      </x:c>
      <x:c r="D330" s="16" t="inlineStr">
        <x:is>
          <x:t xml:space="preserve">https://www.causeiq.com/organizations/strongminds%2C462090059/</x:t>
        </x:is>
      </x:c>
      <x:c r="E330" s="16" t="inlineStr">
        <x:is>
          <x:t xml:space="preserve">https://www.causeiq.com/organizations/strongminds%2C462090059/</x:t>
        </x:is>
      </x:c>
      <x:c r="F330" s="12" t="inlineStr">
        <x:is>
          <x:t xml:space="preserve">2026-08-25T16:07:55-0700</x:t>
        </x:is>
      </x:c>
      <x:c r="G330" s="17" t="inlineStr">
        <x:is>
          <x:t xml:space="preserve">sources/raw/src-peer-strongminds.txt</x:t>
        </x:is>
      </x:c>
      <x:c r="H330" s="12" t="inlineStr">
        <x:is>
          <x:t xml:space="preserve">text/plain; charset=utf-8</x:t>
        </x:is>
      </x:c>
      <x:c r="I330" s="12" t="n">
        <x:v>1481</x:v>
      </x:c>
      <x:c r="J330" s="13" t="inlineStr">
        <x:is>
          <x:t xml:space="preserve">fd4b6de380c492e4ade4353683a38755deb04b7d4b53ad50967b68f8933d4cf8</x:t>
        </x:is>
      </x:c>
      <x:c r="K330" s="12" t="inlineStr">
        <x:is>
          <x:t xml:space="preserve">2024.0</x:t>
        </x:is>
      </x:c>
      <x:c r="L330" s="12" t="inlineStr">
        <x:is>
          <x:t xml:space="preserve">46-2090059</x:t>
        </x:is>
      </x:c>
      <x:c r="M330" s="12" t="n"/>
      <x:c r="N330" s="12" t="inlineStr">
        <x:is>
          <x:t xml:space="preserve">derivative</x:t>
        </x:is>
      </x:c>
      <x:c r="O330" s="13" t="inlineStr">
        <x:is>
          <x:t xml:space="preserve">Public Form 990 rendering, organization profile, or filing-derived scale record</x:t>
        </x:is>
      </x:c>
      <x:c r="P330" s="13" t="inlineStr">
        <x:is>
          <x:t xml:space="preserve">expanded_reference_set.csv and prior frozen peer profile</x:t>
        </x:is>
      </x:c>
      <x:c r="Q330" s="13" t="inlineStr">
        <x:is>
          <x:t xml:space="preserve">Selection fields frozen without using compensation; full source-native profile page not archived.</x:t>
        </x:is>
      </x:c>
    </x:row>
    <x:row r="331">
      <x:c r="A331" s="12" t="inlineStr">
        <x:is>
          <x:t xml:space="preserve">SRC-PEER-TAX-FOUNDATION</x:t>
        </x:is>
      </x:c>
      <x:c r="B331" s="12" t="inlineStr">
        <x:is>
          <x:t xml:space="preserve">Tax Foundation</x:t>
        </x:is>
      </x:c>
      <x:c r="C331" s="12" t="inlineStr">
        <x:is>
          <x:t xml:space="preserve">Peer selection and scale profile</x:t>
        </x:is>
      </x:c>
      <x:c r="D331" s="16" t="inlineStr">
        <x:is>
          <x:t xml:space="preserve">https://projects.propublica.org/nonprofits/organizations/521703065</x:t>
        </x:is>
      </x:c>
      <x:c r="E331" s="16" t="inlineStr">
        <x:is>
          <x:t xml:space="preserve">https://projects.propublica.org/nonprofits/organizations/521703065</x:t>
        </x:is>
      </x:c>
      <x:c r="F331" s="12" t="inlineStr">
        <x:is>
          <x:t xml:space="preserve">2026-08-25T16:07:55-0700</x:t>
        </x:is>
      </x:c>
      <x:c r="G331" s="17" t="inlineStr">
        <x:is>
          <x:t xml:space="preserve">sources/raw/src-peer-tax-foundation.txt</x:t>
        </x:is>
      </x:c>
      <x:c r="H331" s="12" t="inlineStr">
        <x:is>
          <x:t xml:space="preserve">text/plain; charset=utf-8</x:t>
        </x:is>
      </x:c>
      <x:c r="I331" s="12" t="n">
        <x:v>1086</x:v>
      </x:c>
      <x:c r="J331" s="13" t="inlineStr">
        <x:is>
          <x:t xml:space="preserve">1f34f1f3bb055bbe6f1371dc0d600ca49b40701393e19dd0829724fdf1db65e5</x:t>
        </x:is>
      </x:c>
      <x:c r="K331" s="12" t="inlineStr">
        <x:is>
          <x:t xml:space="preserve">2025.0</x:t>
        </x:is>
      </x:c>
      <x:c r="L331" s="12" t="inlineStr">
        <x:is>
          <x:t xml:space="preserve">52-1703065</x:t>
        </x:is>
      </x:c>
      <x:c r="M331" s="12" t="n"/>
      <x:c r="N331" s="12" t="inlineStr">
        <x:is>
          <x:t xml:space="preserve">derivative</x:t>
        </x:is>
      </x:c>
      <x:c r="O331" s="13" t="inlineStr">
        <x:is>
          <x:t xml:space="preserve">Public Form 990 rendering, organization profile, or filing-derived scale record</x:t>
        </x:is>
      </x:c>
      <x:c r="P331" s="13" t="inlineStr">
        <x:is>
          <x:t xml:space="preserve">expanded_reference_set.csv and prior frozen peer profile</x:t>
        </x:is>
      </x:c>
      <x:c r="Q331" s="13" t="inlineStr">
        <x:is>
          <x:t xml:space="preserve">Selection fields frozen without using compensation; full source-native profile page not archived.</x:t>
        </x:is>
      </x:c>
    </x:row>
    <x:row r="332">
      <x:c r="A332" s="12" t="inlineStr">
        <x:is>
          <x:t xml:space="preserve">SRC-PEER-TECHCONGRESS</x:t>
        </x:is>
      </x:c>
      <x:c r="B332" s="12" t="inlineStr">
        <x:is>
          <x:t xml:space="preserve">TechCongress</x:t>
        </x:is>
      </x:c>
      <x:c r="C332" s="12" t="inlineStr">
        <x:is>
          <x:t xml:space="preserve">Peer selection and scale profile</x:t>
        </x:is>
      </x:c>
      <x:c r="D332" s="16" t="inlineStr">
        <x:is>
          <x:t xml:space="preserve">https://projects.propublica.org/nonprofits/organizations/811839685</x:t>
        </x:is>
      </x:c>
      <x:c r="E332" s="16" t="inlineStr">
        <x:is>
          <x:t xml:space="preserve">https://projects.propublica.org/nonprofits/organizations/811839685</x:t>
        </x:is>
      </x:c>
      <x:c r="F332" s="12" t="inlineStr">
        <x:is>
          <x:t xml:space="preserve">2026-08-25T16:07:55-0700</x:t>
        </x:is>
      </x:c>
      <x:c r="G332" s="17" t="inlineStr">
        <x:is>
          <x:t xml:space="preserve">sources/raw/src-peer-techcongress.txt</x:t>
        </x:is>
      </x:c>
      <x:c r="H332" s="12" t="inlineStr">
        <x:is>
          <x:t xml:space="preserve">text/plain; charset=utf-8</x:t>
        </x:is>
      </x:c>
      <x:c r="I332" s="12" t="n">
        <x:v>1056</x:v>
      </x:c>
      <x:c r="J332" s="13" t="inlineStr">
        <x:is>
          <x:t xml:space="preserve">98b1f0cad2c9ac08c5c18885b8070012dc804dbb62ac9d0d1181d5160635619d</x:t>
        </x:is>
      </x:c>
      <x:c r="K332" s="12" t="inlineStr">
        <x:is>
          <x:t xml:space="preserve">2025.0</x:t>
        </x:is>
      </x:c>
      <x:c r="L332" s="12" t="inlineStr">
        <x:is>
          <x:t xml:space="preserve">81-1839685</x:t>
        </x:is>
      </x:c>
      <x:c r="M332" s="12" t="n"/>
      <x:c r="N332" s="12" t="inlineStr">
        <x:is>
          <x:t xml:space="preserve">derivative</x:t>
        </x:is>
      </x:c>
      <x:c r="O332" s="13" t="inlineStr">
        <x:is>
          <x:t xml:space="preserve">Public Form 990 rendering, organization profile, or filing-derived scale record</x:t>
        </x:is>
      </x:c>
      <x:c r="P332" s="13" t="inlineStr">
        <x:is>
          <x:t xml:space="preserve">expanded_reference_set.csv and prior frozen peer profile</x:t>
        </x:is>
      </x:c>
      <x:c r="Q332" s="13" t="inlineStr">
        <x:is>
          <x:t xml:space="preserve">Selection fields frozen without using compensation; full source-native profile page not archived.</x:t>
        </x:is>
      </x:c>
    </x:row>
    <x:row r="333">
      <x:c r="A333" s="12" t="inlineStr">
        <x:is>
          <x:t xml:space="preserve">SRC-PEER-TECHNICAL-ASSISTANCE-COLLABORATIVE</x:t>
        </x:is>
      </x:c>
      <x:c r="B333" s="12" t="inlineStr">
        <x:is>
          <x:t xml:space="preserve">Technical Assistance Collaborative</x:t>
        </x:is>
      </x:c>
      <x:c r="C333" s="12" t="inlineStr">
        <x:is>
          <x:t xml:space="preserve">Peer selection and scale profile</x:t>
        </x:is>
      </x:c>
      <x:c r="D333" s="16" t="inlineStr">
        <x:is>
          <x:t xml:space="preserve">https://www.causeiq.com/organizations/technical-assistance-collaborative%2C223181028/</x:t>
        </x:is>
      </x:c>
      <x:c r="E333" s="16" t="inlineStr">
        <x:is>
          <x:t xml:space="preserve">https://www.causeiq.com/organizations/technical-assistance-collaborative%2C223181028/</x:t>
        </x:is>
      </x:c>
      <x:c r="F333" s="12" t="inlineStr">
        <x:is>
          <x:t xml:space="preserve">2026-08-25T16:07:55-0700</x:t>
        </x:is>
      </x:c>
      <x:c r="G333" s="16" t="inlineStr">
        <x:is>
          <x:t xml:space="preserve">sources/raw/src-peer-technical-assistance-collaborative.txt</x:t>
        </x:is>
      </x:c>
      <x:c r="H333" s="12" t="inlineStr">
        <x:is>
          <x:t xml:space="preserve">text/plain; charset=utf-8</x:t>
        </x:is>
      </x:c>
      <x:c r="I333" s="12" t="n">
        <x:v>1537</x:v>
      </x:c>
      <x:c r="J333" s="13" t="inlineStr">
        <x:is>
          <x:t xml:space="preserve">24154a593f8a1e4b49723a921f6b3451d8a46ac34c48ce69a38aebe2e64e1a22</x:t>
        </x:is>
      </x:c>
      <x:c r="K333" s="12" t="inlineStr">
        <x:is>
          <x:t xml:space="preserve">2023.0</x:t>
        </x:is>
      </x:c>
      <x:c r="L333" s="12" t="inlineStr">
        <x:is>
          <x:t xml:space="preserve">22-3181028</x:t>
        </x:is>
      </x:c>
      <x:c r="M333" s="12" t="n"/>
      <x:c r="N333" s="12" t="inlineStr">
        <x:is>
          <x:t xml:space="preserve">derivative</x:t>
        </x:is>
      </x:c>
      <x:c r="O333" s="13" t="inlineStr">
        <x:is>
          <x:t xml:space="preserve">Public Form 990 rendering, organization profile, or filing-derived scale record</x:t>
        </x:is>
      </x:c>
      <x:c r="P333" s="13" t="inlineStr">
        <x:is>
          <x:t xml:space="preserve">expanded_reference_set.csv and prior frozen peer profile</x:t>
        </x:is>
      </x:c>
      <x:c r="Q333" s="13" t="inlineStr">
        <x:is>
          <x:t xml:space="preserve">Selection fields frozen without using compensation; full source-native profile page not archived.</x:t>
        </x:is>
      </x:c>
    </x:row>
    <x:row r="334">
      <x:c r="A334" s="12" t="inlineStr">
        <x:is>
          <x:t xml:space="preserve">SRC-PEER-THE-HUMANE-LEAGUE</x:t>
        </x:is>
      </x:c>
      <x:c r="B334" s="12" t="inlineStr">
        <x:is>
          <x:t xml:space="preserve">The Humane League</x:t>
        </x:is>
      </x:c>
      <x:c r="C334" s="12" t="inlineStr">
        <x:is>
          <x:t xml:space="preserve">Peer selection and scale profile</x:t>
        </x:is>
      </x:c>
      <x:c r="D334" s="16" t="inlineStr">
        <x:is>
          <x:t xml:space="preserve">https://www.causeiq.com/organizations/the-humane-league%2C043817491/</x:t>
        </x:is>
      </x:c>
      <x:c r="E334" s="16" t="inlineStr">
        <x:is>
          <x:t xml:space="preserve">https://www.causeiq.com/organizations/the-humane-league%2C043817491/</x:t>
        </x:is>
      </x:c>
      <x:c r="F334" s="12" t="inlineStr">
        <x:is>
          <x:t xml:space="preserve">2026-08-25T16:07:55-0700</x:t>
        </x:is>
      </x:c>
      <x:c r="G334" s="17" t="inlineStr">
        <x:is>
          <x:t xml:space="preserve">sources/raw/src-peer-the-humane-league.txt</x:t>
        </x:is>
      </x:c>
      <x:c r="H334" s="12" t="inlineStr">
        <x:is>
          <x:t xml:space="preserve">text/plain; charset=utf-8</x:t>
        </x:is>
      </x:c>
      <x:c r="I334" s="12" t="n">
        <x:v>1478</x:v>
      </x:c>
      <x:c r="J334" s="13" t="inlineStr">
        <x:is>
          <x:t xml:space="preserve">3085bade46605e812cf7e6eb870018435d145349453c083c4b41638e16914e17</x:t>
        </x:is>
      </x:c>
      <x:c r="K334" s="12" t="inlineStr">
        <x:is>
          <x:t xml:space="preserve">2024.0</x:t>
        </x:is>
      </x:c>
      <x:c r="L334" s="12" t="inlineStr">
        <x:is>
          <x:t xml:space="preserve">04-3817491</x:t>
        </x:is>
      </x:c>
      <x:c r="M334" s="12" t="n"/>
      <x:c r="N334" s="12" t="inlineStr">
        <x:is>
          <x:t xml:space="preserve">derivative</x:t>
        </x:is>
      </x:c>
      <x:c r="O334" s="13" t="inlineStr">
        <x:is>
          <x:t xml:space="preserve">Public Form 990 rendering, organization profile, or filing-derived scale record</x:t>
        </x:is>
      </x:c>
      <x:c r="P334" s="13" t="inlineStr">
        <x:is>
          <x:t xml:space="preserve">expanded_reference_set.csv and prior frozen peer profile</x:t>
        </x:is>
      </x:c>
      <x:c r="Q334" s="13" t="inlineStr">
        <x:is>
          <x:t xml:space="preserve">Selection fields frozen without using compensation; full source-native profile page not archived.</x:t>
        </x:is>
      </x:c>
    </x:row>
    <x:row r="335">
      <x:c r="A335" s="12" t="inlineStr">
        <x:is>
          <x:t xml:space="preserve">SRC-PEER-THE-SENTENCING-PROJECT</x:t>
        </x:is>
      </x:c>
      <x:c r="B335" s="12" t="inlineStr">
        <x:is>
          <x:t xml:space="preserve">The Sentencing Project</x:t>
        </x:is>
      </x:c>
      <x:c r="C335" s="12" t="inlineStr">
        <x:is>
          <x:t xml:space="preserve">Peer selection and scale profile</x:t>
        </x:is>
      </x:c>
      <x:c r="D335" s="16" t="inlineStr">
        <x:is>
          <x:t xml:space="preserve">https://projects.propublica.org/nonprofits/organizations/521472546</x:t>
        </x:is>
      </x:c>
      <x:c r="E335" s="16" t="inlineStr">
        <x:is>
          <x:t xml:space="preserve">https://projects.propublica.org/nonprofits/organizations/521472546</x:t>
        </x:is>
      </x:c>
      <x:c r="F335" s="12" t="inlineStr">
        <x:is>
          <x:t xml:space="preserve">2026-08-25T16:07:55-0700</x:t>
        </x:is>
      </x:c>
      <x:c r="G335" s="16" t="inlineStr">
        <x:is>
          <x:t xml:space="preserve">sources/raw/src-peer-the-sentencing-project.txt</x:t>
        </x:is>
      </x:c>
      <x:c r="H335" s="12" t="inlineStr">
        <x:is>
          <x:t xml:space="preserve">text/plain; charset=utf-8</x:t>
        </x:is>
      </x:c>
      <x:c r="I335" s="12" t="n">
        <x:v>1080</x:v>
      </x:c>
      <x:c r="J335" s="13" t="inlineStr">
        <x:is>
          <x:t xml:space="preserve">eccd93f13263608ac9760be7641421bc80cf82a68491b192e075eae41675a77c</x:t>
        </x:is>
      </x:c>
      <x:c r="K335" s="12" t="inlineStr">
        <x:is>
          <x:t xml:space="preserve">2024.0</x:t>
        </x:is>
      </x:c>
      <x:c r="L335" s="12" t="inlineStr">
        <x:is>
          <x:t xml:space="preserve">52-1472546</x:t>
        </x:is>
      </x:c>
      <x:c r="M335" s="12" t="n"/>
      <x:c r="N335" s="12" t="inlineStr">
        <x:is>
          <x:t xml:space="preserve">derivative</x:t>
        </x:is>
      </x:c>
      <x:c r="O335" s="13" t="inlineStr">
        <x:is>
          <x:t xml:space="preserve">Public Form 990 rendering, organization profile, or filing-derived scale record</x:t>
        </x:is>
      </x:c>
      <x:c r="P335" s="13" t="inlineStr">
        <x:is>
          <x:t xml:space="preserve">expanded_reference_set.csv and prior frozen peer profile</x:t>
        </x:is>
      </x:c>
      <x:c r="Q335" s="13" t="inlineStr">
        <x:is>
          <x:t xml:space="preserve">Selection fields frozen without using compensation; full source-native profile page not archived.</x:t>
        </x:is>
      </x:c>
    </x:row>
    <x:row r="336">
      <x:c r="A336" s="12" t="inlineStr">
        <x:is>
          <x:t xml:space="preserve">SRC-PEER-THIRD-WAY-INSTITUTE</x:t>
        </x:is>
      </x:c>
      <x:c r="B336" s="12" t="inlineStr">
        <x:is>
          <x:t xml:space="preserve">Third Way Institute</x:t>
        </x:is>
      </x:c>
      <x:c r="C336" s="12" t="inlineStr">
        <x:is>
          <x:t xml:space="preserve">Peer selection and scale profile</x:t>
        </x:is>
      </x:c>
      <x:c r="D336" s="16" t="inlineStr">
        <x:is>
          <x:t xml:space="preserve">https://projects.propublica.org/nonprofits/organizations/260535276</x:t>
        </x:is>
      </x:c>
      <x:c r="E336" s="16" t="inlineStr">
        <x:is>
          <x:t xml:space="preserve">https://projects.propublica.org/nonprofits/organizations/260535276</x:t>
        </x:is>
      </x:c>
      <x:c r="F336" s="12" t="inlineStr">
        <x:is>
          <x:t xml:space="preserve">2026-08-25T16:07:55-0700</x:t>
        </x:is>
      </x:c>
      <x:c r="G336" s="17" t="inlineStr">
        <x:is>
          <x:t xml:space="preserve">sources/raw/src-peer-third-way-institute.txt</x:t>
        </x:is>
      </x:c>
      <x:c r="H336" s="12" t="inlineStr">
        <x:is>
          <x:t xml:space="preserve">text/plain; charset=utf-8</x:t>
        </x:is>
      </x:c>
      <x:c r="I336" s="12" t="n">
        <x:v>1070</x:v>
      </x:c>
      <x:c r="J336" s="13" t="inlineStr">
        <x:is>
          <x:t xml:space="preserve">b6d8c877c7d96ef50b4f7d0e673687dc9c0620adec373cb7bb2abf03a90cf537</x:t>
        </x:is>
      </x:c>
      <x:c r="K336" s="12" t="inlineStr">
        <x:is>
          <x:t xml:space="preserve">2024.0</x:t>
        </x:is>
      </x:c>
      <x:c r="L336" s="12" t="inlineStr">
        <x:is>
          <x:t xml:space="preserve">26-0535276</x:t>
        </x:is>
      </x:c>
      <x:c r="M336" s="12" t="n"/>
      <x:c r="N336" s="12" t="inlineStr">
        <x:is>
          <x:t xml:space="preserve">derivative</x:t>
        </x:is>
      </x:c>
      <x:c r="O336" s="13" t="inlineStr">
        <x:is>
          <x:t xml:space="preserve">Public Form 990 rendering, organization profile, or filing-derived scale record</x:t>
        </x:is>
      </x:c>
      <x:c r="P336" s="13" t="inlineStr">
        <x:is>
          <x:t xml:space="preserve">expanded_reference_set.csv and prior frozen peer profile</x:t>
        </x:is>
      </x:c>
      <x:c r="Q336" s="13" t="inlineStr">
        <x:is>
          <x:t xml:space="preserve">Selection fields frozen without using compensation; full source-native profile page not archived.</x:t>
        </x:is>
      </x:c>
    </x:row>
    <x:row r="337">
      <x:c r="A337" s="12" t="inlineStr">
        <x:is>
          <x:t xml:space="preserve">SRC-PEER-VEGAN-OUTREACH</x:t>
        </x:is>
      </x:c>
      <x:c r="B337" s="12" t="inlineStr">
        <x:is>
          <x:t xml:space="preserve">Vegan Outreach</x:t>
        </x:is>
      </x:c>
      <x:c r="C337" s="12" t="inlineStr">
        <x:is>
          <x:t xml:space="preserve">Peer selection and scale profile</x:t>
        </x:is>
      </x:c>
      <x:c r="D337" s="16" t="inlineStr">
        <x:is>
          <x:t xml:space="preserve">https://www.causeiq.com/organizations/vegan-outreach%2C860736818/</x:t>
        </x:is>
      </x:c>
      <x:c r="E337" s="16" t="inlineStr">
        <x:is>
          <x:t xml:space="preserve">https://www.causeiq.com/organizations/vegan-outreach%2C860736818/</x:t>
        </x:is>
      </x:c>
      <x:c r="F337" s="12" t="inlineStr">
        <x:is>
          <x:t xml:space="preserve">2026-08-25T16:07:55-0700</x:t>
        </x:is>
      </x:c>
      <x:c r="G337" s="17" t="inlineStr">
        <x:is>
          <x:t xml:space="preserve">sources/raw/src-peer-vegan-outreach.txt</x:t>
        </x:is>
      </x:c>
      <x:c r="H337" s="12" t="inlineStr">
        <x:is>
          <x:t xml:space="preserve">text/plain; charset=utf-8</x:t>
        </x:is>
      </x:c>
      <x:c r="I337" s="12" t="n">
        <x:v>1285</x:v>
      </x:c>
      <x:c r="J337" s="13" t="inlineStr">
        <x:is>
          <x:t xml:space="preserve">0e2940d081dfdb073cc48a7893f9b8995d0d973e70baf5ce4bbc67b20243784f</x:t>
        </x:is>
      </x:c>
      <x:c r="K337" s="12" t="n"/>
      <x:c r="L337" s="12" t="inlineStr">
        <x:is>
          <x:t xml:space="preserve">86-0736818</x:t>
        </x:is>
      </x:c>
      <x:c r="M337" s="12" t="n"/>
      <x:c r="N337" s="12" t="inlineStr">
        <x:is>
          <x:t xml:space="preserve">derivative</x:t>
        </x:is>
      </x:c>
      <x:c r="O337" s="13" t="inlineStr">
        <x:is>
          <x:t xml:space="preserve">Public Form 990 rendering, organization profile, or filing-derived scale record</x:t>
        </x:is>
      </x:c>
      <x:c r="P337" s="13" t="inlineStr">
        <x:is>
          <x:t xml:space="preserve">expanded_reference_set.csv and prior frozen peer profile</x:t>
        </x:is>
      </x:c>
      <x:c r="Q337" s="13" t="inlineStr">
        <x:is>
          <x:t xml:space="preserve">Selection fields frozen without using compensation; full source-native profile page not archived.</x:t>
        </x:is>
      </x:c>
    </x:row>
    <x:row r="338">
      <x:c r="A338" s="12" t="inlineStr">
        <x:is>
          <x:t xml:space="preserve">SRC-PEER-VERA-INSTITUTE-OF-JUSTICE</x:t>
        </x:is>
      </x:c>
      <x:c r="B338" s="12" t="inlineStr">
        <x:is>
          <x:t xml:space="preserve">Vera Institute of Justice</x:t>
        </x:is>
      </x:c>
      <x:c r="C338" s="12" t="inlineStr">
        <x:is>
          <x:t xml:space="preserve">Peer selection and scale profile</x:t>
        </x:is>
      </x:c>
      <x:c r="D338" s="16" t="inlineStr">
        <x:is>
          <x:t xml:space="preserve">https://projects.propublica.org/nonprofits/organizations/131941627</x:t>
        </x:is>
      </x:c>
      <x:c r="E338" s="16" t="inlineStr">
        <x:is>
          <x:t xml:space="preserve">https://projects.propublica.org/nonprofits/organizations/131941627</x:t>
        </x:is>
      </x:c>
      <x:c r="F338" s="12" t="inlineStr">
        <x:is>
          <x:t xml:space="preserve">2026-08-25T16:07:55-0700</x:t>
        </x:is>
      </x:c>
      <x:c r="G338" s="16" t="inlineStr">
        <x:is>
          <x:t xml:space="preserve">sources/raw/src-peer-vera-institute-of-justice.txt</x:t>
        </x:is>
      </x:c>
      <x:c r="H338" s="12" t="inlineStr">
        <x:is>
          <x:t xml:space="preserve">text/plain; charset=utf-8</x:t>
        </x:is>
      </x:c>
      <x:c r="I338" s="12" t="n">
        <x:v>1075</x:v>
      </x:c>
      <x:c r="J338" s="13" t="inlineStr">
        <x:is>
          <x:t xml:space="preserve">7cdc3450c4aadf30bf7d95841f94034f545a40b2c803a031e7921fe286b2dbad</x:t>
        </x:is>
      </x:c>
      <x:c r="K338" s="12" t="inlineStr">
        <x:is>
          <x:t xml:space="preserve">2024.0</x:t>
        </x:is>
      </x:c>
      <x:c r="L338" s="12" t="inlineStr">
        <x:is>
          <x:t xml:space="preserve">13-1941627</x:t>
        </x:is>
      </x:c>
      <x:c r="M338" s="12" t="n"/>
      <x:c r="N338" s="12" t="inlineStr">
        <x:is>
          <x:t xml:space="preserve">derivative</x:t>
        </x:is>
      </x:c>
      <x:c r="O338" s="13" t="inlineStr">
        <x:is>
          <x:t xml:space="preserve">Public Form 990 rendering, organization profile, or filing-derived scale record</x:t>
        </x:is>
      </x:c>
      <x:c r="P338" s="13" t="inlineStr">
        <x:is>
          <x:t xml:space="preserve">expanded_reference_set.csv and prior frozen peer profile</x:t>
        </x:is>
      </x:c>
      <x:c r="Q338" s="13" t="inlineStr">
        <x:is>
          <x:t xml:space="preserve">Selection fields frozen without using compensation; full source-native profile page not archived.</x:t>
        </x:is>
      </x:c>
    </x:row>
    <x:row r="339">
      <x:c r="A339" s="12" t="inlineStr">
        <x:is>
          <x:t xml:space="preserve">SRC-PEER-VILLAGE-ENTERPRISE</x:t>
        </x:is>
      </x:c>
      <x:c r="B339" s="12" t="inlineStr">
        <x:is>
          <x:t xml:space="preserve">Village Enterprise</x:t>
        </x:is>
      </x:c>
      <x:c r="C339" s="12" t="inlineStr">
        <x:is>
          <x:t xml:space="preserve">Peer selection and scale profile</x:t>
        </x:is>
      </x:c>
      <x:c r="D339" s="16" t="inlineStr">
        <x:is>
          <x:t xml:space="preserve">https://www.causeiq.com/organizations/village-enterprise%2C222852248/</x:t>
        </x:is>
      </x:c>
      <x:c r="E339" s="16" t="inlineStr">
        <x:is>
          <x:t xml:space="preserve">https://www.causeiq.com/organizations/village-enterprise%2C222852248/</x:t>
        </x:is>
      </x:c>
      <x:c r="F339" s="12" t="inlineStr">
        <x:is>
          <x:t xml:space="preserve">2026-08-25T16:07:55-0700</x:t>
        </x:is>
      </x:c>
      <x:c r="G339" s="17" t="inlineStr">
        <x:is>
          <x:t xml:space="preserve">sources/raw/src-peer-village-enterprise.txt</x:t>
        </x:is>
      </x:c>
      <x:c r="H339" s="12" t="inlineStr">
        <x:is>
          <x:t xml:space="preserve">text/plain; charset=utf-8</x:t>
        </x:is>
      </x:c>
      <x:c r="I339" s="12" t="n">
        <x:v>1478</x:v>
      </x:c>
      <x:c r="J339" s="13" t="inlineStr">
        <x:is>
          <x:t xml:space="preserve">34a9b17172c74d91ee88a20c0d02544fbf2bf50a1ec657b3cb26b4241afefb0c</x:t>
        </x:is>
      </x:c>
      <x:c r="K339" s="12" t="inlineStr">
        <x:is>
          <x:t xml:space="preserve">2024.0</x:t>
        </x:is>
      </x:c>
      <x:c r="L339" s="12" t="inlineStr">
        <x:is>
          <x:t xml:space="preserve">22-2852248</x:t>
        </x:is>
      </x:c>
      <x:c r="M339" s="12" t="n"/>
      <x:c r="N339" s="12" t="inlineStr">
        <x:is>
          <x:t xml:space="preserve">derivative</x:t>
        </x:is>
      </x:c>
      <x:c r="O339" s="13" t="inlineStr">
        <x:is>
          <x:t xml:space="preserve">Public Form 990 rendering, organization profile, or filing-derived scale record</x:t>
        </x:is>
      </x:c>
      <x:c r="P339" s="13" t="inlineStr">
        <x:is>
          <x:t xml:space="preserve">expanded_reference_set.csv and prior frozen peer profile</x:t>
        </x:is>
      </x:c>
      <x:c r="Q339" s="13" t="inlineStr">
        <x:is>
          <x:t xml:space="preserve">Selection fields frozen without using compensation; full source-native profile page not archived.</x:t>
        </x:is>
      </x:c>
    </x:row>
    <x:row r="340">
      <x:c r="A340" s="12" t="inlineStr">
        <x:is>
          <x:t xml:space="preserve">SRC-PEER-VILLAGEREACH</x:t>
        </x:is>
      </x:c>
      <x:c r="B340" s="12" t="inlineStr">
        <x:is>
          <x:t xml:space="preserve">VillageReach</x:t>
        </x:is>
      </x:c>
      <x:c r="C340" s="12" t="inlineStr">
        <x:is>
          <x:t xml:space="preserve">Peer selection and scale profile</x:t>
        </x:is>
      </x:c>
      <x:c r="D340" s="16" t="inlineStr">
        <x:is>
          <x:t xml:space="preserve">https://www.causeiq.com/organizations/villagereach%2C912083484/</x:t>
        </x:is>
      </x:c>
      <x:c r="E340" s="16" t="inlineStr">
        <x:is>
          <x:t xml:space="preserve">https://www.causeiq.com/organizations/villagereach%2C912083484/</x:t>
        </x:is>
      </x:c>
      <x:c r="F340" s="12" t="inlineStr">
        <x:is>
          <x:t xml:space="preserve">2026-08-25T16:07:55-0700</x:t>
        </x:is>
      </x:c>
      <x:c r="G340" s="17" t="inlineStr">
        <x:is>
          <x:t xml:space="preserve">sources/raw/src-peer-villagereach.txt</x:t>
        </x:is>
      </x:c>
      <x:c r="H340" s="12" t="inlineStr">
        <x:is>
          <x:t xml:space="preserve">text/plain; charset=utf-8</x:t>
        </x:is>
      </x:c>
      <x:c r="I340" s="12" t="n">
        <x:v>1477</x:v>
      </x:c>
      <x:c r="J340" s="13" t="inlineStr">
        <x:is>
          <x:t xml:space="preserve">6ed475462a0e35f44cc8d1b8574483c71232d4aa69d0ba5245af5d18709b539c</x:t>
        </x:is>
      </x:c>
      <x:c r="K340" s="12" t="inlineStr">
        <x:is>
          <x:t xml:space="preserve">2023.0</x:t>
        </x:is>
      </x:c>
      <x:c r="L340" s="12" t="inlineStr">
        <x:is>
          <x:t xml:space="preserve">91-2083484</x:t>
        </x:is>
      </x:c>
      <x:c r="M340" s="12" t="n"/>
      <x:c r="N340" s="12" t="inlineStr">
        <x:is>
          <x:t xml:space="preserve">derivative</x:t>
        </x:is>
      </x:c>
      <x:c r="O340" s="13" t="inlineStr">
        <x:is>
          <x:t xml:space="preserve">Public Form 990 rendering, organization profile, or filing-derived scale record</x:t>
        </x:is>
      </x:c>
      <x:c r="P340" s="13" t="inlineStr">
        <x:is>
          <x:t xml:space="preserve">expanded_reference_set.csv and prior frozen peer profile</x:t>
        </x:is>
      </x:c>
      <x:c r="Q340" s="13" t="inlineStr">
        <x:is>
          <x:t xml:space="preserve">Selection fields frozen without using compensation; full source-native profile page not archived.</x:t>
        </x:is>
      </x:c>
    </x:row>
    <x:row r="341">
      <x:c r="A341" s="12" t="inlineStr">
        <x:is>
          <x:t xml:space="preserve">SRC-PEER-WILD-ANIMAL-INITIATIVE</x:t>
        </x:is>
      </x:c>
      <x:c r="B341" s="12" t="inlineStr">
        <x:is>
          <x:t xml:space="preserve">Wild Animal Initiative</x:t>
        </x:is>
      </x:c>
      <x:c r="C341" s="12" t="inlineStr">
        <x:is>
          <x:t xml:space="preserve">Peer selection and scale profile</x:t>
        </x:is>
      </x:c>
      <x:c r="D341" s="16" t="inlineStr">
        <x:is>
          <x:t xml:space="preserve">https://www.causeiq.com/organizations/utility-farm%2C822281466/</x:t>
        </x:is>
      </x:c>
      <x:c r="E341" s="16" t="inlineStr">
        <x:is>
          <x:t xml:space="preserve">https://www.causeiq.com/organizations/utility-farm%2C822281466/</x:t>
        </x:is>
      </x:c>
      <x:c r="F341" s="12" t="inlineStr">
        <x:is>
          <x:t xml:space="preserve">2026-08-25T16:07:55-0700</x:t>
        </x:is>
      </x:c>
      <x:c r="G341" s="16" t="inlineStr">
        <x:is>
          <x:t xml:space="preserve">sources/raw/src-peer-wild-animal-initiative.txt</x:t>
        </x:is>
      </x:c>
      <x:c r="H341" s="12" t="inlineStr">
        <x:is>
          <x:t xml:space="preserve">text/plain; charset=utf-8</x:t>
        </x:is>
      </x:c>
      <x:c r="I341" s="12" t="n">
        <x:v>1445</x:v>
      </x:c>
      <x:c r="J341" s="13" t="inlineStr">
        <x:is>
          <x:t xml:space="preserve">9990b62c971f5e9e8e9f5da0d958f89581c953b0682ede013534a10dd01b664c</x:t>
        </x:is>
      </x:c>
      <x:c r="K341" s="12" t="inlineStr">
        <x:is>
          <x:t xml:space="preserve">2024.0</x:t>
        </x:is>
      </x:c>
      <x:c r="L341" s="12" t="inlineStr">
        <x:is>
          <x:t xml:space="preserve">82-2281466</x:t>
        </x:is>
      </x:c>
      <x:c r="M341" s="12" t="n"/>
      <x:c r="N341" s="12" t="inlineStr">
        <x:is>
          <x:t xml:space="preserve">derivative</x:t>
        </x:is>
      </x:c>
      <x:c r="O341" s="13" t="inlineStr">
        <x:is>
          <x:t xml:space="preserve">Public Form 990 rendering, organization profile, or filing-derived scale record</x:t>
        </x:is>
      </x:c>
      <x:c r="P341" s="13" t="inlineStr">
        <x:is>
          <x:t xml:space="preserve">expanded_reference_set.csv and prior frozen peer profile</x:t>
        </x:is>
      </x:c>
      <x:c r="Q341" s="13" t="inlineStr">
        <x:is>
          <x:t xml:space="preserve">Selection fields frozen without using compensation; full source-native profile page not archived.</x:t>
        </x:is>
      </x:c>
    </x:row>
    <x:row r="342">
      <x:c r="A342" s="12" t="inlineStr">
        <x:is>
          <x:t xml:space="preserve">SRC-PEER-WORLD-JUSTICE-PROJECT</x:t>
        </x:is>
      </x:c>
      <x:c r="B342" s="12" t="inlineStr">
        <x:is>
          <x:t xml:space="preserve">World Justice Project</x:t>
        </x:is>
      </x:c>
      <x:c r="C342" s="12" t="inlineStr">
        <x:is>
          <x:t xml:space="preserve">Peer selection and scale profile</x:t>
        </x:is>
      </x:c>
      <x:c r="D342" s="16" t="inlineStr">
        <x:is>
          <x:t xml:space="preserve">https://www.causeiq.com/organizations/world-justice-project%2C270359097/</x:t>
        </x:is>
      </x:c>
      <x:c r="E342" s="16" t="inlineStr">
        <x:is>
          <x:t xml:space="preserve">https://www.causeiq.com/organizations/world-justice-project%2C270359097/</x:t>
        </x:is>
      </x:c>
      <x:c r="F342" s="12" t="inlineStr">
        <x:is>
          <x:t xml:space="preserve">2026-08-25T16:07:55-0700</x:t>
        </x:is>
      </x:c>
      <x:c r="G342" s="16" t="inlineStr">
        <x:is>
          <x:t xml:space="preserve">sources/raw/src-peer-world-justice-project.txt</x:t>
        </x:is>
      </x:c>
      <x:c r="H342" s="12" t="inlineStr">
        <x:is>
          <x:t xml:space="preserve">text/plain; charset=utf-8</x:t>
        </x:is>
      </x:c>
      <x:c r="I342" s="12" t="n">
        <x:v>1518</x:v>
      </x:c>
      <x:c r="J342" s="13" t="inlineStr">
        <x:is>
          <x:t xml:space="preserve">a5560c8c3ba0060c972c76825cbbb2052e2d4e59aa08d2fde035e77f66280c3a</x:t>
        </x:is>
      </x:c>
      <x:c r="K342" s="12" t="inlineStr">
        <x:is>
          <x:t xml:space="preserve">2024.0</x:t>
        </x:is>
      </x:c>
      <x:c r="L342" s="12" t="inlineStr">
        <x:is>
          <x:t xml:space="preserve">27-0359097</x:t>
        </x:is>
      </x:c>
      <x:c r="M342" s="12" t="n"/>
      <x:c r="N342" s="12" t="inlineStr">
        <x:is>
          <x:t xml:space="preserve">derivative</x:t>
        </x:is>
      </x:c>
      <x:c r="O342" s="13" t="inlineStr">
        <x:is>
          <x:t xml:space="preserve">Public Form 990 rendering, organization profile, or filing-derived scale record</x:t>
        </x:is>
      </x:c>
      <x:c r="P342" s="13" t="inlineStr">
        <x:is>
          <x:t xml:space="preserve">expanded_reference_set.csv and prior frozen peer profile</x:t>
        </x:is>
      </x:c>
      <x:c r="Q342" s="13" t="inlineStr">
        <x:is>
          <x:t xml:space="preserve">Selection fields frozen without using compensation; full source-native profile page not archived.</x:t>
        </x:is>
      </x:c>
    </x:row>
    <x:row r="343">
      <x:c r="A343" s="12" t="inlineStr">
        <x:is>
          <x:t xml:space="preserve">SRC-PEER-IDEAS42</x:t>
        </x:is>
      </x:c>
      <x:c r="B343" s="12" t="inlineStr">
        <x:is>
          <x:t xml:space="preserve">ideas42</x:t>
        </x:is>
      </x:c>
      <x:c r="C343" s="12" t="inlineStr">
        <x:is>
          <x:t xml:space="preserve">Peer selection and scale profile</x:t>
        </x:is>
      </x:c>
      <x:c r="D343" s="16" t="inlineStr">
        <x:is>
          <x:t xml:space="preserve">https://www.causeiq.com/organizations/ideas42%2C271678009/</x:t>
        </x:is>
      </x:c>
      <x:c r="E343" s="16" t="inlineStr">
        <x:is>
          <x:t xml:space="preserve">https://www.causeiq.com/organizations/ideas42%2C271678009/</x:t>
        </x:is>
      </x:c>
      <x:c r="F343" s="12" t="inlineStr">
        <x:is>
          <x:t xml:space="preserve">2026-08-25T16:07:55-0700</x:t>
        </x:is>
      </x:c>
      <x:c r="G343" s="17" t="inlineStr">
        <x:is>
          <x:t xml:space="preserve">sources/raw/src-peer-ideas42.txt</x:t>
        </x:is>
      </x:c>
      <x:c r="H343" s="12" t="inlineStr">
        <x:is>
          <x:t xml:space="preserve">text/plain; charset=utf-8</x:t>
        </x:is>
      </x:c>
      <x:c r="I343" s="12" t="n">
        <x:v>1472</x:v>
      </x:c>
      <x:c r="J343" s="13" t="inlineStr">
        <x:is>
          <x:t xml:space="preserve">f760cfd6d94c689c483c520c575d4dcd747edccdbf82525fedff277b184d7642</x:t>
        </x:is>
      </x:c>
      <x:c r="K343" s="12" t="inlineStr">
        <x:is>
          <x:t xml:space="preserve">2023.0</x:t>
        </x:is>
      </x:c>
      <x:c r="L343" s="12" t="inlineStr">
        <x:is>
          <x:t xml:space="preserve">27-1678009</x:t>
        </x:is>
      </x:c>
      <x:c r="M343" s="12" t="n"/>
      <x:c r="N343" s="12" t="inlineStr">
        <x:is>
          <x:t xml:space="preserve">derivative</x:t>
        </x:is>
      </x:c>
      <x:c r="O343" s="13" t="inlineStr">
        <x:is>
          <x:t xml:space="preserve">Public Form 990 rendering, organization profile, or filing-derived scale record</x:t>
        </x:is>
      </x:c>
      <x:c r="P343" s="13" t="inlineStr">
        <x:is>
          <x:t xml:space="preserve">expanded_reference_set.csv and prior frozen peer profile</x:t>
        </x:is>
      </x:c>
      <x:c r="Q343" s="13" t="inlineStr">
        <x:is>
          <x:t xml:space="preserve">Selection fields frozen without using compensation; full source-native profile page not archived.</x:t>
        </x:is>
      </x:c>
    </x:row>
    <x:row r="344">
      <x:c r="A344" s="12" t="inlineStr">
        <x:is>
          <x:t xml:space="preserve">SRC-RP-2025-RESULTS</x:t>
        </x:is>
      </x:c>
      <x:c r="B344" s="12" t="inlineStr">
        <x:is>
          <x:t xml:space="preserve">Rethink Priorities</x:t>
        </x:is>
      </x:c>
      <x:c r="C344" s="12" t="inlineStr">
        <x:is>
          <x:t xml:space="preserve">RP 2025 results and 2026 plans</x:t>
        </x:is>
      </x:c>
      <x:c r="D344" s="17" t="inlineStr">
        <x:is>
          <x:t xml:space="preserve">https://rethinkpriorities.org/2025-results/</x:t>
        </x:is>
      </x:c>
      <x:c r="E344" s="17" t="inlineStr">
        <x:is>
          <x:t xml:space="preserve">https://rethinkpriorities.org/2025-results/</x:t>
        </x:is>
      </x:c>
      <x:c r="F344" s="12" t="inlineStr">
        <x:is>
          <x:t xml:space="preserve">2026-08-17T18:45:00-07:00</x:t>
        </x:is>
      </x:c>
      <x:c r="G344" s="17" t="inlineStr">
        <x:is>
          <x:t xml:space="preserve">sources/raw/src-rp-2025-results.txt</x:t>
        </x:is>
      </x:c>
      <x:c r="H344" s="12" t="inlineStr">
        <x:is>
          <x:t xml:space="preserve">text/plain; charset=utf-8</x:t>
        </x:is>
      </x:c>
      <x:c r="I344" s="12" t="n">
        <x:v>907</x:v>
      </x:c>
      <x:c r="J344" s="13" t="inlineStr">
        <x:is>
          <x:t xml:space="preserve">43617d8906ba421a8fbc92638410a47c2d2d3d2c0bc3a354f3abf19a872f1e0b</x:t>
        </x:is>
      </x:c>
      <x:c r="K344" s="12" t="n"/>
      <x:c r="L344" s="12" t="n"/>
      <x:c r="M344" s="12" t="n"/>
      <x:c r="N344" s="12" t="inlineStr">
        <x:is>
          <x:t xml:space="preserve">derivative</x:t>
        </x:is>
      </x:c>
      <x:c r="O344" s="12" t="inlineStr">
        <x:is>
          <x:t xml:space="preserve">original</x:t>
        </x:is>
      </x:c>
      <x:c r="P344" s="12" t="inlineStr">
        <x:is>
          <x:t xml:space="preserve">see rp_public_profile.csv</x:t>
        </x:is>
      </x:c>
      <x:c r="Q344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45">
      <x:c r="A345" s="12" t="inlineStr">
        <x:is>
          <x:t xml:space="preserve">SRC-RP-SPECIAL-PROJECTS</x:t>
        </x:is>
      </x:c>
      <x:c r="B345" s="12" t="inlineStr">
        <x:is>
          <x:t xml:space="preserve">Rethink Priorities</x:t>
        </x:is>
      </x:c>
      <x:c r="C345" s="12" t="inlineStr">
        <x:is>
          <x:t xml:space="preserve">RP Special Projects page</x:t>
        </x:is>
      </x:c>
      <x:c r="D345" s="16" t="inlineStr">
        <x:is>
          <x:t xml:space="preserve">https://rethinkpriorities.org/our-services/special-projects/</x:t>
        </x:is>
      </x:c>
      <x:c r="E345" s="16" t="inlineStr">
        <x:is>
          <x:t xml:space="preserve">https://rethinkpriorities.org/our-services/special-projects/</x:t>
        </x:is>
      </x:c>
      <x:c r="F345" s="12" t="inlineStr">
        <x:is>
          <x:t xml:space="preserve">2026-08-17T18:45:00-07:00</x:t>
        </x:is>
      </x:c>
      <x:c r="G345" s="17" t="inlineStr">
        <x:is>
          <x:t xml:space="preserve">sources/raw/src-rp-special-projects.txt</x:t>
        </x:is>
      </x:c>
      <x:c r="H345" s="12" t="inlineStr">
        <x:is>
          <x:t xml:space="preserve">text/plain; charset=utf-8</x:t>
        </x:is>
      </x:c>
      <x:c r="I345" s="12" t="n">
        <x:v>948</x:v>
      </x:c>
      <x:c r="J345" s="13" t="inlineStr">
        <x:is>
          <x:t xml:space="preserve">7d9430f2ef68b349a99fa0d2e8dce173405255e02dde3a0abe9a75576dffcba9</x:t>
        </x:is>
      </x:c>
      <x:c r="K345" s="12" t="n"/>
      <x:c r="L345" s="12" t="n"/>
      <x:c r="M345" s="12" t="n"/>
      <x:c r="N345" s="12" t="inlineStr">
        <x:is>
          <x:t xml:space="preserve">derivative</x:t>
        </x:is>
      </x:c>
      <x:c r="O345" s="12" t="inlineStr">
        <x:is>
          <x:t xml:space="preserve">original</x:t>
        </x:is>
      </x:c>
      <x:c r="P345" s="12" t="inlineStr">
        <x:is>
          <x:t xml:space="preserve">see rp_public_profile.csv</x:t>
        </x:is>
      </x:c>
      <x:c r="Q345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46">
      <x:c r="A346" s="12" t="inlineStr">
        <x:is>
          <x:t xml:space="preserve">SRC-RP-FUNDING-NEEDS</x:t>
        </x:is>
      </x:c>
      <x:c r="B346" s="12" t="inlineStr">
        <x:is>
          <x:t xml:space="preserve">Rethink Priorities</x:t>
        </x:is>
      </x:c>
      <x:c r="C346" s="12" t="inlineStr">
        <x:is>
          <x:t xml:space="preserve">RP funding-needs page</x:t>
        </x:is>
      </x:c>
      <x:c r="D346" s="16" t="inlineStr">
        <x:is>
          <x:t xml:space="preserve">https://rethinkpriorities.org/rethink-priorities-funding-needs/</x:t>
        </x:is>
      </x:c>
      <x:c r="E346" s="16" t="inlineStr">
        <x:is>
          <x:t xml:space="preserve">https://rethinkpriorities.org/rethink-priorities-funding-needs/</x:t>
        </x:is>
      </x:c>
      <x:c r="F346" s="12" t="inlineStr">
        <x:is>
          <x:t xml:space="preserve">2026-08-17T18:45:00-07:00</x:t>
        </x:is>
      </x:c>
      <x:c r="G346" s="17" t="inlineStr">
        <x:is>
          <x:t xml:space="preserve">sources/raw/src-rp-funding-needs.txt</x:t>
        </x:is>
      </x:c>
      <x:c r="H346" s="12" t="inlineStr">
        <x:is>
          <x:t xml:space="preserve">text/plain; charset=utf-8</x:t>
        </x:is>
      </x:c>
      <x:c r="I346" s="12" t="n">
        <x:v>922</x:v>
      </x:c>
      <x:c r="J346" s="13" t="inlineStr">
        <x:is>
          <x:t xml:space="preserve">c9011e58abcd1e76e90a0dc611c12628251eefd059da9329348592f8f8e531f7</x:t>
        </x:is>
      </x:c>
      <x:c r="K346" s="12" t="n"/>
      <x:c r="L346" s="12" t="n"/>
      <x:c r="M346" s="12" t="n"/>
      <x:c r="N346" s="12" t="inlineStr">
        <x:is>
          <x:t xml:space="preserve">derivative</x:t>
        </x:is>
      </x:c>
      <x:c r="O346" s="12" t="inlineStr">
        <x:is>
          <x:t xml:space="preserve">original</x:t>
        </x:is>
      </x:c>
      <x:c r="P346" s="12" t="inlineStr">
        <x:is>
          <x:t xml:space="preserve">see rp_public_profile.csv</x:t>
        </x:is>
      </x:c>
      <x:c r="Q346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47">
      <x:c r="A347" s="12" t="inlineStr">
        <x:is>
          <x:t xml:space="preserve">SRC-RP-990-SCALE</x:t>
        </x:is>
      </x:c>
      <x:c r="B347" s="12" t="inlineStr">
        <x:is>
          <x:t xml:space="preserve">Rethink Priorities</x:t>
        </x:is>
      </x:c>
      <x:c r="C347" s="12" t="inlineStr">
        <x:is>
          <x:t xml:space="preserve">RP public Form 990 scale rendering</x:t>
        </x:is>
      </x:c>
      <x:c r="D347" s="16" t="inlineStr">
        <x:is>
          <x:t xml:space="preserve">https://projects.propublica.org/nonprofits/organizations/843896318</x:t>
        </x:is>
      </x:c>
      <x:c r="E347" s="16" t="inlineStr">
        <x:is>
          <x:t xml:space="preserve">https://projects.propublica.org/nonprofits/organizations/843896318</x:t>
        </x:is>
      </x:c>
      <x:c r="F347" s="12" t="inlineStr">
        <x:is>
          <x:t xml:space="preserve">2026-08-17T18:45:00-07:00</x:t>
        </x:is>
      </x:c>
      <x:c r="G347" s="17" t="inlineStr">
        <x:is>
          <x:t xml:space="preserve">sources/raw/src-rp-990-scale.txt</x:t>
        </x:is>
      </x:c>
      <x:c r="H347" s="12" t="inlineStr">
        <x:is>
          <x:t xml:space="preserve">text/plain; charset=utf-8</x:t>
        </x:is>
      </x:c>
      <x:c r="I347" s="12" t="n">
        <x:v>1012</x:v>
      </x:c>
      <x:c r="J347" s="13" t="inlineStr">
        <x:is>
          <x:t xml:space="preserve">79fe1c72028bbb3b8935e452e70516871c766fae07a57bed0f550a983f7e07d6</x:t>
        </x:is>
      </x:c>
      <x:c r="K347" s="12" t="n"/>
      <x:c r="L347" s="12" t="n"/>
      <x:c r="M347" s="12" t="n"/>
      <x:c r="N347" s="12" t="inlineStr">
        <x:is>
          <x:t xml:space="preserve">derivative</x:t>
        </x:is>
      </x:c>
      <x:c r="O347" s="12" t="inlineStr">
        <x:is>
          <x:t xml:space="preserve">derivative</x:t>
        </x:is>
      </x:c>
      <x:c r="P347" s="12" t="inlineStr">
        <x:is>
          <x:t xml:space="preserve">see rp_public_profile.csv</x:t>
        </x:is>
      </x:c>
      <x:c r="Q347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48">
      <x:c r="A348" s="12" t="inlineStr">
        <x:is>
          <x:t xml:space="preserve">SRC-RP-ABOUT</x:t>
        </x:is>
      </x:c>
      <x:c r="B348" s="12" t="inlineStr">
        <x:is>
          <x:t xml:space="preserve">Rethink Priorities</x:t>
        </x:is>
      </x:c>
      <x:c r="C348" s="12" t="inlineStr">
        <x:is>
          <x:t xml:space="preserve">RP public role and governance pages</x:t>
        </x:is>
      </x:c>
      <x:c r="D348" s="17" t="inlineStr">
        <x:is>
          <x:t xml:space="preserve">https://rethinkpriorities.org/about-us/</x:t>
        </x:is>
      </x:c>
      <x:c r="E348" s="17" t="inlineStr">
        <x:is>
          <x:t xml:space="preserve">https://rethinkpriorities.org/about-us/</x:t>
        </x:is>
      </x:c>
      <x:c r="F348" s="12" t="inlineStr">
        <x:is>
          <x:t xml:space="preserve">2026-08-17T18:45:00-07:00</x:t>
        </x:is>
      </x:c>
      <x:c r="G348" s="17" t="inlineStr">
        <x:is>
          <x:t xml:space="preserve">sources/raw/src-rp-about.txt</x:t>
        </x:is>
      </x:c>
      <x:c r="H348" s="12" t="inlineStr">
        <x:is>
          <x:t xml:space="preserve">text/plain; charset=utf-8</x:t>
        </x:is>
      </x:c>
      <x:c r="I348" s="12" t="n">
        <x:v>866</x:v>
      </x:c>
      <x:c r="J348" s="13" t="inlineStr">
        <x:is>
          <x:t xml:space="preserve">d7ccb4b74b931065fbed3accae298eb9195bf49fc56ba107b025d50262f5e151</x:t>
        </x:is>
      </x:c>
      <x:c r="K348" s="12" t="n"/>
      <x:c r="L348" s="12" t="n"/>
      <x:c r="M348" s="12" t="n"/>
      <x:c r="N348" s="12" t="inlineStr">
        <x:is>
          <x:t xml:space="preserve">derivative</x:t>
        </x:is>
      </x:c>
      <x:c r="O348" s="12" t="inlineStr">
        <x:is>
          <x:t xml:space="preserve">original</x:t>
        </x:is>
      </x:c>
      <x:c r="P348" s="12" t="inlineStr">
        <x:is>
          <x:t xml:space="preserve">see rp_public_profile.csv</x:t>
        </x:is>
      </x:c>
      <x:c r="Q348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49">
      <x:c r="A349" s="12" t="inlineStr">
        <x:is>
          <x:t xml:space="preserve">SRC-RP-REGRANT</x:t>
        </x:is>
      </x:c>
      <x:c r="B349" s="12" t="inlineStr">
        <x:is>
          <x:t xml:space="preserve">Rethink Priorities</x:t>
        </x:is>
      </x:c>
      <x:c r="C349" s="12" t="inlineStr">
        <x:is>
          <x:t xml:space="preserve">RP regranting impact page</x:t>
        </x:is>
      </x:c>
      <x:c r="D349" s="16" t="inlineStr">
        <x:is>
          <x:t xml:space="preserve">https://rethinkpriorities.org/impact-area/uniting-for-impact-improving-farmed-animal-welfare-across-the-eu/</x:t>
        </x:is>
      </x:c>
      <x:c r="E349" s="16" t="inlineStr">
        <x:is>
          <x:t xml:space="preserve">https://rethinkpriorities.org/impact-area/uniting-for-impact-improving-farmed-animal-welfare-across-the-eu/</x:t>
        </x:is>
      </x:c>
      <x:c r="F349" s="12" t="inlineStr">
        <x:is>
          <x:t xml:space="preserve">2026-08-17T18:45:00-07:00</x:t>
        </x:is>
      </x:c>
      <x:c r="G349" s="17" t="inlineStr">
        <x:is>
          <x:t xml:space="preserve">sources/raw/src-rp-regrant.txt</x:t>
        </x:is>
      </x:c>
      <x:c r="H349" s="12" t="inlineStr">
        <x:is>
          <x:t xml:space="preserve">text/plain; charset=utf-8</x:t>
        </x:is>
      </x:c>
      <x:c r="I349" s="12" t="n">
        <x:v>974</x:v>
      </x:c>
      <x:c r="J349" s="13" t="inlineStr">
        <x:is>
          <x:t xml:space="preserve">ae107bc82be3b332a30f2cf1178f4ce732bf69f46ba2afe7bcab69494b24702c</x:t>
        </x:is>
      </x:c>
      <x:c r="K349" s="12" t="n"/>
      <x:c r="L349" s="12" t="n"/>
      <x:c r="M349" s="12" t="n"/>
      <x:c r="N349" s="12" t="inlineStr">
        <x:is>
          <x:t xml:space="preserve">derivative</x:t>
        </x:is>
      </x:c>
      <x:c r="O349" s="12" t="inlineStr">
        <x:is>
          <x:t xml:space="preserve">original</x:t>
        </x:is>
      </x:c>
      <x:c r="P349" s="12" t="inlineStr">
        <x:is>
          <x:t xml:space="preserve">see rp_public_profile.csv</x:t>
        </x:is>
      </x:c>
      <x:c r="Q349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50">
      <x:c r="A350" s="12" t="inlineStr">
        <x:is>
          <x:t xml:space="preserve">SRC-IRS-BULK</x:t>
        </x:is>
      </x:c>
      <x:c r="B350" s="12" t="inlineStr">
        <x:is>
          <x:t xml:space="preserve">Internal Revenue Service</x:t>
        </x:is>
      </x:c>
      <x:c r="C350" s="12" t="inlineStr">
        <x:is>
          <x:t xml:space="preserve">TEOS bulk filing index</x:t>
        </x:is>
      </x:c>
      <x:c r="D350" s="16" t="inlineStr">
        <x:is>
          <x:t xml:space="preserve">https://www.irs.gov/charities-non-profits/form-990-series-downloads</x:t>
        </x:is>
      </x:c>
      <x:c r="E350" s="16" t="inlineStr">
        <x:is>
          <x:t xml:space="preserve">https://www.irs.gov/charities-non-profits/form-990-series-downloads</x:t>
        </x:is>
      </x:c>
      <x:c r="F350" s="12" t="inlineStr">
        <x:is>
          <x:t xml:space="preserve">2026-08-17T18:45:00-07:00</x:t>
        </x:is>
      </x:c>
      <x:c r="G350" s="17" t="inlineStr">
        <x:is>
          <x:t xml:space="preserve">sources/raw/src-irs-bulk.txt</x:t>
        </x:is>
      </x:c>
      <x:c r="H350" s="12" t="inlineStr">
        <x:is>
          <x:t xml:space="preserve">text/plain; charset=utf-8</x:t>
        </x:is>
      </x:c>
      <x:c r="I350" s="12" t="n">
        <x:v>993</x:v>
      </x:c>
      <x:c r="J350" s="13" t="inlineStr">
        <x:is>
          <x:t xml:space="preserve">aee4496943beb43a2f631eed32693d7473f18e2804caef1339aaebd9a741d5fa</x:t>
        </x:is>
      </x:c>
      <x:c r="K350" s="12" t="n"/>
      <x:c r="L350" s="12" t="n"/>
      <x:c r="M350" s="12" t="n"/>
      <x:c r="N350" s="12" t="inlineStr">
        <x:is>
          <x:t xml:space="preserve">derivative</x:t>
        </x:is>
      </x:c>
      <x:c r="O350" s="12" t="inlineStr">
        <x:is>
          <x:t xml:space="preserve">original</x:t>
        </x:is>
      </x:c>
      <x:c r="P350" s="12" t="inlineStr">
        <x:is>
          <x:t xml:space="preserve">turn670263view0</x:t>
        </x:is>
      </x:c>
      <x:c r="Q350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51">
      <x:c r="A351" s="12" t="inlineStr">
        <x:is>
          <x:t xml:space="preserve">SRC-PROPUBLICA-METHOD</x:t>
        </x:is>
      </x:c>
      <x:c r="B351" s="12" t="inlineStr">
        <x:is>
          <x:t xml:space="preserve">ProPublica Nonprofit Explorer</x:t>
        </x:is>
      </x:c>
      <x:c r="C351" s="12" t="inlineStr">
        <x:is>
          <x:t xml:space="preserve">data provenance</x:t>
        </x:is>
      </x:c>
      <x:c r="D351" s="17" t="inlineStr">
        <x:is>
          <x:t xml:space="preserve">https://projects.propublica.org/nonprofits/</x:t>
        </x:is>
      </x:c>
      <x:c r="E351" s="17" t="inlineStr">
        <x:is>
          <x:t xml:space="preserve">https://projects.propublica.org/nonprofits/</x:t>
        </x:is>
      </x:c>
      <x:c r="F351" s="12" t="inlineStr">
        <x:is>
          <x:t xml:space="preserve">2026-08-17T18:45:00-07:00</x:t>
        </x:is>
      </x:c>
      <x:c r="G351" s="17" t="inlineStr">
        <x:is>
          <x:t xml:space="preserve">sources/raw/src-propublica-method.txt</x:t>
        </x:is>
      </x:c>
      <x:c r="H351" s="12" t="inlineStr">
        <x:is>
          <x:t xml:space="preserve">text/plain; charset=utf-8</x:t>
        </x:is>
      </x:c>
      <x:c r="I351" s="12" t="n">
        <x:v>1092</x:v>
      </x:c>
      <x:c r="J351" s="13" t="inlineStr">
        <x:is>
          <x:t xml:space="preserve">6636d61df64328184659cd4cacd0d368ae9b86a9f825b21044b77aac96911d93</x:t>
        </x:is>
      </x:c>
      <x:c r="K351" s="12" t="n"/>
      <x:c r="L351" s="12" t="n"/>
      <x:c r="M351" s="12" t="n"/>
      <x:c r="N351" s="12" t="inlineStr">
        <x:is>
          <x:t xml:space="preserve">derivative</x:t>
        </x:is>
      </x:c>
      <x:c r="O351" s="12" t="inlineStr">
        <x:is>
          <x:t xml:space="preserve">derivative</x:t>
        </x:is>
      </x:c>
      <x:c r="P351" s="13" t="inlineStr">
        <x:is>
          <x:t xml:space="preserve">turn590537view0 L13-L20; turn498315search0 About This Data</x:t>
        </x:is>
      </x:c>
      <x:c r="Q351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52">
      <x:c r="A352" s="12" t="inlineStr">
        <x:is>
          <x:t xml:space="preserve">SRC-BLS-CPI-HIST</x:t>
        </x:is>
      </x:c>
      <x:c r="B352" s="12" t="inlineStr">
        <x:is>
          <x:t xml:space="preserve">U.S. Bureau of Labor Statistics</x:t>
        </x:is>
      </x:c>
      <x:c r="C352" s="12" t="inlineStr">
        <x:is>
          <x:t xml:space="preserve">historical CPI series</x:t>
        </x:is>
      </x:c>
      <x:c r="D352" s="17" t="inlineStr">
        <x:is>
          <x:t xml:space="preserve">https://www.bls.gov/cpi/data.htm</x:t>
        </x:is>
      </x:c>
      <x:c r="E352" s="17" t="inlineStr">
        <x:is>
          <x:t xml:space="preserve">https://www.bls.gov/cpi/data.htm</x:t>
        </x:is>
      </x:c>
      <x:c r="F352" s="12" t="inlineStr">
        <x:is>
          <x:t xml:space="preserve">2026-08-17T18:45:00-07:00</x:t>
        </x:is>
      </x:c>
      <x:c r="G352" s="17" t="inlineStr">
        <x:is>
          <x:t xml:space="preserve">sources/raw/src-bls-cpi-hist.txt</x:t>
        </x:is>
      </x:c>
      <x:c r="H352" s="12" t="inlineStr">
        <x:is>
          <x:t xml:space="preserve">text/plain; charset=utf-8</x:t>
        </x:is>
      </x:c>
      <x:c r="I352" s="12" t="n">
        <x:v>982</x:v>
      </x:c>
      <x:c r="J352" s="13" t="inlineStr">
        <x:is>
          <x:t xml:space="preserve">54da4a33faf39d9489f113040d6af54cb2e7d43d3673639402082d3d514665a5</x:t>
        </x:is>
      </x:c>
      <x:c r="K352" s="12" t="n"/>
      <x:c r="L352" s="12" t="n"/>
      <x:c r="M352" s="12" t="n"/>
      <x:c r="N352" s="12" t="inlineStr">
        <x:is>
          <x:t xml:space="preserve">derivative</x:t>
        </x:is>
      </x:c>
      <x:c r="O352" s="12" t="inlineStr">
        <x:is>
          <x:t xml:space="preserve">original</x:t>
        </x:is>
      </x:c>
      <x:c r="P352" s="13" t="inlineStr">
        <x:is>
          <x:t xml:space="preserve">BLS series CUUR0000SA0; values transcribed to data/cpi_u.csv</x:t>
        </x:is>
      </x:c>
      <x:c r="Q352" s="13" t="inlineStr">
        <x:is>
          <x:t xml:space="preserve">Derivative snapshot only; source-native byte retrieval failed. Facts cross-checked against browser-rendered source and arithmetic where applicable.</x:t>
        </x:is>
      </x:c>
    </x:row>
    <x:row r="353">
      <x:c r="A353" s="12" t="inlineStr">
        <x:is>
          <x:t xml:space="preserve">SRC-BLS-CPI-SCHEDULE</x:t>
        </x:is>
      </x:c>
      <x:c r="B353" s="12" t="inlineStr">
        <x:is>
          <x:t xml:space="preserve">U.S. Bureau of Labor Statistics</x:t>
        </x:is>
      </x:c>
      <x:c r="C353" s="12" t="inlineStr">
        <x:is>
          <x:t xml:space="preserve">release schedule</x:t>
        </x:is>
      </x:c>
      <x:c r="D353" s="16" t="inlineStr">
        <x:is>
          <x:t xml:space="preserve">https://www.bls.gov/schedule/news_release/cpi.htm</x:t>
        </x:is>
      </x:c>
      <x:c r="E353" s="16" t="inlineStr">
        <x:is>
          <x:t xml:space="preserve">https://www.bls.gov/schedule/news_release/cpi.htm</x:t>
        </x:is>
      </x:c>
      <x:c r="F353" s="12" t="inlineStr">
        <x:is>
          <x:t xml:space="preserve">2026-08-17T18:45:00-07:00</x:t>
        </x:is>
      </x:c>
      <x:c r="G353" s="17" t="inlineStr">
        <x:is>
          <x:t xml:space="preserve">sources/raw/src-bls-cpi-schedule.txt</x:t>
        </x:is>
      </x:c>
      <x:c r="H353" s="12" t="inlineStr">
        <x:is>
          <x:t xml:space="preserve">text/plain; charset=utf-8</x:t>
        </x:is>
      </x:c>
      <x:c r="I353" s="12" t="n">
        <x:v>884</x:v>
      </x:c>
      <x:c r="J353" s="13" t="inlineStr">
        <x:is>
          <x:t xml:space="preserve">bd4b05a1363938eb0a3073be4df8d103e5a9c0be1cd13fa5e76d99b410a411ea</x:t>
        </x:is>
      </x:c>
      <x:c r="K353" s="12" t="n"/>
      <x:c r="L353" s="12" t="n"/>
      <x:c r="M353" s="12" t="n"/>
      <x:c r="N353" s="12" t="inlineStr">
        <x:is>
          <x:t xml:space="preserve">derivative</x:t>
        </x:is>
      </x:c>
      <x:c r="O353" s="12" t="inlineStr">
        <x:is>
          <x:t xml:space="preserve">original</x:t>
        </x:is>
      </x:c>
      <x:c r="P353" s="12" t="inlineStr">
        <x:is>
          <x:t xml:space="preserve">turn208506search0</x:t>
        </x:is>
      </x:c>
      <x:c r="Q353" s="13" t="inlineStr">
        <x:is>
          <x:t xml:space="preserve">Derivative snapshot only; source-native byte retrieval failed. Facts cross-checked against browser-rendered source and arithmetic where applicable.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00" customWidth="1"/>
  </x:cols>
  <x:sheetData>
    <x:row r="1" ht="28" customHeight="1">
      <x:c r="A1" s="1" t="inlineStr">
        <x:is>
          <x:t xml:space="preserve">Protocol and Evidence Definitions</x:t>
        </x:is>
      </x:c>
    </x:row>
    <x:row r="2" ht="28" customHeight="1">
      <x:c r="A2" s="2" t="inlineStr">
        <x:is>
          <x:t xml:space="preserve">Frozen rules and interpretive cautions</x:t>
        </x:is>
      </x:c>
    </x:row>
    <x:row r="3"/>
    <x:row r="4" ht="30" customHeight="1">
      <x:c r="A4" s="3" t="inlineStr">
        <x:is>
          <x:t xml:space="preserve">Topic</x:t>
        </x:is>
      </x:c>
      <x:c r="B4" s="3" t="inlineStr">
        <x:is>
          <x:t xml:space="preserve">Content</x:t>
        </x:is>
      </x:c>
    </x:row>
    <x:row r="5">
      <x:c r="A5" s="4" t="inlineStr">
        <x:is>
          <x:t xml:space="preserve">Benchmark cutoff</x:t>
        </x:is>
      </x:c>
      <x:c r="B5" s="11" t="inlineStr">
        <x:is>
          <x:t xml:space="preserve">August 17, 2026</x:t>
        </x:is>
      </x:c>
    </x:row>
    <x:row r="6">
      <x:c r="A6" s="4" t="inlineStr">
        <x:is>
          <x:t xml:space="preserve">Second expansion freeze</x:t>
        </x:is>
      </x:c>
      <x:c r="B6" s="11" t="inlineStr">
        <x:is>
          <x:t xml:space="preserve">2026-08-25T16:07:55-0700</x:t>
        </x:is>
      </x:c>
    </x:row>
    <x:row r="7">
      <x:c r="A7" s="4" t="inlineStr">
        <x:is>
          <x:t xml:space="preserve">Third expansion freeze</x:t>
        </x:is>
      </x:c>
      <x:c r="B7" s="11" t="inlineStr">
        <x:is>
          <x:t xml:space="preserve">2026-08-25T17:12:00-0700</x:t>
        </x:is>
      </x:c>
    </x:row>
    <x:row r="8">
      <x:c r="A8" s="4" t="inlineStr">
        <x:is>
          <x:t xml:space="preserve">Documented universe</x:t>
        </x:is>
      </x:c>
      <x:c r="B8" s="11" t="inlineStr">
        <x:is>
          <x:t xml:space="preserve">452 unique organizations (450 expansion candidates plus 2 legacy-only peers)</x:t>
        </x:is>
      </x:c>
    </x:row>
    <x:row r="9">
      <x:c r="A9" s="4" t="inlineStr">
        <x:is>
          <x:t xml:space="preserve">Selected reference set</x:t>
        </x:is>
      </x:c>
      <x:c r="B9" s="11" t="inlineStr">
        <x:is>
          <x:t xml:space="preserve">144 organizations</x:t>
        </x:is>
      </x:c>
    </x:row>
    <x:row r="10">
      <x:c r="A10" s="4" t="inlineStr">
        <x:is>
          <x:t xml:space="preserve">Primary-use incumbent observations</x:t>
        </x:is>
      </x:c>
      <x:c r="B10" s="11" t="inlineStr">
        <x:is>
          <x:t xml:space="preserve">116; 79 structurally clean</x:t>
        </x:is>
      </x:c>
    </x:row>
    <x:row r="11">
      <x:c r="A11" s="4" t="inlineStr">
        <x:is>
          <x:t xml:space="preserve">Current recruitment observations</x:t>
        </x:is>
      </x:c>
      <x:c r="B11" s="11" t="inlineStr">
        <x:is>
          <x:t xml:space="preserve">15</x:t>
        </x:is>
      </x:c>
    </x:row>
    <x:row r="12">
      <x:c r="A12" s="4" t="inlineStr">
        <x:is>
          <x:t xml:space="preserve">Base salary</x:t>
        </x:is>
      </x:c>
      <x:c r="B12" s="11" t="inlineStr">
        <x:is>
          <x:t xml:space="preserve">Fixed annual cash salary stated in a posting or separately disclosed in Schedule J.</x:t>
        </x:is>
      </x:c>
    </x:row>
    <x:row r="13">
      <x:c r="A13" s="4" t="inlineStr">
        <x:is>
          <x:t xml:space="preserve">Cash/W-2 proxy</x:t>
        </x:is>
      </x:c>
      <x:c r="B13" s="11" t="inlineStr">
        <x:is>
          <x:t xml:space="preserve">Part VII reportable compensation from the organization plus related organizations; may include bonuses or other taxable pay.</x:t>
        </x:is>
      </x:c>
    </x:row>
    <x:row r="14">
      <x:c r="A14" s="4" t="inlineStr">
        <x:is>
          <x:t xml:space="preserve">Filing total proxy</x:t>
        </x:is>
      </x:c>
      <x:c r="B14" s="11" t="inlineStr">
        <x:is>
          <x:t xml:space="preserve">Cash/W-2 proxy plus Part VII other compensation where Schedule J total is unavailable.</x:t>
        </x:is>
      </x:c>
    </x:row>
    <x:row r="15">
      <x:c r="A15" s="4" t="inlineStr">
        <x:is>
          <x:t xml:space="preserve">Independence</x:t>
        </x:is>
      </x:c>
      <x:c r="B15" s="11" t="inlineStr">
        <x:is>
          <x:t xml:space="preserve">This expansion was not blind to the original benchmark. Newly added candidates were frozen before systematic review of their pay.</x:t>
        </x:is>
      </x:c>
    </x:row>
    <x:row r="16">
      <x:c r="A16" s="4" t="inlineStr">
        <x:is>
          <x:t xml:space="preserve">Source limitation</x:t>
        </x:is>
      </x:c>
      <x:c r="B16" s="11" t="inlineStr">
        <x:is>
          <x:t xml:space="preserve">The archive contains derivative snapshots and canonical IRS identifiers, not every complete source-native IRS XML return.</x:t>
        </x:is>
      </x:c>
    </x:row>
    <x:row r="17">
      <x:c r="A17" s="4" t="inlineStr">
        <x:is>
          <x:t xml:space="preserve">Decision use</x:t>
        </x:is>
      </x:c>
      <x:c r="B17" s="11" t="inlineStr">
        <x:is>
          <x:t xml:space="preserve">Ranges are descriptive decision guidance, not population percentiles or a legal opinion.</x:t>
        </x:is>
      </x:c>
    </x:row>
  </x:sheetData>
  <x:mergeCells>
    <x:mergeCell ref="A2:H2"/>
    <x:mergeCell ref="A1:H1"/>
  </x:mergeCells>
  <x:pageMargins left="0.7" right="0.7" top="0.75" bottom="0.75" header="0.3" footer="0.3"/>
</x:worksheet>
</file>